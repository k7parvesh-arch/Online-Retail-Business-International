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7490" windowHeight="11010" activeTab="2"/>
  </bookViews>
  <sheets>
    <sheet name="Sheet4" sheetId="6" r:id="rId1"/>
    <sheet name="Sheet1" sheetId="7" r:id="rId2"/>
    <sheet name="Year 2010-2011" sheetId="2" r:id="rId3"/>
  </sheets>
  <definedNames>
    <definedName name="_xlnm._FilterDatabase" localSheetId="2" hidden="1">'Year 2010-2011'!$A$1:$U$1</definedName>
  </definedNames>
  <calcPr calcId="144525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2" i="2"/>
  <c r="R3" i="2"/>
  <c r="R4" i="2"/>
  <c r="R5" i="2"/>
  <c r="R6" i="2"/>
  <c r="R7" i="2"/>
  <c r="S7" i="2" s="1"/>
  <c r="R8" i="2"/>
  <c r="R9" i="2"/>
  <c r="R10" i="2"/>
  <c r="R11" i="2"/>
  <c r="R12" i="2"/>
  <c r="R13" i="2"/>
  <c r="R14" i="2"/>
  <c r="R15" i="2"/>
  <c r="R16" i="2"/>
  <c r="R17" i="2"/>
  <c r="R18" i="2"/>
  <c r="R19" i="2"/>
  <c r="S19" i="2" s="1"/>
  <c r="R20" i="2"/>
  <c r="R21" i="2"/>
  <c r="R22" i="2"/>
  <c r="R23" i="2"/>
  <c r="S23" i="2" s="1"/>
  <c r="R24" i="2"/>
  <c r="R25" i="2"/>
  <c r="R26" i="2"/>
  <c r="R27" i="2"/>
  <c r="R28" i="2"/>
  <c r="R29" i="2"/>
  <c r="R30" i="2"/>
  <c r="R31" i="2"/>
  <c r="S31" i="2" s="1"/>
  <c r="R32" i="2"/>
  <c r="R33" i="2"/>
  <c r="R34" i="2"/>
  <c r="R35" i="2"/>
  <c r="R36" i="2"/>
  <c r="S36" i="2" s="1"/>
  <c r="R37" i="2"/>
  <c r="R38" i="2"/>
  <c r="R39" i="2"/>
  <c r="S39" i="2" s="1"/>
  <c r="R40" i="2"/>
  <c r="R41" i="2"/>
  <c r="R42" i="2"/>
  <c r="R43" i="2"/>
  <c r="R44" i="2"/>
  <c r="R45" i="2"/>
  <c r="R46" i="2"/>
  <c r="R47" i="2"/>
  <c r="S47" i="2" s="1"/>
  <c r="R48" i="2"/>
  <c r="R49" i="2"/>
  <c r="R50" i="2"/>
  <c r="R51" i="2"/>
  <c r="R52" i="2"/>
  <c r="S52" i="2" s="1"/>
  <c r="R53" i="2"/>
  <c r="R54" i="2"/>
  <c r="R55" i="2"/>
  <c r="S55" i="2" s="1"/>
  <c r="R56" i="2"/>
  <c r="R57" i="2"/>
  <c r="R58" i="2"/>
  <c r="R59" i="2"/>
  <c r="R60" i="2"/>
  <c r="R61" i="2"/>
  <c r="R62" i="2"/>
  <c r="R63" i="2"/>
  <c r="S63" i="2" s="1"/>
  <c r="R64" i="2"/>
  <c r="R65" i="2"/>
  <c r="R66" i="2"/>
  <c r="R67" i="2"/>
  <c r="R68" i="2"/>
  <c r="S68" i="2" s="1"/>
  <c r="R69" i="2"/>
  <c r="R70" i="2"/>
  <c r="R71" i="2"/>
  <c r="S71" i="2" s="1"/>
  <c r="R72" i="2"/>
  <c r="R73" i="2"/>
  <c r="R74" i="2"/>
  <c r="R75" i="2"/>
  <c r="R76" i="2"/>
  <c r="R77" i="2"/>
  <c r="R78" i="2"/>
  <c r="R79" i="2"/>
  <c r="S79" i="2" s="1"/>
  <c r="R80" i="2"/>
  <c r="R81" i="2"/>
  <c r="R82" i="2"/>
  <c r="R83" i="2"/>
  <c r="R84" i="2"/>
  <c r="S84" i="2" s="1"/>
  <c r="R85" i="2"/>
  <c r="R86" i="2"/>
  <c r="R87" i="2"/>
  <c r="S87" i="2" s="1"/>
  <c r="R88" i="2"/>
  <c r="R89" i="2"/>
  <c r="R90" i="2"/>
  <c r="R91" i="2"/>
  <c r="R92" i="2"/>
  <c r="R93" i="2"/>
  <c r="R94" i="2"/>
  <c r="R95" i="2"/>
  <c r="S95" i="2" s="1"/>
  <c r="R96" i="2"/>
  <c r="R97" i="2"/>
  <c r="R98" i="2"/>
  <c r="R99" i="2"/>
  <c r="R100" i="2"/>
  <c r="S100" i="2" s="1"/>
  <c r="R101" i="2"/>
  <c r="R102" i="2"/>
  <c r="R103" i="2"/>
  <c r="S103" i="2" s="1"/>
  <c r="R104" i="2"/>
  <c r="R105" i="2"/>
  <c r="R106" i="2"/>
  <c r="R107" i="2"/>
  <c r="R108" i="2"/>
  <c r="R109" i="2"/>
  <c r="R110" i="2"/>
  <c r="R111" i="2"/>
  <c r="S111" i="2" s="1"/>
  <c r="R112" i="2"/>
  <c r="R113" i="2"/>
  <c r="R114" i="2"/>
  <c r="R115" i="2"/>
  <c r="R116" i="2"/>
  <c r="S116" i="2" s="1"/>
  <c r="R117" i="2"/>
  <c r="R118" i="2"/>
  <c r="R119" i="2"/>
  <c r="S119" i="2" s="1"/>
  <c r="R120" i="2"/>
  <c r="R121" i="2"/>
  <c r="R122" i="2"/>
  <c r="R123" i="2"/>
  <c r="R124" i="2"/>
  <c r="R125" i="2"/>
  <c r="R126" i="2"/>
  <c r="R127" i="2"/>
  <c r="S127" i="2" s="1"/>
  <c r="R128" i="2"/>
  <c r="R129" i="2"/>
  <c r="R130" i="2"/>
  <c r="R131" i="2"/>
  <c r="R132" i="2"/>
  <c r="S132" i="2" s="1"/>
  <c r="R133" i="2"/>
  <c r="R134" i="2"/>
  <c r="R135" i="2"/>
  <c r="S135" i="2" s="1"/>
  <c r="R136" i="2"/>
  <c r="R137" i="2"/>
  <c r="R138" i="2"/>
  <c r="R139" i="2"/>
  <c r="R140" i="2"/>
  <c r="R141" i="2"/>
  <c r="R142" i="2"/>
  <c r="R143" i="2"/>
  <c r="S143" i="2" s="1"/>
  <c r="R144" i="2"/>
  <c r="R145" i="2"/>
  <c r="R146" i="2"/>
  <c r="R147" i="2"/>
  <c r="R148" i="2"/>
  <c r="S148" i="2" s="1"/>
  <c r="R149" i="2"/>
  <c r="R150" i="2"/>
  <c r="R151" i="2"/>
  <c r="S151" i="2" s="1"/>
  <c r="R152" i="2"/>
  <c r="R153" i="2"/>
  <c r="R154" i="2"/>
  <c r="R155" i="2"/>
  <c r="R156" i="2"/>
  <c r="R157" i="2"/>
  <c r="R158" i="2"/>
  <c r="S158" i="2" s="1"/>
  <c r="R159" i="2"/>
  <c r="S159" i="2" s="1"/>
  <c r="R160" i="2"/>
  <c r="R161" i="2"/>
  <c r="R162" i="2"/>
  <c r="R163" i="2"/>
  <c r="R164" i="2"/>
  <c r="S164" i="2" s="1"/>
  <c r="R165" i="2"/>
  <c r="R166" i="2"/>
  <c r="R167" i="2"/>
  <c r="S167" i="2" s="1"/>
  <c r="R168" i="2"/>
  <c r="R169" i="2"/>
  <c r="R170" i="2"/>
  <c r="R171" i="2"/>
  <c r="R172" i="2"/>
  <c r="R173" i="2"/>
  <c r="R174" i="2"/>
  <c r="R175" i="2"/>
  <c r="S175" i="2" s="1"/>
  <c r="R176" i="2"/>
  <c r="R177" i="2"/>
  <c r="R178" i="2"/>
  <c r="R179" i="2"/>
  <c r="R180" i="2"/>
  <c r="S180" i="2" s="1"/>
  <c r="R181" i="2"/>
  <c r="R182" i="2"/>
  <c r="R183" i="2"/>
  <c r="S183" i="2" s="1"/>
  <c r="R184" i="2"/>
  <c r="R185" i="2"/>
  <c r="R186" i="2"/>
  <c r="R187" i="2"/>
  <c r="R188" i="2"/>
  <c r="R189" i="2"/>
  <c r="R190" i="2"/>
  <c r="R191" i="2"/>
  <c r="S191" i="2" s="1"/>
  <c r="R192" i="2"/>
  <c r="R193" i="2"/>
  <c r="R194" i="2"/>
  <c r="R195" i="2"/>
  <c r="R196" i="2"/>
  <c r="S196" i="2" s="1"/>
  <c r="R197" i="2"/>
  <c r="R198" i="2"/>
  <c r="R199" i="2"/>
  <c r="S199" i="2" s="1"/>
  <c r="R200" i="2"/>
  <c r="R201" i="2"/>
  <c r="R202" i="2"/>
  <c r="R203" i="2"/>
  <c r="R204" i="2"/>
  <c r="R205" i="2"/>
  <c r="R206" i="2"/>
  <c r="R207" i="2"/>
  <c r="S207" i="2" s="1"/>
  <c r="R208" i="2"/>
  <c r="R209" i="2"/>
  <c r="R210" i="2"/>
  <c r="R211" i="2"/>
  <c r="R212" i="2"/>
  <c r="S212" i="2" s="1"/>
  <c r="R213" i="2"/>
  <c r="R214" i="2"/>
  <c r="R215" i="2"/>
  <c r="S215" i="2" s="1"/>
  <c r="R216" i="2"/>
  <c r="R217" i="2"/>
  <c r="R218" i="2"/>
  <c r="R219" i="2"/>
  <c r="R220" i="2"/>
  <c r="R221" i="2"/>
  <c r="R222" i="2"/>
  <c r="R223" i="2"/>
  <c r="S223" i="2" s="1"/>
  <c r="R224" i="2"/>
  <c r="R225" i="2"/>
  <c r="R226" i="2"/>
  <c r="R227" i="2"/>
  <c r="R228" i="2"/>
  <c r="S228" i="2" s="1"/>
  <c r="R229" i="2"/>
  <c r="R230" i="2"/>
  <c r="R231" i="2"/>
  <c r="S231" i="2" s="1"/>
  <c r="R232" i="2"/>
  <c r="R233" i="2"/>
  <c r="R234" i="2"/>
  <c r="R235" i="2"/>
  <c r="R236" i="2"/>
  <c r="R237" i="2"/>
  <c r="R238" i="2"/>
  <c r="R239" i="2"/>
  <c r="S239" i="2" s="1"/>
  <c r="R240" i="2"/>
  <c r="R241" i="2"/>
  <c r="R242" i="2"/>
  <c r="R243" i="2"/>
  <c r="R244" i="2"/>
  <c r="S244" i="2" s="1"/>
  <c r="R245" i="2"/>
  <c r="R246" i="2"/>
  <c r="R247" i="2"/>
  <c r="S247" i="2" s="1"/>
  <c r="R248" i="2"/>
  <c r="R249" i="2"/>
  <c r="R250" i="2"/>
  <c r="R251" i="2"/>
  <c r="R252" i="2"/>
  <c r="R253" i="2"/>
  <c r="R254" i="2"/>
  <c r="R255" i="2"/>
  <c r="S255" i="2" s="1"/>
  <c r="R256" i="2"/>
  <c r="R257" i="2"/>
  <c r="R258" i="2"/>
  <c r="R259" i="2"/>
  <c r="R260" i="2"/>
  <c r="S260" i="2" s="1"/>
  <c r="R261" i="2"/>
  <c r="R262" i="2"/>
  <c r="R263" i="2"/>
  <c r="S263" i="2" s="1"/>
  <c r="R264" i="2"/>
  <c r="R265" i="2"/>
  <c r="R266" i="2"/>
  <c r="R267" i="2"/>
  <c r="R268" i="2"/>
  <c r="R269" i="2"/>
  <c r="R270" i="2"/>
  <c r="R271" i="2"/>
  <c r="S271" i="2" s="1"/>
  <c r="R272" i="2"/>
  <c r="R273" i="2"/>
  <c r="R274" i="2"/>
  <c r="R275" i="2"/>
  <c r="R276" i="2"/>
  <c r="S276" i="2" s="1"/>
  <c r="R277" i="2"/>
  <c r="R278" i="2"/>
  <c r="R279" i="2"/>
  <c r="S279" i="2" s="1"/>
  <c r="R280" i="2"/>
  <c r="R281" i="2"/>
  <c r="R282" i="2"/>
  <c r="R283" i="2"/>
  <c r="R284" i="2"/>
  <c r="R285" i="2"/>
  <c r="R286" i="2"/>
  <c r="R287" i="2"/>
  <c r="S287" i="2" s="1"/>
  <c r="R288" i="2"/>
  <c r="R289" i="2"/>
  <c r="R290" i="2"/>
  <c r="R291" i="2"/>
  <c r="R292" i="2"/>
  <c r="S292" i="2" s="1"/>
  <c r="R293" i="2"/>
  <c r="R294" i="2"/>
  <c r="R295" i="2"/>
  <c r="S295" i="2" s="1"/>
  <c r="R296" i="2"/>
  <c r="R297" i="2"/>
  <c r="R298" i="2"/>
  <c r="R299" i="2"/>
  <c r="R300" i="2"/>
  <c r="R301" i="2"/>
  <c r="R302" i="2"/>
  <c r="R303" i="2"/>
  <c r="S303" i="2" s="1"/>
  <c r="R304" i="2"/>
  <c r="R305" i="2"/>
  <c r="R306" i="2"/>
  <c r="R307" i="2"/>
  <c r="R308" i="2"/>
  <c r="S308" i="2" s="1"/>
  <c r="R309" i="2"/>
  <c r="R310" i="2"/>
  <c r="R311" i="2"/>
  <c r="S311" i="2" s="1"/>
  <c r="R312" i="2"/>
  <c r="R313" i="2"/>
  <c r="R314" i="2"/>
  <c r="R315" i="2"/>
  <c r="R316" i="2"/>
  <c r="R317" i="2"/>
  <c r="R318" i="2"/>
  <c r="R319" i="2"/>
  <c r="S319" i="2" s="1"/>
  <c r="R320" i="2"/>
  <c r="R321" i="2"/>
  <c r="R322" i="2"/>
  <c r="R323" i="2"/>
  <c r="S323" i="2" s="1"/>
  <c r="R324" i="2"/>
  <c r="S324" i="2" s="1"/>
  <c r="R325" i="2"/>
  <c r="R326" i="2"/>
  <c r="R327" i="2"/>
  <c r="R328" i="2"/>
  <c r="R329" i="2"/>
  <c r="R330" i="2"/>
  <c r="R331" i="2"/>
  <c r="R332" i="2"/>
  <c r="R333" i="2"/>
  <c r="R334" i="2"/>
  <c r="R335" i="2"/>
  <c r="S335" i="2" s="1"/>
  <c r="R336" i="2"/>
  <c r="R337" i="2"/>
  <c r="R338" i="2"/>
  <c r="R339" i="2"/>
  <c r="R340" i="2"/>
  <c r="R341" i="2"/>
  <c r="R342" i="2"/>
  <c r="R343" i="2"/>
  <c r="R344" i="2"/>
  <c r="S344" i="2" s="1"/>
  <c r="R345" i="2"/>
  <c r="S345" i="2" s="1"/>
  <c r="R346" i="2"/>
  <c r="R347" i="2"/>
  <c r="R348" i="2"/>
  <c r="R349" i="2"/>
  <c r="R350" i="2"/>
  <c r="R351" i="2"/>
  <c r="S351" i="2" s="1"/>
  <c r="R352" i="2"/>
  <c r="R353" i="2"/>
  <c r="R354" i="2"/>
  <c r="R355" i="2"/>
  <c r="R356" i="2"/>
  <c r="S356" i="2" s="1"/>
  <c r="R357" i="2"/>
  <c r="R358" i="2"/>
  <c r="R359" i="2"/>
  <c r="R360" i="2"/>
  <c r="R361" i="2"/>
  <c r="R362" i="2"/>
  <c r="R363" i="2"/>
  <c r="R364" i="2"/>
  <c r="R365" i="2"/>
  <c r="R366" i="2"/>
  <c r="R367" i="2"/>
  <c r="S367" i="2" s="1"/>
  <c r="R368" i="2"/>
  <c r="R369" i="2"/>
  <c r="R370" i="2"/>
  <c r="R371" i="2"/>
  <c r="S371" i="2" s="1"/>
  <c r="U371" i="2" s="1"/>
  <c r="R372" i="2"/>
  <c r="R373" i="2"/>
  <c r="R374" i="2"/>
  <c r="R375" i="2"/>
  <c r="R376" i="2"/>
  <c r="S376" i="2" s="1"/>
  <c r="R377" i="2"/>
  <c r="S377" i="2" s="1"/>
  <c r="R378" i="2"/>
  <c r="R379" i="2"/>
  <c r="R380" i="2"/>
  <c r="R381" i="2"/>
  <c r="R382" i="2"/>
  <c r="R383" i="2"/>
  <c r="S383" i="2" s="1"/>
  <c r="R384" i="2"/>
  <c r="R385" i="2"/>
  <c r="R386" i="2"/>
  <c r="R387" i="2"/>
  <c r="S387" i="2" s="1"/>
  <c r="R388" i="2"/>
  <c r="S388" i="2" s="1"/>
  <c r="R389" i="2"/>
  <c r="R390" i="2"/>
  <c r="R391" i="2"/>
  <c r="R392" i="2"/>
  <c r="R393" i="2"/>
  <c r="R394" i="2"/>
  <c r="R395" i="2"/>
  <c r="R396" i="2"/>
  <c r="R397" i="2"/>
  <c r="R398" i="2"/>
  <c r="R399" i="2"/>
  <c r="S399" i="2" s="1"/>
  <c r="R400" i="2"/>
  <c r="R401" i="2"/>
  <c r="R402" i="2"/>
  <c r="R403" i="2"/>
  <c r="R404" i="2"/>
  <c r="R405" i="2"/>
  <c r="R406" i="2"/>
  <c r="R407" i="2"/>
  <c r="R408" i="2"/>
  <c r="S408" i="2" s="1"/>
  <c r="R409" i="2"/>
  <c r="S409" i="2" s="1"/>
  <c r="R410" i="2"/>
  <c r="R411" i="2"/>
  <c r="R412" i="2"/>
  <c r="R413" i="2"/>
  <c r="R414" i="2"/>
  <c r="R415" i="2"/>
  <c r="S415" i="2" s="1"/>
  <c r="R416" i="2"/>
  <c r="R417" i="2"/>
  <c r="R418" i="2"/>
  <c r="R419" i="2"/>
  <c r="R420" i="2"/>
  <c r="S420" i="2" s="1"/>
  <c r="R421" i="2"/>
  <c r="R422" i="2"/>
  <c r="R423" i="2"/>
  <c r="R424" i="2"/>
  <c r="R425" i="2"/>
  <c r="R426" i="2"/>
  <c r="R427" i="2"/>
  <c r="R428" i="2"/>
  <c r="R429" i="2"/>
  <c r="R430" i="2"/>
  <c r="S430" i="2" s="1"/>
  <c r="R431" i="2"/>
  <c r="R432" i="2"/>
  <c r="R433" i="2"/>
  <c r="R434" i="2"/>
  <c r="R435" i="2"/>
  <c r="S435" i="2" s="1"/>
  <c r="R436" i="2"/>
  <c r="R437" i="2"/>
  <c r="R438" i="2"/>
  <c r="S438" i="2" s="1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S462" i="2" s="1"/>
  <c r="R463" i="2"/>
  <c r="R464" i="2"/>
  <c r="R465" i="2"/>
  <c r="R466" i="2"/>
  <c r="R467" i="2"/>
  <c r="R468" i="2"/>
  <c r="R469" i="2"/>
  <c r="R470" i="2"/>
  <c r="S470" i="2" s="1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S483" i="2" s="1"/>
  <c r="R484" i="2"/>
  <c r="R485" i="2"/>
  <c r="R486" i="2"/>
  <c r="R487" i="2"/>
  <c r="R488" i="2"/>
  <c r="R489" i="2"/>
  <c r="R490" i="2"/>
  <c r="R491" i="2"/>
  <c r="R492" i="2"/>
  <c r="R493" i="2"/>
  <c r="R494" i="2"/>
  <c r="S494" i="2" s="1"/>
  <c r="R495" i="2"/>
  <c r="R496" i="2"/>
  <c r="R497" i="2"/>
  <c r="R498" i="2"/>
  <c r="R499" i="2"/>
  <c r="S499" i="2" s="1"/>
  <c r="R500" i="2"/>
  <c r="R501" i="2"/>
  <c r="R502" i="2"/>
  <c r="S502" i="2" s="1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S526" i="2" s="1"/>
  <c r="R527" i="2"/>
  <c r="R528" i="2"/>
  <c r="R529" i="2"/>
  <c r="R530" i="2"/>
  <c r="R531" i="2"/>
  <c r="R532" i="2"/>
  <c r="R533" i="2"/>
  <c r="R534" i="2"/>
  <c r="S534" i="2" s="1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S547" i="2" s="1"/>
  <c r="R548" i="2"/>
  <c r="R549" i="2"/>
  <c r="R550" i="2"/>
  <c r="R551" i="2"/>
  <c r="R552" i="2"/>
  <c r="R553" i="2"/>
  <c r="R554" i="2"/>
  <c r="R555" i="2"/>
  <c r="R556" i="2"/>
  <c r="R557" i="2"/>
  <c r="R558" i="2"/>
  <c r="S558" i="2" s="1"/>
  <c r="R559" i="2"/>
  <c r="R560" i="2"/>
  <c r="R561" i="2"/>
  <c r="R562" i="2"/>
  <c r="R563" i="2"/>
  <c r="S563" i="2" s="1"/>
  <c r="R564" i="2"/>
  <c r="R565" i="2"/>
  <c r="R566" i="2"/>
  <c r="S566" i="2" s="1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S590" i="2" s="1"/>
  <c r="R591" i="2"/>
  <c r="R592" i="2"/>
  <c r="R593" i="2"/>
  <c r="R594" i="2"/>
  <c r="R595" i="2"/>
  <c r="R596" i="2"/>
  <c r="R597" i="2"/>
  <c r="R598" i="2"/>
  <c r="S598" i="2" s="1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S611" i="2" s="1"/>
  <c r="R612" i="2"/>
  <c r="R613" i="2"/>
  <c r="R614" i="2"/>
  <c r="R615" i="2"/>
  <c r="R616" i="2"/>
  <c r="R617" i="2"/>
  <c r="R618" i="2"/>
  <c r="R619" i="2"/>
  <c r="R620" i="2"/>
  <c r="R621" i="2"/>
  <c r="R622" i="2"/>
  <c r="S622" i="2" s="1"/>
  <c r="R623" i="2"/>
  <c r="R624" i="2"/>
  <c r="R625" i="2"/>
  <c r="R626" i="2"/>
  <c r="R627" i="2"/>
  <c r="S627" i="2" s="1"/>
  <c r="R628" i="2"/>
  <c r="R629" i="2"/>
  <c r="R630" i="2"/>
  <c r="S630" i="2" s="1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S654" i="2" s="1"/>
  <c r="R655" i="2"/>
  <c r="R656" i="2"/>
  <c r="R657" i="2"/>
  <c r="R658" i="2"/>
  <c r="R659" i="2"/>
  <c r="R660" i="2"/>
  <c r="R661" i="2"/>
  <c r="R662" i="2"/>
  <c r="S662" i="2" s="1"/>
  <c r="R663" i="2"/>
  <c r="R664" i="2"/>
  <c r="R665" i="2"/>
  <c r="R666" i="2"/>
  <c r="R667" i="2"/>
  <c r="R668" i="2"/>
  <c r="R669" i="2"/>
  <c r="R670" i="2"/>
  <c r="R671" i="2"/>
  <c r="S671" i="2" s="1"/>
  <c r="R672" i="2"/>
  <c r="R673" i="2"/>
  <c r="R674" i="2"/>
  <c r="R675" i="2"/>
  <c r="R676" i="2"/>
  <c r="R677" i="2"/>
  <c r="R678" i="2"/>
  <c r="S678" i="2" s="1"/>
  <c r="R679" i="2"/>
  <c r="S679" i="2" s="1"/>
  <c r="R680" i="2"/>
  <c r="R681" i="2"/>
  <c r="R682" i="2"/>
  <c r="R683" i="2"/>
  <c r="R684" i="2"/>
  <c r="R685" i="2"/>
  <c r="R686" i="2"/>
  <c r="S686" i="2" s="1"/>
  <c r="R687" i="2"/>
  <c r="R688" i="2"/>
  <c r="R689" i="2"/>
  <c r="R690" i="2"/>
  <c r="R691" i="2"/>
  <c r="R692" i="2"/>
  <c r="R693" i="2"/>
  <c r="R694" i="2"/>
  <c r="S694" i="2" s="1"/>
  <c r="R695" i="2"/>
  <c r="S695" i="2" s="1"/>
  <c r="R696" i="2"/>
  <c r="R697" i="2"/>
  <c r="R698" i="2"/>
  <c r="R699" i="2"/>
  <c r="S699" i="2" s="1"/>
  <c r="R700" i="2"/>
  <c r="R701" i="2"/>
  <c r="R702" i="2"/>
  <c r="R703" i="2"/>
  <c r="R704" i="2"/>
  <c r="R705" i="2"/>
  <c r="R706" i="2"/>
  <c r="R707" i="2"/>
  <c r="R708" i="2"/>
  <c r="R709" i="2"/>
  <c r="R710" i="2"/>
  <c r="R711" i="2"/>
  <c r="S711" i="2" s="1"/>
  <c r="R712" i="2"/>
  <c r="R713" i="2"/>
  <c r="R714" i="2"/>
  <c r="R715" i="2"/>
  <c r="S715" i="2" s="1"/>
  <c r="R716" i="2"/>
  <c r="R717" i="2"/>
  <c r="R718" i="2"/>
  <c r="S718" i="2" s="1"/>
  <c r="R719" i="2"/>
  <c r="R720" i="2"/>
  <c r="R721" i="2"/>
  <c r="R722" i="2"/>
  <c r="R723" i="2"/>
  <c r="R724" i="2"/>
  <c r="R725" i="2"/>
  <c r="R726" i="2"/>
  <c r="S726" i="2" s="1"/>
  <c r="R727" i="2"/>
  <c r="S727" i="2" s="1"/>
  <c r="R728" i="2"/>
  <c r="R729" i="2"/>
  <c r="R730" i="2"/>
  <c r="R731" i="2"/>
  <c r="S731" i="2" s="1"/>
  <c r="R732" i="2"/>
  <c r="R733" i="2"/>
  <c r="R734" i="2"/>
  <c r="R735" i="2"/>
  <c r="R736" i="2"/>
  <c r="R737" i="2"/>
  <c r="R738" i="2"/>
  <c r="R739" i="2"/>
  <c r="R740" i="2"/>
  <c r="R741" i="2"/>
  <c r="R742" i="2"/>
  <c r="R743" i="2"/>
  <c r="S743" i="2" s="1"/>
  <c r="R744" i="2"/>
  <c r="R745" i="2"/>
  <c r="R746" i="2"/>
  <c r="R747" i="2"/>
  <c r="S747" i="2" s="1"/>
  <c r="R748" i="2"/>
  <c r="R749" i="2"/>
  <c r="R750" i="2"/>
  <c r="S750" i="2" s="1"/>
  <c r="R751" i="2"/>
  <c r="R752" i="2"/>
  <c r="R753" i="2"/>
  <c r="R754" i="2"/>
  <c r="R755" i="2"/>
  <c r="R756" i="2"/>
  <c r="R757" i="2"/>
  <c r="R758" i="2"/>
  <c r="S758" i="2" s="1"/>
  <c r="R759" i="2"/>
  <c r="S759" i="2" s="1"/>
  <c r="R760" i="2"/>
  <c r="R761" i="2"/>
  <c r="R762" i="2"/>
  <c r="R763" i="2"/>
  <c r="S763" i="2" s="1"/>
  <c r="R764" i="2"/>
  <c r="R765" i="2"/>
  <c r="R766" i="2"/>
  <c r="R767" i="2"/>
  <c r="R768" i="2"/>
  <c r="R769" i="2"/>
  <c r="R770" i="2"/>
  <c r="R771" i="2"/>
  <c r="R772" i="2"/>
  <c r="R773" i="2"/>
  <c r="R774" i="2"/>
  <c r="R775" i="2"/>
  <c r="S775" i="2" s="1"/>
  <c r="R776" i="2"/>
  <c r="R777" i="2"/>
  <c r="R778" i="2"/>
  <c r="R779" i="2"/>
  <c r="S779" i="2" s="1"/>
  <c r="R780" i="2"/>
  <c r="R781" i="2"/>
  <c r="R782" i="2"/>
  <c r="R783" i="2"/>
  <c r="R784" i="2"/>
  <c r="R785" i="2"/>
  <c r="R786" i="2"/>
  <c r="R787" i="2"/>
  <c r="R788" i="2"/>
  <c r="R789" i="2"/>
  <c r="R790" i="2"/>
  <c r="R791" i="2"/>
  <c r="S791" i="2" s="1"/>
  <c r="R792" i="2"/>
  <c r="R793" i="2"/>
  <c r="R794" i="2"/>
  <c r="R795" i="2"/>
  <c r="S795" i="2" s="1"/>
  <c r="R796" i="2"/>
  <c r="R797" i="2"/>
  <c r="R798" i="2"/>
  <c r="R799" i="2"/>
  <c r="R800" i="2"/>
  <c r="R801" i="2"/>
  <c r="R802" i="2"/>
  <c r="R803" i="2"/>
  <c r="R804" i="2"/>
  <c r="R805" i="2"/>
  <c r="R806" i="2"/>
  <c r="R807" i="2"/>
  <c r="S807" i="2" s="1"/>
  <c r="R808" i="2"/>
  <c r="R809" i="2"/>
  <c r="R810" i="2"/>
  <c r="R811" i="2"/>
  <c r="S811" i="2" s="1"/>
  <c r="R812" i="2"/>
  <c r="R813" i="2"/>
  <c r="R814" i="2"/>
  <c r="R815" i="2"/>
  <c r="R816" i="2"/>
  <c r="R817" i="2"/>
  <c r="R818" i="2"/>
  <c r="R819" i="2"/>
  <c r="R820" i="2"/>
  <c r="R821" i="2"/>
  <c r="R822" i="2"/>
  <c r="R823" i="2"/>
  <c r="S823" i="2" s="1"/>
  <c r="R824" i="2"/>
  <c r="R825" i="2"/>
  <c r="R826" i="2"/>
  <c r="R827" i="2"/>
  <c r="S827" i="2" s="1"/>
  <c r="R828" i="2"/>
  <c r="R829" i="2"/>
  <c r="R830" i="2"/>
  <c r="R831" i="2"/>
  <c r="R832" i="2"/>
  <c r="R833" i="2"/>
  <c r="R834" i="2"/>
  <c r="R835" i="2"/>
  <c r="R836" i="2"/>
  <c r="R837" i="2"/>
  <c r="R838" i="2"/>
  <c r="R839" i="2"/>
  <c r="S839" i="2" s="1"/>
  <c r="R840" i="2"/>
  <c r="R841" i="2"/>
  <c r="R842" i="2"/>
  <c r="R843" i="2"/>
  <c r="S843" i="2" s="1"/>
  <c r="R844" i="2"/>
  <c r="R845" i="2"/>
  <c r="R846" i="2"/>
  <c r="R847" i="2"/>
  <c r="R848" i="2"/>
  <c r="R849" i="2"/>
  <c r="R850" i="2"/>
  <c r="R851" i="2"/>
  <c r="R852" i="2"/>
  <c r="R853" i="2"/>
  <c r="R854" i="2"/>
  <c r="R855" i="2"/>
  <c r="S855" i="2" s="1"/>
  <c r="R856" i="2"/>
  <c r="R857" i="2"/>
  <c r="R858" i="2"/>
  <c r="R859" i="2"/>
  <c r="S859" i="2" s="1"/>
  <c r="R860" i="2"/>
  <c r="R861" i="2"/>
  <c r="R862" i="2"/>
  <c r="R863" i="2"/>
  <c r="R864" i="2"/>
  <c r="R865" i="2"/>
  <c r="R866" i="2"/>
  <c r="R867" i="2"/>
  <c r="R868" i="2"/>
  <c r="R869" i="2"/>
  <c r="R870" i="2"/>
  <c r="R871" i="2"/>
  <c r="S871" i="2" s="1"/>
  <c r="R872" i="2"/>
  <c r="R873" i="2"/>
  <c r="R874" i="2"/>
  <c r="R875" i="2"/>
  <c r="S875" i="2" s="1"/>
  <c r="R876" i="2"/>
  <c r="R877" i="2"/>
  <c r="R878" i="2"/>
  <c r="R879" i="2"/>
  <c r="R880" i="2"/>
  <c r="R881" i="2"/>
  <c r="R882" i="2"/>
  <c r="R883" i="2"/>
  <c r="R884" i="2"/>
  <c r="R885" i="2"/>
  <c r="R886" i="2"/>
  <c r="R887" i="2"/>
  <c r="S887" i="2" s="1"/>
  <c r="R888" i="2"/>
  <c r="R889" i="2"/>
  <c r="R890" i="2"/>
  <c r="R891" i="2"/>
  <c r="S891" i="2" s="1"/>
  <c r="R892" i="2"/>
  <c r="R893" i="2"/>
  <c r="R894" i="2"/>
  <c r="R895" i="2"/>
  <c r="R896" i="2"/>
  <c r="R897" i="2"/>
  <c r="R898" i="2"/>
  <c r="R899" i="2"/>
  <c r="R900" i="2"/>
  <c r="R901" i="2"/>
  <c r="R902" i="2"/>
  <c r="R903" i="2"/>
  <c r="S903" i="2" s="1"/>
  <c r="R904" i="2"/>
  <c r="R905" i="2"/>
  <c r="R906" i="2"/>
  <c r="R907" i="2"/>
  <c r="S907" i="2" s="1"/>
  <c r="R908" i="2"/>
  <c r="R909" i="2"/>
  <c r="R910" i="2"/>
  <c r="R911" i="2"/>
  <c r="R912" i="2"/>
  <c r="R913" i="2"/>
  <c r="R914" i="2"/>
  <c r="R915" i="2"/>
  <c r="R916" i="2"/>
  <c r="R917" i="2"/>
  <c r="R918" i="2"/>
  <c r="R919" i="2"/>
  <c r="S919" i="2" s="1"/>
  <c r="R920" i="2"/>
  <c r="R921" i="2"/>
  <c r="R922" i="2"/>
  <c r="R923" i="2"/>
  <c r="S923" i="2" s="1"/>
  <c r="R924" i="2"/>
  <c r="R925" i="2"/>
  <c r="R926" i="2"/>
  <c r="R927" i="2"/>
  <c r="R928" i="2"/>
  <c r="R929" i="2"/>
  <c r="R930" i="2"/>
  <c r="R931" i="2"/>
  <c r="R932" i="2"/>
  <c r="R933" i="2"/>
  <c r="R934" i="2"/>
  <c r="R935" i="2"/>
  <c r="S935" i="2" s="1"/>
  <c r="R936" i="2"/>
  <c r="R937" i="2"/>
  <c r="R938" i="2"/>
  <c r="R939" i="2"/>
  <c r="S939" i="2" s="1"/>
  <c r="R940" i="2"/>
  <c r="R941" i="2"/>
  <c r="R942" i="2"/>
  <c r="R943" i="2"/>
  <c r="R944" i="2"/>
  <c r="R945" i="2"/>
  <c r="R946" i="2"/>
  <c r="R947" i="2"/>
  <c r="R948" i="2"/>
  <c r="R949" i="2"/>
  <c r="R950" i="2"/>
  <c r="R951" i="2"/>
  <c r="S951" i="2" s="1"/>
  <c r="R952" i="2"/>
  <c r="R953" i="2"/>
  <c r="R954" i="2"/>
  <c r="R955" i="2"/>
  <c r="S955" i="2" s="1"/>
  <c r="R956" i="2"/>
  <c r="R957" i="2"/>
  <c r="R958" i="2"/>
  <c r="R959" i="2"/>
  <c r="R960" i="2"/>
  <c r="R961" i="2"/>
  <c r="R962" i="2"/>
  <c r="R963" i="2"/>
  <c r="R964" i="2"/>
  <c r="R965" i="2"/>
  <c r="R966" i="2"/>
  <c r="R967" i="2"/>
  <c r="S967" i="2" s="1"/>
  <c r="R968" i="2"/>
  <c r="R969" i="2"/>
  <c r="R970" i="2"/>
  <c r="R971" i="2"/>
  <c r="S971" i="2" s="1"/>
  <c r="R972" i="2"/>
  <c r="R973" i="2"/>
  <c r="R974" i="2"/>
  <c r="R975" i="2"/>
  <c r="R976" i="2"/>
  <c r="R977" i="2"/>
  <c r="R978" i="2"/>
  <c r="R979" i="2"/>
  <c r="R980" i="2"/>
  <c r="R981" i="2"/>
  <c r="R982" i="2"/>
  <c r="R983" i="2"/>
  <c r="S983" i="2" s="1"/>
  <c r="R984" i="2"/>
  <c r="R985" i="2"/>
  <c r="R986" i="2"/>
  <c r="R987" i="2"/>
  <c r="S987" i="2" s="1"/>
  <c r="R988" i="2"/>
  <c r="R989" i="2"/>
  <c r="R990" i="2"/>
  <c r="R991" i="2"/>
  <c r="R992" i="2"/>
  <c r="R993" i="2"/>
  <c r="R994" i="2"/>
  <c r="R995" i="2"/>
  <c r="R996" i="2"/>
  <c r="R997" i="2"/>
  <c r="R998" i="2"/>
  <c r="R999" i="2"/>
  <c r="S999" i="2" s="1"/>
  <c r="R1000" i="2"/>
  <c r="R1001" i="2"/>
  <c r="R1002" i="2"/>
  <c r="R1003" i="2"/>
  <c r="S1003" i="2" s="1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S1015" i="2" s="1"/>
  <c r="R1016" i="2"/>
  <c r="R1017" i="2"/>
  <c r="R1018" i="2"/>
  <c r="R1019" i="2"/>
  <c r="S1019" i="2" s="1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S1031" i="2" s="1"/>
  <c r="R1032" i="2"/>
  <c r="R1033" i="2"/>
  <c r="R1034" i="2"/>
  <c r="R1035" i="2"/>
  <c r="S1035" i="2" s="1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S1047" i="2" s="1"/>
  <c r="R1048" i="2"/>
  <c r="R1049" i="2"/>
  <c r="R1050" i="2"/>
  <c r="R1051" i="2"/>
  <c r="S1051" i="2" s="1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S1063" i="2" s="1"/>
  <c r="R1064" i="2"/>
  <c r="R1065" i="2"/>
  <c r="R1066" i="2"/>
  <c r="R1067" i="2"/>
  <c r="S1067" i="2" s="1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S1079" i="2" s="1"/>
  <c r="R1080" i="2"/>
  <c r="R1081" i="2"/>
  <c r="R1082" i="2"/>
  <c r="R1083" i="2"/>
  <c r="S1083" i="2" s="1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S1095" i="2" s="1"/>
  <c r="R1096" i="2"/>
  <c r="R1097" i="2"/>
  <c r="R1098" i="2"/>
  <c r="R1099" i="2"/>
  <c r="S1099" i="2" s="1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S1111" i="2" s="1"/>
  <c r="R1112" i="2"/>
  <c r="R1113" i="2"/>
  <c r="R1114" i="2"/>
  <c r="R1115" i="2"/>
  <c r="S1115" i="2" s="1"/>
  <c r="R1116" i="2"/>
  <c r="R1117" i="2"/>
  <c r="R1118" i="2"/>
  <c r="R1119" i="2"/>
  <c r="R1120" i="2"/>
  <c r="R1121" i="2"/>
  <c r="R1122" i="2"/>
  <c r="R1123" i="2"/>
  <c r="S1123" i="2" s="1"/>
  <c r="R1124" i="2"/>
  <c r="R1125" i="2"/>
  <c r="R1126" i="2"/>
  <c r="R1127" i="2"/>
  <c r="R1128" i="2"/>
  <c r="R1129" i="2"/>
  <c r="R1130" i="2"/>
  <c r="R1131" i="2"/>
  <c r="S1131" i="2" s="1"/>
  <c r="R1132" i="2"/>
  <c r="R1133" i="2"/>
  <c r="R1134" i="2"/>
  <c r="R1135" i="2"/>
  <c r="S1135" i="2" s="1"/>
  <c r="R1136" i="2"/>
  <c r="R1137" i="2"/>
  <c r="R1138" i="2"/>
  <c r="R1139" i="2"/>
  <c r="S1139" i="2" s="1"/>
  <c r="R1140" i="2"/>
  <c r="R1141" i="2"/>
  <c r="R1142" i="2"/>
  <c r="R1143" i="2"/>
  <c r="S1143" i="2" s="1"/>
  <c r="R1144" i="2"/>
  <c r="R1145" i="2"/>
  <c r="R1146" i="2"/>
  <c r="R1147" i="2"/>
  <c r="S1147" i="2" s="1"/>
  <c r="U1147" i="2" s="1"/>
  <c r="R1148" i="2"/>
  <c r="R1149" i="2"/>
  <c r="R1150" i="2"/>
  <c r="R1151" i="2"/>
  <c r="S1151" i="2" s="1"/>
  <c r="R1152" i="2"/>
  <c r="R1153" i="2"/>
  <c r="R1154" i="2"/>
  <c r="R1155" i="2"/>
  <c r="S1155" i="2" s="1"/>
  <c r="R1156" i="2"/>
  <c r="R1157" i="2"/>
  <c r="R1158" i="2"/>
  <c r="R1159" i="2"/>
  <c r="R1160" i="2"/>
  <c r="R1161" i="2"/>
  <c r="R1162" i="2"/>
  <c r="R1163" i="2"/>
  <c r="S1163" i="2" s="1"/>
  <c r="R1164" i="2"/>
  <c r="R1165" i="2"/>
  <c r="R1166" i="2"/>
  <c r="R1167" i="2"/>
  <c r="S1167" i="2" s="1"/>
  <c r="R1168" i="2"/>
  <c r="R1169" i="2"/>
  <c r="R1170" i="2"/>
  <c r="R1171" i="2"/>
  <c r="S1171" i="2" s="1"/>
  <c r="R1172" i="2"/>
  <c r="R1173" i="2"/>
  <c r="S1173" i="2" s="1"/>
  <c r="R1174" i="2"/>
  <c r="R1175" i="2"/>
  <c r="S1175" i="2" s="1"/>
  <c r="R1176" i="2"/>
  <c r="R1177" i="2"/>
  <c r="R1178" i="2"/>
  <c r="R1179" i="2"/>
  <c r="S1179" i="2" s="1"/>
  <c r="U1179" i="2" s="1"/>
  <c r="R1180" i="2"/>
  <c r="R1181" i="2"/>
  <c r="R1182" i="2"/>
  <c r="R1183" i="2"/>
  <c r="S1183" i="2" s="1"/>
  <c r="R1184" i="2"/>
  <c r="R1185" i="2"/>
  <c r="R1186" i="2"/>
  <c r="R1187" i="2"/>
  <c r="S1187" i="2" s="1"/>
  <c r="R1188" i="2"/>
  <c r="R1189" i="2"/>
  <c r="R1190" i="2"/>
  <c r="R1191" i="2"/>
  <c r="R1192" i="2"/>
  <c r="R1193" i="2"/>
  <c r="R1194" i="2"/>
  <c r="R1195" i="2"/>
  <c r="S1195" i="2" s="1"/>
  <c r="R1196" i="2"/>
  <c r="R1197" i="2"/>
  <c r="R1198" i="2"/>
  <c r="R1199" i="2"/>
  <c r="S1199" i="2" s="1"/>
  <c r="R1200" i="2"/>
  <c r="R1201" i="2"/>
  <c r="R1202" i="2"/>
  <c r="R1203" i="2"/>
  <c r="S1203" i="2" s="1"/>
  <c r="R1204" i="2"/>
  <c r="R1205" i="2"/>
  <c r="R1206" i="2"/>
  <c r="R1207" i="2"/>
  <c r="S1207" i="2" s="1"/>
  <c r="R1208" i="2"/>
  <c r="R1209" i="2"/>
  <c r="R1210" i="2"/>
  <c r="R1211" i="2"/>
  <c r="S1211" i="2" s="1"/>
  <c r="U1211" i="2" s="1"/>
  <c r="R1212" i="2"/>
  <c r="R1213" i="2"/>
  <c r="R1214" i="2"/>
  <c r="R1215" i="2"/>
  <c r="S1215" i="2" s="1"/>
  <c r="R1216" i="2"/>
  <c r="R1217" i="2"/>
  <c r="R1218" i="2"/>
  <c r="R1219" i="2"/>
  <c r="S1219" i="2" s="1"/>
  <c r="R1220" i="2"/>
  <c r="R1221" i="2"/>
  <c r="S1221" i="2" s="1"/>
  <c r="R1222" i="2"/>
  <c r="R1223" i="2"/>
  <c r="R1224" i="2"/>
  <c r="R1225" i="2"/>
  <c r="R1226" i="2"/>
  <c r="R1227" i="2"/>
  <c r="S1227" i="2" s="1"/>
  <c r="R1228" i="2"/>
  <c r="R1229" i="2"/>
  <c r="R1230" i="2"/>
  <c r="R1231" i="2"/>
  <c r="S1231" i="2" s="1"/>
  <c r="R1232" i="2"/>
  <c r="R1233" i="2"/>
  <c r="R1234" i="2"/>
  <c r="R1235" i="2"/>
  <c r="S1235" i="2" s="1"/>
  <c r="R1236" i="2"/>
  <c r="R1237" i="2"/>
  <c r="R1238" i="2"/>
  <c r="R1239" i="2"/>
  <c r="S1239" i="2" s="1"/>
  <c r="R1240" i="2"/>
  <c r="R1241" i="2"/>
  <c r="R1242" i="2"/>
  <c r="R1243" i="2"/>
  <c r="S1243" i="2" s="1"/>
  <c r="U1243" i="2" s="1"/>
  <c r="R1244" i="2"/>
  <c r="R1245" i="2"/>
  <c r="R1246" i="2"/>
  <c r="R1247" i="2"/>
  <c r="S1247" i="2" s="1"/>
  <c r="R1248" i="2"/>
  <c r="R1249" i="2"/>
  <c r="R1250" i="2"/>
  <c r="R1251" i="2"/>
  <c r="S1251" i="2" s="1"/>
  <c r="R1252" i="2"/>
  <c r="R1253" i="2"/>
  <c r="S1253" i="2" s="1"/>
  <c r="R1254" i="2"/>
  <c r="R1255" i="2"/>
  <c r="R1256" i="2"/>
  <c r="R1257" i="2"/>
  <c r="R1258" i="2"/>
  <c r="R1259" i="2"/>
  <c r="S1259" i="2" s="1"/>
  <c r="R1260" i="2"/>
  <c r="R1261" i="2"/>
  <c r="R1262" i="2"/>
  <c r="R1263" i="2"/>
  <c r="S1263" i="2" s="1"/>
  <c r="R1264" i="2"/>
  <c r="R1265" i="2"/>
  <c r="R1266" i="2"/>
  <c r="R1267" i="2"/>
  <c r="S1267" i="2" s="1"/>
  <c r="R1268" i="2"/>
  <c r="R1269" i="2"/>
  <c r="R1270" i="2"/>
  <c r="R1271" i="2"/>
  <c r="S1271" i="2" s="1"/>
  <c r="R1272" i="2"/>
  <c r="R1273" i="2"/>
  <c r="R1274" i="2"/>
  <c r="R1275" i="2"/>
  <c r="S1275" i="2" s="1"/>
  <c r="U1275" i="2" s="1"/>
  <c r="R1276" i="2"/>
  <c r="R1277" i="2"/>
  <c r="R1278" i="2"/>
  <c r="R1279" i="2"/>
  <c r="S1279" i="2" s="1"/>
  <c r="R1280" i="2"/>
  <c r="R1281" i="2"/>
  <c r="R1282" i="2"/>
  <c r="R1283" i="2"/>
  <c r="S1283" i="2" s="1"/>
  <c r="R1284" i="2"/>
  <c r="R1285" i="2"/>
  <c r="S1285" i="2" s="1"/>
  <c r="R1286" i="2"/>
  <c r="R1287" i="2"/>
  <c r="R1288" i="2"/>
  <c r="R1289" i="2"/>
  <c r="R1290" i="2"/>
  <c r="R1291" i="2"/>
  <c r="S1291" i="2" s="1"/>
  <c r="R1292" i="2"/>
  <c r="R1293" i="2"/>
  <c r="R1294" i="2"/>
  <c r="R1295" i="2"/>
  <c r="S1295" i="2" s="1"/>
  <c r="R1296" i="2"/>
  <c r="R1297" i="2"/>
  <c r="R1298" i="2"/>
  <c r="R1299" i="2"/>
  <c r="R1300" i="2"/>
  <c r="R1301" i="2"/>
  <c r="S1301" i="2" s="1"/>
  <c r="R1302" i="2"/>
  <c r="R1303" i="2"/>
  <c r="R1304" i="2"/>
  <c r="R1305" i="2"/>
  <c r="R1306" i="2"/>
  <c r="R1307" i="2"/>
  <c r="S1307" i="2" s="1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S1339" i="2" s="1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2" i="2"/>
  <c r="U1115" i="2" l="1"/>
  <c r="U859" i="2"/>
  <c r="U1083" i="2"/>
  <c r="U827" i="2"/>
  <c r="U987" i="2"/>
  <c r="U731" i="2"/>
  <c r="U955" i="2"/>
  <c r="U699" i="2"/>
  <c r="U1051" i="2"/>
  <c r="U923" i="2"/>
  <c r="U795" i="2"/>
  <c r="U627" i="2"/>
  <c r="U1019" i="2"/>
  <c r="U891" i="2"/>
  <c r="U763" i="2"/>
  <c r="U499" i="2"/>
  <c r="S1434" i="2"/>
  <c r="U1434" i="2" s="1"/>
  <c r="S1418" i="2"/>
  <c r="U1418" i="2" s="1"/>
  <c r="S1402" i="2"/>
  <c r="U1402" i="2" s="1"/>
  <c r="S1390" i="2"/>
  <c r="U1390" i="2" s="1"/>
  <c r="S1370" i="2"/>
  <c r="U1370" i="2" s="1"/>
  <c r="S1358" i="2"/>
  <c r="U1358" i="2" s="1"/>
  <c r="S1346" i="2"/>
  <c r="U1346" i="2" s="1"/>
  <c r="S1334" i="2"/>
  <c r="U1334" i="2" s="1"/>
  <c r="S1322" i="2"/>
  <c r="U1322" i="2" s="1"/>
  <c r="S1310" i="2"/>
  <c r="U1310" i="2" s="1"/>
  <c r="S1298" i="2"/>
  <c r="U1298" i="2" s="1"/>
  <c r="S1286" i="2"/>
  <c r="U1286" i="2" s="1"/>
  <c r="S1266" i="2"/>
  <c r="U1266" i="2" s="1"/>
  <c r="S1254" i="2"/>
  <c r="U1254" i="2" s="1"/>
  <c r="S1242" i="2"/>
  <c r="U1242" i="2" s="1"/>
  <c r="S1230" i="2"/>
  <c r="U1230" i="2" s="1"/>
  <c r="S1218" i="2"/>
  <c r="U1218" i="2" s="1"/>
  <c r="S1206" i="2"/>
  <c r="U1206" i="2" s="1"/>
  <c r="S1194" i="2"/>
  <c r="U1194" i="2" s="1"/>
  <c r="S1182" i="2"/>
  <c r="U1182" i="2" s="1"/>
  <c r="S1166" i="2"/>
  <c r="U1166" i="2" s="1"/>
  <c r="S1150" i="2"/>
  <c r="U1150" i="2" s="1"/>
  <c r="S1138" i="2"/>
  <c r="U1138" i="2" s="1"/>
  <c r="S1126" i="2"/>
  <c r="U1126" i="2" s="1"/>
  <c r="S1110" i="2"/>
  <c r="U1110" i="2" s="1"/>
  <c r="S1098" i="2"/>
  <c r="U1098" i="2" s="1"/>
  <c r="S1078" i="2"/>
  <c r="U1078" i="2" s="1"/>
  <c r="S1066" i="2"/>
  <c r="U1066" i="2" s="1"/>
  <c r="S1054" i="2"/>
  <c r="U1054" i="2" s="1"/>
  <c r="S1042" i="2"/>
  <c r="U1042" i="2" s="1"/>
  <c r="S1030" i="2"/>
  <c r="U1030" i="2" s="1"/>
  <c r="S1018" i="2"/>
  <c r="U1018" i="2" s="1"/>
  <c r="S998" i="2"/>
  <c r="U998" i="2" s="1"/>
  <c r="S986" i="2"/>
  <c r="U986" i="2" s="1"/>
  <c r="S970" i="2"/>
  <c r="U970" i="2" s="1"/>
  <c r="S958" i="2"/>
  <c r="U958" i="2" s="1"/>
  <c r="S946" i="2"/>
  <c r="U946" i="2" s="1"/>
  <c r="S934" i="2"/>
  <c r="U934" i="2" s="1"/>
  <c r="S922" i="2"/>
  <c r="U922" i="2" s="1"/>
  <c r="S910" i="2"/>
  <c r="U910" i="2" s="1"/>
  <c r="S898" i="2"/>
  <c r="U898" i="2" s="1"/>
  <c r="S886" i="2"/>
  <c r="U886" i="2" s="1"/>
  <c r="S874" i="2"/>
  <c r="U874" i="2" s="1"/>
  <c r="S862" i="2"/>
  <c r="U862" i="2" s="1"/>
  <c r="S850" i="2"/>
  <c r="U850" i="2" s="1"/>
  <c r="S838" i="2"/>
  <c r="U838" i="2" s="1"/>
  <c r="S826" i="2"/>
  <c r="U826" i="2" s="1"/>
  <c r="S806" i="2"/>
  <c r="U806" i="2" s="1"/>
  <c r="S794" i="2"/>
  <c r="U794" i="2" s="1"/>
  <c r="S2" i="2"/>
  <c r="U2" i="2" s="1"/>
  <c r="S1438" i="2"/>
  <c r="U1438" i="2" s="1"/>
  <c r="S1426" i="2"/>
  <c r="U1426" i="2" s="1"/>
  <c r="S1414" i="2"/>
  <c r="U1414" i="2" s="1"/>
  <c r="S1410" i="2"/>
  <c r="U1410" i="2" s="1"/>
  <c r="S1398" i="2"/>
  <c r="U1398" i="2" s="1"/>
  <c r="S1386" i="2"/>
  <c r="U1386" i="2" s="1"/>
  <c r="S1378" i="2"/>
  <c r="U1378" i="2" s="1"/>
  <c r="S1366" i="2"/>
  <c r="U1366" i="2" s="1"/>
  <c r="S1354" i="2"/>
  <c r="U1354" i="2" s="1"/>
  <c r="S1342" i="2"/>
  <c r="U1342" i="2" s="1"/>
  <c r="S1330" i="2"/>
  <c r="U1330" i="2" s="1"/>
  <c r="S1314" i="2"/>
  <c r="U1314" i="2" s="1"/>
  <c r="S1302" i="2"/>
  <c r="U1302" i="2" s="1"/>
  <c r="S1290" i="2"/>
  <c r="U1290" i="2" s="1"/>
  <c r="S1282" i="2"/>
  <c r="U1282" i="2" s="1"/>
  <c r="S1274" i="2"/>
  <c r="U1274" i="2" s="1"/>
  <c r="S1258" i="2"/>
  <c r="U1258" i="2" s="1"/>
  <c r="S1246" i="2"/>
  <c r="U1246" i="2" s="1"/>
  <c r="S1238" i="2"/>
  <c r="U1238" i="2" s="1"/>
  <c r="S1226" i="2"/>
  <c r="U1226" i="2" s="1"/>
  <c r="S1214" i="2"/>
  <c r="U1214" i="2" s="1"/>
  <c r="S1202" i="2"/>
  <c r="U1202" i="2" s="1"/>
  <c r="S1190" i="2"/>
  <c r="U1190" i="2" s="1"/>
  <c r="S1178" i="2"/>
  <c r="U1178" i="2" s="1"/>
  <c r="S1170" i="2"/>
  <c r="U1170" i="2" s="1"/>
  <c r="S1158" i="2"/>
  <c r="U1158" i="2" s="1"/>
  <c r="S1142" i="2"/>
  <c r="U1142" i="2" s="1"/>
  <c r="S1130" i="2"/>
  <c r="U1130" i="2" s="1"/>
  <c r="S1118" i="2"/>
  <c r="U1118" i="2" s="1"/>
  <c r="S1102" i="2"/>
  <c r="U1102" i="2" s="1"/>
  <c r="S1094" i="2"/>
  <c r="U1094" i="2" s="1"/>
  <c r="S1082" i="2"/>
  <c r="U1082" i="2" s="1"/>
  <c r="S1070" i="2"/>
  <c r="U1070" i="2" s="1"/>
  <c r="S1058" i="2"/>
  <c r="U1058" i="2" s="1"/>
  <c r="S1050" i="2"/>
  <c r="U1050" i="2" s="1"/>
  <c r="S1034" i="2"/>
  <c r="U1034" i="2" s="1"/>
  <c r="S1022" i="2"/>
  <c r="U1022" i="2" s="1"/>
  <c r="S1010" i="2"/>
  <c r="U1010" i="2" s="1"/>
  <c r="S1002" i="2"/>
  <c r="U1002" i="2" s="1"/>
  <c r="S990" i="2"/>
  <c r="U990" i="2" s="1"/>
  <c r="S978" i="2"/>
  <c r="U978" i="2" s="1"/>
  <c r="S962" i="2"/>
  <c r="U962" i="2" s="1"/>
  <c r="S950" i="2"/>
  <c r="U950" i="2" s="1"/>
  <c r="S942" i="2"/>
  <c r="U942" i="2" s="1"/>
  <c r="S930" i="2"/>
  <c r="U930" i="2" s="1"/>
  <c r="S914" i="2"/>
  <c r="U914" i="2" s="1"/>
  <c r="S902" i="2"/>
  <c r="U902" i="2" s="1"/>
  <c r="S890" i="2"/>
  <c r="U890" i="2" s="1"/>
  <c r="S878" i="2"/>
  <c r="U878" i="2" s="1"/>
  <c r="S870" i="2"/>
  <c r="U870" i="2" s="1"/>
  <c r="S854" i="2"/>
  <c r="U854" i="2" s="1"/>
  <c r="S842" i="2"/>
  <c r="U842" i="2" s="1"/>
  <c r="S830" i="2"/>
  <c r="U830" i="2" s="1"/>
  <c r="S818" i="2"/>
  <c r="U818" i="2" s="1"/>
  <c r="S814" i="2"/>
  <c r="U814" i="2" s="1"/>
  <c r="S802" i="2"/>
  <c r="U802" i="2" s="1"/>
  <c r="S790" i="2"/>
  <c r="U790" i="2" s="1"/>
  <c r="S782" i="2"/>
  <c r="U782" i="2" s="1"/>
  <c r="S1442" i="2"/>
  <c r="U1442" i="2" s="1"/>
  <c r="S1430" i="2"/>
  <c r="U1430" i="2" s="1"/>
  <c r="S1422" i="2"/>
  <c r="U1422" i="2" s="1"/>
  <c r="S1406" i="2"/>
  <c r="U1406" i="2" s="1"/>
  <c r="S1394" i="2"/>
  <c r="U1394" i="2" s="1"/>
  <c r="S1382" i="2"/>
  <c r="U1382" i="2" s="1"/>
  <c r="S1374" i="2"/>
  <c r="U1374" i="2" s="1"/>
  <c r="S1362" i="2"/>
  <c r="U1362" i="2" s="1"/>
  <c r="S1350" i="2"/>
  <c r="U1350" i="2" s="1"/>
  <c r="S1338" i="2"/>
  <c r="U1338" i="2" s="1"/>
  <c r="S1326" i="2"/>
  <c r="U1326" i="2" s="1"/>
  <c r="S1318" i="2"/>
  <c r="U1318" i="2" s="1"/>
  <c r="S1306" i="2"/>
  <c r="U1306" i="2" s="1"/>
  <c r="S1294" i="2"/>
  <c r="U1294" i="2" s="1"/>
  <c r="S1278" i="2"/>
  <c r="U1278" i="2" s="1"/>
  <c r="S1270" i="2"/>
  <c r="U1270" i="2" s="1"/>
  <c r="S1262" i="2"/>
  <c r="U1262" i="2" s="1"/>
  <c r="S1250" i="2"/>
  <c r="U1250" i="2" s="1"/>
  <c r="S1234" i="2"/>
  <c r="U1234" i="2" s="1"/>
  <c r="S1222" i="2"/>
  <c r="U1222" i="2" s="1"/>
  <c r="S1210" i="2"/>
  <c r="U1210" i="2" s="1"/>
  <c r="S1198" i="2"/>
  <c r="U1198" i="2" s="1"/>
  <c r="S1186" i="2"/>
  <c r="U1186" i="2" s="1"/>
  <c r="S1174" i="2"/>
  <c r="U1174" i="2" s="1"/>
  <c r="S1162" i="2"/>
  <c r="U1162" i="2" s="1"/>
  <c r="S1154" i="2"/>
  <c r="U1154" i="2" s="1"/>
  <c r="S1146" i="2"/>
  <c r="U1146" i="2" s="1"/>
  <c r="S1134" i="2"/>
  <c r="U1134" i="2" s="1"/>
  <c r="S1122" i="2"/>
  <c r="U1122" i="2" s="1"/>
  <c r="S1114" i="2"/>
  <c r="U1114" i="2" s="1"/>
  <c r="S1106" i="2"/>
  <c r="U1106" i="2" s="1"/>
  <c r="S1090" i="2"/>
  <c r="U1090" i="2" s="1"/>
  <c r="S1086" i="2"/>
  <c r="U1086" i="2" s="1"/>
  <c r="S1074" i="2"/>
  <c r="U1074" i="2" s="1"/>
  <c r="S1062" i="2"/>
  <c r="U1062" i="2" s="1"/>
  <c r="S1046" i="2"/>
  <c r="U1046" i="2" s="1"/>
  <c r="S1038" i="2"/>
  <c r="U1038" i="2" s="1"/>
  <c r="S1026" i="2"/>
  <c r="U1026" i="2" s="1"/>
  <c r="S1014" i="2"/>
  <c r="U1014" i="2" s="1"/>
  <c r="S1006" i="2"/>
  <c r="U1006" i="2" s="1"/>
  <c r="S994" i="2"/>
  <c r="U994" i="2" s="1"/>
  <c r="S982" i="2"/>
  <c r="U982" i="2" s="1"/>
  <c r="S974" i="2"/>
  <c r="U974" i="2" s="1"/>
  <c r="S966" i="2"/>
  <c r="U966" i="2" s="1"/>
  <c r="S954" i="2"/>
  <c r="U954" i="2" s="1"/>
  <c r="S938" i="2"/>
  <c r="U938" i="2" s="1"/>
  <c r="S926" i="2"/>
  <c r="U926" i="2" s="1"/>
  <c r="S918" i="2"/>
  <c r="U918" i="2" s="1"/>
  <c r="S906" i="2"/>
  <c r="U906" i="2" s="1"/>
  <c r="S894" i="2"/>
  <c r="U894" i="2" s="1"/>
  <c r="S882" i="2"/>
  <c r="U882" i="2" s="1"/>
  <c r="S866" i="2"/>
  <c r="U866" i="2" s="1"/>
  <c r="S858" i="2"/>
  <c r="U858" i="2" s="1"/>
  <c r="S846" i="2"/>
  <c r="U846" i="2" s="1"/>
  <c r="S834" i="2"/>
  <c r="U834" i="2" s="1"/>
  <c r="S822" i="2"/>
  <c r="U822" i="2" s="1"/>
  <c r="S810" i="2"/>
  <c r="U810" i="2" s="1"/>
  <c r="S798" i="2"/>
  <c r="U798" i="2" s="1"/>
  <c r="S786" i="2"/>
  <c r="U786" i="2" s="1"/>
  <c r="S778" i="2"/>
  <c r="U778" i="2" s="1"/>
  <c r="S1443" i="2"/>
  <c r="U1443" i="2" s="1"/>
  <c r="S1439" i="2"/>
  <c r="U1439" i="2" s="1"/>
  <c r="S1435" i="2"/>
  <c r="U1435" i="2" s="1"/>
  <c r="S1431" i="2"/>
  <c r="U1431" i="2" s="1"/>
  <c r="S1427" i="2"/>
  <c r="U1427" i="2" s="1"/>
  <c r="S1423" i="2"/>
  <c r="U1423" i="2" s="1"/>
  <c r="S1419" i="2"/>
  <c r="U1419" i="2" s="1"/>
  <c r="S1415" i="2"/>
  <c r="U1415" i="2" s="1"/>
  <c r="S1411" i="2"/>
  <c r="U1411" i="2" s="1"/>
  <c r="S1407" i="2"/>
  <c r="U1407" i="2" s="1"/>
  <c r="S1403" i="2"/>
  <c r="U1403" i="2" s="1"/>
  <c r="S1399" i="2"/>
  <c r="U1399" i="2" s="1"/>
  <c r="S1395" i="2"/>
  <c r="U1395" i="2" s="1"/>
  <c r="S1391" i="2"/>
  <c r="U1391" i="2" s="1"/>
  <c r="S1387" i="2"/>
  <c r="U1387" i="2" s="1"/>
  <c r="S1383" i="2"/>
  <c r="U1383" i="2" s="1"/>
  <c r="S1379" i="2"/>
  <c r="U1379" i="2" s="1"/>
  <c r="S1375" i="2"/>
  <c r="U1375" i="2" s="1"/>
  <c r="S1371" i="2"/>
  <c r="U1371" i="2" s="1"/>
  <c r="S1367" i="2"/>
  <c r="U1367" i="2" s="1"/>
  <c r="S1363" i="2"/>
  <c r="U1363" i="2" s="1"/>
  <c r="S1359" i="2"/>
  <c r="U1359" i="2" s="1"/>
  <c r="S754" i="2"/>
  <c r="U754" i="2" s="1"/>
  <c r="S730" i="2"/>
  <c r="U730" i="2" s="1"/>
  <c r="S722" i="2"/>
  <c r="U722" i="2" s="1"/>
  <c r="S714" i="2"/>
  <c r="U714" i="2" s="1"/>
  <c r="S706" i="2"/>
  <c r="U706" i="2" s="1"/>
  <c r="S698" i="2"/>
  <c r="U698" i="2" s="1"/>
  <c r="S690" i="2"/>
  <c r="U690" i="2" s="1"/>
  <c r="S682" i="2"/>
  <c r="U682" i="2" s="1"/>
  <c r="S674" i="2"/>
  <c r="U674" i="2" s="1"/>
  <c r="S666" i="2"/>
  <c r="U666" i="2" s="1"/>
  <c r="S658" i="2"/>
  <c r="U658" i="2" s="1"/>
  <c r="S650" i="2"/>
  <c r="U650" i="2" s="1"/>
  <c r="S626" i="2"/>
  <c r="U626" i="2" s="1"/>
  <c r="S586" i="2"/>
  <c r="U586" i="2" s="1"/>
  <c r="S1445" i="2"/>
  <c r="U1445" i="2" s="1"/>
  <c r="S1437" i="2"/>
  <c r="U1437" i="2" s="1"/>
  <c r="S1429" i="2"/>
  <c r="U1429" i="2" s="1"/>
  <c r="S1421" i="2"/>
  <c r="U1421" i="2" s="1"/>
  <c r="S1417" i="2"/>
  <c r="U1417" i="2" s="1"/>
  <c r="S1409" i="2"/>
  <c r="U1409" i="2" s="1"/>
  <c r="S1401" i="2"/>
  <c r="U1401" i="2" s="1"/>
  <c r="S1397" i="2"/>
  <c r="U1397" i="2" s="1"/>
  <c r="S1389" i="2"/>
  <c r="U1389" i="2" s="1"/>
  <c r="S1385" i="2"/>
  <c r="U1385" i="2" s="1"/>
  <c r="S1377" i="2"/>
  <c r="U1377" i="2" s="1"/>
  <c r="S1373" i="2"/>
  <c r="U1373" i="2" s="1"/>
  <c r="S1365" i="2"/>
  <c r="U1365" i="2" s="1"/>
  <c r="S1361" i="2"/>
  <c r="U1361" i="2" s="1"/>
  <c r="S1353" i="2"/>
  <c r="U1353" i="2" s="1"/>
  <c r="S1349" i="2"/>
  <c r="U1349" i="2" s="1"/>
  <c r="S1341" i="2"/>
  <c r="U1341" i="2" s="1"/>
  <c r="S1333" i="2"/>
  <c r="U1333" i="2" s="1"/>
  <c r="S1325" i="2"/>
  <c r="U1325" i="2" s="1"/>
  <c r="S1309" i="2"/>
  <c r="U1309" i="2" s="1"/>
  <c r="S1305" i="2"/>
  <c r="U1305" i="2" s="1"/>
  <c r="S1297" i="2"/>
  <c r="U1297" i="2" s="1"/>
  <c r="S1293" i="2"/>
  <c r="U1293" i="2" s="1"/>
  <c r="S1289" i="2"/>
  <c r="U1289" i="2" s="1"/>
  <c r="S1281" i="2"/>
  <c r="U1281" i="2" s="1"/>
  <c r="S1277" i="2"/>
  <c r="U1277" i="2" s="1"/>
  <c r="S1261" i="2"/>
  <c r="U1261" i="2" s="1"/>
  <c r="S1257" i="2"/>
  <c r="U1257" i="2" s="1"/>
  <c r="S1249" i="2"/>
  <c r="U1249" i="2" s="1"/>
  <c r="S1245" i="2"/>
  <c r="U1245" i="2" s="1"/>
  <c r="S1229" i="2"/>
  <c r="U1229" i="2" s="1"/>
  <c r="S1225" i="2"/>
  <c r="U1225" i="2" s="1"/>
  <c r="S1217" i="2"/>
  <c r="U1217" i="2" s="1"/>
  <c r="S1213" i="2"/>
  <c r="U1213" i="2" s="1"/>
  <c r="S1209" i="2"/>
  <c r="U1209" i="2" s="1"/>
  <c r="S1201" i="2"/>
  <c r="U1201" i="2" s="1"/>
  <c r="S1197" i="2"/>
  <c r="U1197" i="2" s="1"/>
  <c r="S1181" i="2"/>
  <c r="U1181" i="2" s="1"/>
  <c r="S1177" i="2"/>
  <c r="U1177" i="2" s="1"/>
  <c r="S1169" i="2"/>
  <c r="U1169" i="2" s="1"/>
  <c r="S1165" i="2"/>
  <c r="U1165" i="2" s="1"/>
  <c r="S1149" i="2"/>
  <c r="U1149" i="2" s="1"/>
  <c r="S1145" i="2"/>
  <c r="U1145" i="2" s="1"/>
  <c r="S1137" i="2"/>
  <c r="U1137" i="2" s="1"/>
  <c r="S1133" i="2"/>
  <c r="U1133" i="2" s="1"/>
  <c r="S1117" i="2"/>
  <c r="U1117" i="2" s="1"/>
  <c r="S1444" i="2"/>
  <c r="U1444" i="2" s="1"/>
  <c r="S1440" i="2"/>
  <c r="U1440" i="2" s="1"/>
  <c r="S1436" i="2"/>
  <c r="U1436" i="2" s="1"/>
  <c r="S1432" i="2"/>
  <c r="U1432" i="2" s="1"/>
  <c r="S1428" i="2"/>
  <c r="U1428" i="2" s="1"/>
  <c r="S1424" i="2"/>
  <c r="U1424" i="2" s="1"/>
  <c r="S1420" i="2"/>
  <c r="U1420" i="2" s="1"/>
  <c r="S1416" i="2"/>
  <c r="U1416" i="2" s="1"/>
  <c r="S1412" i="2"/>
  <c r="U1412" i="2" s="1"/>
  <c r="S1408" i="2"/>
  <c r="U1408" i="2" s="1"/>
  <c r="S1404" i="2"/>
  <c r="U1404" i="2" s="1"/>
  <c r="S1400" i="2"/>
  <c r="U1400" i="2" s="1"/>
  <c r="S1396" i="2"/>
  <c r="U1396" i="2" s="1"/>
  <c r="S1392" i="2"/>
  <c r="U1392" i="2" s="1"/>
  <c r="S1388" i="2"/>
  <c r="U1388" i="2" s="1"/>
  <c r="S1384" i="2"/>
  <c r="U1384" i="2" s="1"/>
  <c r="S1380" i="2"/>
  <c r="U1380" i="2" s="1"/>
  <c r="S1376" i="2"/>
  <c r="U1376" i="2" s="1"/>
  <c r="S1372" i="2"/>
  <c r="U1372" i="2" s="1"/>
  <c r="S1368" i="2"/>
  <c r="U1368" i="2" s="1"/>
  <c r="S1364" i="2"/>
  <c r="U1364" i="2" s="1"/>
  <c r="S1360" i="2"/>
  <c r="U1360" i="2" s="1"/>
  <c r="S1356" i="2"/>
  <c r="U1356" i="2" s="1"/>
  <c r="S1352" i="2"/>
  <c r="U1352" i="2" s="1"/>
  <c r="S1348" i="2"/>
  <c r="U1348" i="2" s="1"/>
  <c r="S1344" i="2"/>
  <c r="U1344" i="2" s="1"/>
  <c r="S1340" i="2"/>
  <c r="U1340" i="2" s="1"/>
  <c r="S1336" i="2"/>
  <c r="U1336" i="2" s="1"/>
  <c r="S1332" i="2"/>
  <c r="U1332" i="2" s="1"/>
  <c r="S1328" i="2"/>
  <c r="U1328" i="2" s="1"/>
  <c r="S1324" i="2"/>
  <c r="U1324" i="2" s="1"/>
  <c r="S1320" i="2"/>
  <c r="U1320" i="2" s="1"/>
  <c r="S1316" i="2"/>
  <c r="U1316" i="2" s="1"/>
  <c r="S1312" i="2"/>
  <c r="U1312" i="2" s="1"/>
  <c r="S1308" i="2"/>
  <c r="U1308" i="2" s="1"/>
  <c r="S1304" i="2"/>
  <c r="U1304" i="2" s="1"/>
  <c r="S1300" i="2"/>
  <c r="U1300" i="2" s="1"/>
  <c r="S1296" i="2"/>
  <c r="U1296" i="2" s="1"/>
  <c r="S1292" i="2"/>
  <c r="U1292" i="2" s="1"/>
  <c r="S1288" i="2"/>
  <c r="U1288" i="2" s="1"/>
  <c r="S1284" i="2"/>
  <c r="U1284" i="2" s="1"/>
  <c r="S1280" i="2"/>
  <c r="U1280" i="2" s="1"/>
  <c r="S1276" i="2"/>
  <c r="U1276" i="2" s="1"/>
  <c r="S1272" i="2"/>
  <c r="U1272" i="2" s="1"/>
  <c r="S1157" i="2"/>
  <c r="U1157" i="2" s="1"/>
  <c r="S1355" i="2"/>
  <c r="U1355" i="2" s="1"/>
  <c r="S1351" i="2"/>
  <c r="U1351" i="2" s="1"/>
  <c r="S1347" i="2"/>
  <c r="U1347" i="2" s="1"/>
  <c r="S1343" i="2"/>
  <c r="U1343" i="2" s="1"/>
  <c r="S1335" i="2"/>
  <c r="U1335" i="2" s="1"/>
  <c r="S1331" i="2"/>
  <c r="U1331" i="2" s="1"/>
  <c r="S1327" i="2"/>
  <c r="U1327" i="2" s="1"/>
  <c r="S1323" i="2"/>
  <c r="U1323" i="2" s="1"/>
  <c r="S1319" i="2"/>
  <c r="U1319" i="2" s="1"/>
  <c r="S1315" i="2"/>
  <c r="U1315" i="2" s="1"/>
  <c r="S1303" i="2"/>
  <c r="U1303" i="2" s="1"/>
  <c r="S1299" i="2"/>
  <c r="U1299" i="2" s="1"/>
  <c r="S1237" i="2"/>
  <c r="U1237" i="2" s="1"/>
  <c r="U758" i="2"/>
  <c r="S746" i="2"/>
  <c r="U746" i="2" s="1"/>
  <c r="U726" i="2"/>
  <c r="U686" i="2"/>
  <c r="U662" i="2"/>
  <c r="S634" i="2"/>
  <c r="U634" i="2" s="1"/>
  <c r="U622" i="2"/>
  <c r="S618" i="2"/>
  <c r="U618" i="2" s="1"/>
  <c r="S610" i="2"/>
  <c r="U610" i="2" s="1"/>
  <c r="S602" i="2"/>
  <c r="U602" i="2" s="1"/>
  <c r="U598" i="2"/>
  <c r="S594" i="2"/>
  <c r="U594" i="2" s="1"/>
  <c r="S578" i="2"/>
  <c r="U578" i="2" s="1"/>
  <c r="S570" i="2"/>
  <c r="U570" i="2" s="1"/>
  <c r="U566" i="2"/>
  <c r="S562" i="2"/>
  <c r="U562" i="2" s="1"/>
  <c r="U558" i="2"/>
  <c r="S554" i="2"/>
  <c r="U554" i="2" s="1"/>
  <c r="S546" i="2"/>
  <c r="U546" i="2" s="1"/>
  <c r="S538" i="2"/>
  <c r="U538" i="2" s="1"/>
  <c r="U534" i="2"/>
  <c r="S530" i="2"/>
  <c r="U530" i="2" s="1"/>
  <c r="U526" i="2"/>
  <c r="S522" i="2"/>
  <c r="U522" i="2" s="1"/>
  <c r="S514" i="2"/>
  <c r="U514" i="2" s="1"/>
  <c r="S506" i="2"/>
  <c r="U506" i="2" s="1"/>
  <c r="U502" i="2"/>
  <c r="S498" i="2"/>
  <c r="U498" i="2" s="1"/>
  <c r="U494" i="2"/>
  <c r="S490" i="2"/>
  <c r="U490" i="2" s="1"/>
  <c r="S482" i="2"/>
  <c r="U482" i="2" s="1"/>
  <c r="S474" i="2"/>
  <c r="U474" i="2" s="1"/>
  <c r="U470" i="2"/>
  <c r="S466" i="2"/>
  <c r="U466" i="2" s="1"/>
  <c r="U462" i="2"/>
  <c r="S458" i="2"/>
  <c r="U458" i="2" s="1"/>
  <c r="S450" i="2"/>
  <c r="U450" i="2" s="1"/>
  <c r="S442" i="2"/>
  <c r="U442" i="2" s="1"/>
  <c r="U438" i="2"/>
  <c r="S434" i="2"/>
  <c r="U434" i="2" s="1"/>
  <c r="U430" i="2"/>
  <c r="S426" i="2"/>
  <c r="U426" i="2" s="1"/>
  <c r="S422" i="2"/>
  <c r="U422" i="2" s="1"/>
  <c r="S418" i="2"/>
  <c r="U418" i="2" s="1"/>
  <c r="S414" i="2"/>
  <c r="U414" i="2" s="1"/>
  <c r="S410" i="2"/>
  <c r="U410" i="2" s="1"/>
  <c r="S406" i="2"/>
  <c r="U406" i="2" s="1"/>
  <c r="S402" i="2"/>
  <c r="U402" i="2" s="1"/>
  <c r="S398" i="2"/>
  <c r="U398" i="2" s="1"/>
  <c r="S394" i="2"/>
  <c r="U394" i="2" s="1"/>
  <c r="S390" i="2"/>
  <c r="U390" i="2" s="1"/>
  <c r="S386" i="2"/>
  <c r="U386" i="2" s="1"/>
  <c r="S382" i="2"/>
  <c r="U382" i="2" s="1"/>
  <c r="S378" i="2"/>
  <c r="U378" i="2" s="1"/>
  <c r="S374" i="2"/>
  <c r="U374" i="2" s="1"/>
  <c r="S370" i="2"/>
  <c r="U370" i="2" s="1"/>
  <c r="S366" i="2"/>
  <c r="U366" i="2" s="1"/>
  <c r="S362" i="2"/>
  <c r="U362" i="2" s="1"/>
  <c r="S358" i="2"/>
  <c r="U358" i="2" s="1"/>
  <c r="S354" i="2"/>
  <c r="U354" i="2" s="1"/>
  <c r="S350" i="2"/>
  <c r="U350" i="2" s="1"/>
  <c r="S346" i="2"/>
  <c r="U346" i="2" s="1"/>
  <c r="S342" i="2"/>
  <c r="U342" i="2" s="1"/>
  <c r="S338" i="2"/>
  <c r="U338" i="2" s="1"/>
  <c r="S334" i="2"/>
  <c r="U334" i="2" s="1"/>
  <c r="S330" i="2"/>
  <c r="U330" i="2" s="1"/>
  <c r="S326" i="2"/>
  <c r="U326" i="2" s="1"/>
  <c r="S322" i="2"/>
  <c r="U322" i="2" s="1"/>
  <c r="S318" i="2"/>
  <c r="U318" i="2" s="1"/>
  <c r="S314" i="2"/>
  <c r="U314" i="2" s="1"/>
  <c r="S310" i="2"/>
  <c r="U310" i="2" s="1"/>
  <c r="S306" i="2"/>
  <c r="U306" i="2" s="1"/>
  <c r="S302" i="2"/>
  <c r="U302" i="2" s="1"/>
  <c r="S298" i="2"/>
  <c r="U298" i="2" s="1"/>
  <c r="S294" i="2"/>
  <c r="U294" i="2" s="1"/>
  <c r="S290" i="2"/>
  <c r="U290" i="2" s="1"/>
  <c r="S286" i="2"/>
  <c r="U286" i="2" s="1"/>
  <c r="S282" i="2"/>
  <c r="U282" i="2" s="1"/>
  <c r="S278" i="2"/>
  <c r="U278" i="2" s="1"/>
  <c r="S274" i="2"/>
  <c r="U274" i="2" s="1"/>
  <c r="S270" i="2"/>
  <c r="U270" i="2" s="1"/>
  <c r="S266" i="2"/>
  <c r="U266" i="2" s="1"/>
  <c r="S262" i="2"/>
  <c r="U262" i="2" s="1"/>
  <c r="S258" i="2"/>
  <c r="U258" i="2" s="1"/>
  <c r="S254" i="2"/>
  <c r="U254" i="2" s="1"/>
  <c r="S250" i="2"/>
  <c r="U250" i="2" s="1"/>
  <c r="S246" i="2"/>
  <c r="U246" i="2" s="1"/>
  <c r="S242" i="2"/>
  <c r="U242" i="2" s="1"/>
  <c r="S238" i="2"/>
  <c r="U238" i="2" s="1"/>
  <c r="S234" i="2"/>
  <c r="U234" i="2" s="1"/>
  <c r="S230" i="2"/>
  <c r="U230" i="2" s="1"/>
  <c r="S226" i="2"/>
  <c r="U226" i="2" s="1"/>
  <c r="S222" i="2"/>
  <c r="U222" i="2" s="1"/>
  <c r="S218" i="2"/>
  <c r="U218" i="2" s="1"/>
  <c r="S214" i="2"/>
  <c r="U214" i="2" s="1"/>
  <c r="S210" i="2"/>
  <c r="U210" i="2" s="1"/>
  <c r="S206" i="2"/>
  <c r="U206" i="2" s="1"/>
  <c r="S202" i="2"/>
  <c r="U202" i="2" s="1"/>
  <c r="S198" i="2"/>
  <c r="U198" i="2" s="1"/>
  <c r="S194" i="2"/>
  <c r="U194" i="2" s="1"/>
  <c r="S190" i="2"/>
  <c r="U190" i="2" s="1"/>
  <c r="S186" i="2"/>
  <c r="U186" i="2" s="1"/>
  <c r="S182" i="2"/>
  <c r="U182" i="2" s="1"/>
  <c r="S178" i="2"/>
  <c r="U178" i="2" s="1"/>
  <c r="S174" i="2"/>
  <c r="U174" i="2" s="1"/>
  <c r="S170" i="2"/>
  <c r="U170" i="2" s="1"/>
  <c r="S166" i="2"/>
  <c r="U166" i="2" s="1"/>
  <c r="S162" i="2"/>
  <c r="U162" i="2" s="1"/>
  <c r="S154" i="2"/>
  <c r="U154" i="2" s="1"/>
  <c r="S150" i="2"/>
  <c r="U150" i="2" s="1"/>
  <c r="S146" i="2"/>
  <c r="U146" i="2" s="1"/>
  <c r="S142" i="2"/>
  <c r="U142" i="2" s="1"/>
  <c r="S138" i="2"/>
  <c r="U138" i="2" s="1"/>
  <c r="S134" i="2"/>
  <c r="U134" i="2" s="1"/>
  <c r="S130" i="2"/>
  <c r="U130" i="2" s="1"/>
  <c r="S126" i="2"/>
  <c r="U126" i="2" s="1"/>
  <c r="S122" i="2"/>
  <c r="U122" i="2" s="1"/>
  <c r="S118" i="2"/>
  <c r="U118" i="2" s="1"/>
  <c r="S114" i="2"/>
  <c r="U114" i="2" s="1"/>
  <c r="S110" i="2"/>
  <c r="U110" i="2" s="1"/>
  <c r="S106" i="2"/>
  <c r="U106" i="2" s="1"/>
  <c r="S102" i="2"/>
  <c r="U102" i="2" s="1"/>
  <c r="S98" i="2"/>
  <c r="U98" i="2" s="1"/>
  <c r="S94" i="2"/>
  <c r="U94" i="2" s="1"/>
  <c r="S90" i="2"/>
  <c r="U90" i="2" s="1"/>
  <c r="S86" i="2"/>
  <c r="U86" i="2" s="1"/>
  <c r="S82" i="2"/>
  <c r="U82" i="2" s="1"/>
  <c r="S78" i="2"/>
  <c r="U78" i="2" s="1"/>
  <c r="S74" i="2"/>
  <c r="U74" i="2" s="1"/>
  <c r="S70" i="2"/>
  <c r="U70" i="2" s="1"/>
  <c r="S66" i="2"/>
  <c r="U66" i="2" s="1"/>
  <c r="S62" i="2"/>
  <c r="U62" i="2" s="1"/>
  <c r="S58" i="2"/>
  <c r="U58" i="2" s="1"/>
  <c r="S54" i="2"/>
  <c r="U54" i="2" s="1"/>
  <c r="S50" i="2"/>
  <c r="U50" i="2" s="1"/>
  <c r="S46" i="2"/>
  <c r="U46" i="2" s="1"/>
  <c r="S42" i="2"/>
  <c r="U42" i="2" s="1"/>
  <c r="S38" i="2"/>
  <c r="U38" i="2" s="1"/>
  <c r="S34" i="2"/>
  <c r="U34" i="2" s="1"/>
  <c r="S30" i="2"/>
  <c r="U30" i="2" s="1"/>
  <c r="S26" i="2"/>
  <c r="U26" i="2" s="1"/>
  <c r="S22" i="2"/>
  <c r="U22" i="2" s="1"/>
  <c r="S18" i="2"/>
  <c r="U18" i="2" s="1"/>
  <c r="S14" i="2"/>
  <c r="U14" i="2" s="1"/>
  <c r="S10" i="2"/>
  <c r="U10" i="2" s="1"/>
  <c r="S6" i="2"/>
  <c r="U6" i="2" s="1"/>
  <c r="S1317" i="2"/>
  <c r="U1317" i="2" s="1"/>
  <c r="S1189" i="2"/>
  <c r="U1189" i="2" s="1"/>
  <c r="S1125" i="2"/>
  <c r="U1125" i="2" s="1"/>
  <c r="S774" i="2"/>
  <c r="U774" i="2" s="1"/>
  <c r="S742" i="2"/>
  <c r="U742" i="2" s="1"/>
  <c r="S710" i="2"/>
  <c r="U710" i="2" s="1"/>
  <c r="S646" i="2"/>
  <c r="U646" i="2" s="1"/>
  <c r="S614" i="2"/>
  <c r="U614" i="2" s="1"/>
  <c r="S582" i="2"/>
  <c r="U582" i="2" s="1"/>
  <c r="S550" i="2"/>
  <c r="U550" i="2" s="1"/>
  <c r="S518" i="2"/>
  <c r="U518" i="2" s="1"/>
  <c r="S486" i="2"/>
  <c r="U486" i="2" s="1"/>
  <c r="S454" i="2"/>
  <c r="U454" i="2" s="1"/>
  <c r="U1339" i="2"/>
  <c r="U158" i="2"/>
  <c r="S770" i="2"/>
  <c r="U770" i="2" s="1"/>
  <c r="S762" i="2"/>
  <c r="U762" i="2" s="1"/>
  <c r="U750" i="2"/>
  <c r="S738" i="2"/>
  <c r="U738" i="2" s="1"/>
  <c r="U718" i="2"/>
  <c r="U694" i="2"/>
  <c r="U678" i="2"/>
  <c r="U654" i="2"/>
  <c r="S642" i="2"/>
  <c r="U642" i="2" s="1"/>
  <c r="U630" i="2"/>
  <c r="U590" i="2"/>
  <c r="S1441" i="2"/>
  <c r="U1441" i="2" s="1"/>
  <c r="S1433" i="2"/>
  <c r="U1433" i="2" s="1"/>
  <c r="S1425" i="2"/>
  <c r="U1425" i="2" s="1"/>
  <c r="S1413" i="2"/>
  <c r="U1413" i="2" s="1"/>
  <c r="S1405" i="2"/>
  <c r="U1405" i="2" s="1"/>
  <c r="S1393" i="2"/>
  <c r="U1393" i="2" s="1"/>
  <c r="S1381" i="2"/>
  <c r="U1381" i="2" s="1"/>
  <c r="S1369" i="2"/>
  <c r="U1369" i="2" s="1"/>
  <c r="S1357" i="2"/>
  <c r="U1357" i="2" s="1"/>
  <c r="S1345" i="2"/>
  <c r="U1345" i="2" s="1"/>
  <c r="S1337" i="2"/>
  <c r="U1337" i="2" s="1"/>
  <c r="S1329" i="2"/>
  <c r="U1329" i="2" s="1"/>
  <c r="S1321" i="2"/>
  <c r="U1321" i="2" s="1"/>
  <c r="S1313" i="2"/>
  <c r="U1313" i="2" s="1"/>
  <c r="U1301" i="2"/>
  <c r="U1285" i="2"/>
  <c r="S1273" i="2"/>
  <c r="U1273" i="2" s="1"/>
  <c r="S1265" i="2"/>
  <c r="U1265" i="2" s="1"/>
  <c r="U1253" i="2"/>
  <c r="S1241" i="2"/>
  <c r="U1241" i="2" s="1"/>
  <c r="S1233" i="2"/>
  <c r="U1233" i="2" s="1"/>
  <c r="U1221" i="2"/>
  <c r="S1193" i="2"/>
  <c r="U1193" i="2" s="1"/>
  <c r="S1185" i="2"/>
  <c r="U1185" i="2" s="1"/>
  <c r="U1173" i="2"/>
  <c r="S1161" i="2"/>
  <c r="U1161" i="2" s="1"/>
  <c r="S1153" i="2"/>
  <c r="U1153" i="2" s="1"/>
  <c r="S1129" i="2"/>
  <c r="U1129" i="2" s="1"/>
  <c r="S1121" i="2"/>
  <c r="U1121" i="2" s="1"/>
  <c r="S1113" i="2"/>
  <c r="U1113" i="2" s="1"/>
  <c r="S1109" i="2"/>
  <c r="U1109" i="2" s="1"/>
  <c r="S1311" i="2"/>
  <c r="U1311" i="2" s="1"/>
  <c r="S1269" i="2"/>
  <c r="U1269" i="2" s="1"/>
  <c r="S1205" i="2"/>
  <c r="U1205" i="2" s="1"/>
  <c r="S1141" i="2"/>
  <c r="U1141" i="2" s="1"/>
  <c r="S766" i="2"/>
  <c r="U766" i="2" s="1"/>
  <c r="S734" i="2"/>
  <c r="U734" i="2" s="1"/>
  <c r="S702" i="2"/>
  <c r="U702" i="2" s="1"/>
  <c r="S670" i="2"/>
  <c r="U670" i="2" s="1"/>
  <c r="S638" i="2"/>
  <c r="U638" i="2" s="1"/>
  <c r="S606" i="2"/>
  <c r="U606" i="2" s="1"/>
  <c r="S574" i="2"/>
  <c r="U574" i="2" s="1"/>
  <c r="S542" i="2"/>
  <c r="U542" i="2" s="1"/>
  <c r="S510" i="2"/>
  <c r="U510" i="2" s="1"/>
  <c r="S478" i="2"/>
  <c r="U478" i="2" s="1"/>
  <c r="S446" i="2"/>
  <c r="U446" i="2" s="1"/>
  <c r="U1307" i="2"/>
  <c r="S421" i="2"/>
  <c r="U421" i="2" s="1"/>
  <c r="S417" i="2"/>
  <c r="U417" i="2" s="1"/>
  <c r="U409" i="2"/>
  <c r="S405" i="2"/>
  <c r="U405" i="2" s="1"/>
  <c r="S401" i="2"/>
  <c r="U401" i="2" s="1"/>
  <c r="S389" i="2"/>
  <c r="U389" i="2" s="1"/>
  <c r="S385" i="2"/>
  <c r="U385" i="2" s="1"/>
  <c r="U377" i="2"/>
  <c r="S373" i="2"/>
  <c r="U373" i="2" s="1"/>
  <c r="S369" i="2"/>
  <c r="U369" i="2" s="1"/>
  <c r="S357" i="2"/>
  <c r="U357" i="2" s="1"/>
  <c r="S353" i="2"/>
  <c r="U353" i="2" s="1"/>
  <c r="U345" i="2"/>
  <c r="S341" i="2"/>
  <c r="U341" i="2" s="1"/>
  <c r="S337" i="2"/>
  <c r="U337" i="2" s="1"/>
  <c r="S325" i="2"/>
  <c r="U325" i="2" s="1"/>
  <c r="S321" i="2"/>
  <c r="U321" i="2" s="1"/>
  <c r="S317" i="2"/>
  <c r="U317" i="2" s="1"/>
  <c r="S313" i="2"/>
  <c r="U313" i="2" s="1"/>
  <c r="S309" i="2"/>
  <c r="U309" i="2" s="1"/>
  <c r="S305" i="2"/>
  <c r="U305" i="2" s="1"/>
  <c r="S301" i="2"/>
  <c r="U301" i="2" s="1"/>
  <c r="S297" i="2"/>
  <c r="U297" i="2" s="1"/>
  <c r="S293" i="2"/>
  <c r="U293" i="2" s="1"/>
  <c r="S289" i="2"/>
  <c r="U289" i="2" s="1"/>
  <c r="S285" i="2"/>
  <c r="U285" i="2" s="1"/>
  <c r="S281" i="2"/>
  <c r="U281" i="2" s="1"/>
  <c r="S277" i="2"/>
  <c r="U277" i="2" s="1"/>
  <c r="S273" i="2"/>
  <c r="U273" i="2" s="1"/>
  <c r="S269" i="2"/>
  <c r="U269" i="2" s="1"/>
  <c r="S265" i="2"/>
  <c r="U265" i="2" s="1"/>
  <c r="S261" i="2"/>
  <c r="U261" i="2" s="1"/>
  <c r="S257" i="2"/>
  <c r="U257" i="2" s="1"/>
  <c r="S253" i="2"/>
  <c r="U253" i="2" s="1"/>
  <c r="S249" i="2"/>
  <c r="U249" i="2" s="1"/>
  <c r="S245" i="2"/>
  <c r="U245" i="2" s="1"/>
  <c r="S241" i="2"/>
  <c r="U241" i="2" s="1"/>
  <c r="S237" i="2"/>
  <c r="U237" i="2" s="1"/>
  <c r="S233" i="2"/>
  <c r="U233" i="2" s="1"/>
  <c r="S229" i="2"/>
  <c r="U229" i="2" s="1"/>
  <c r="S225" i="2"/>
  <c r="U225" i="2" s="1"/>
  <c r="S221" i="2"/>
  <c r="U221" i="2" s="1"/>
  <c r="S217" i="2"/>
  <c r="U217" i="2" s="1"/>
  <c r="S213" i="2"/>
  <c r="U213" i="2" s="1"/>
  <c r="S209" i="2"/>
  <c r="U209" i="2" s="1"/>
  <c r="S205" i="2"/>
  <c r="U205" i="2" s="1"/>
  <c r="S201" i="2"/>
  <c r="U201" i="2" s="1"/>
  <c r="S197" i="2"/>
  <c r="U197" i="2" s="1"/>
  <c r="S193" i="2"/>
  <c r="U193" i="2" s="1"/>
  <c r="S189" i="2"/>
  <c r="U189" i="2" s="1"/>
  <c r="S185" i="2"/>
  <c r="U185" i="2" s="1"/>
  <c r="S181" i="2"/>
  <c r="U181" i="2" s="1"/>
  <c r="S177" i="2"/>
  <c r="U177" i="2" s="1"/>
  <c r="S173" i="2"/>
  <c r="U173" i="2" s="1"/>
  <c r="S169" i="2"/>
  <c r="U169" i="2" s="1"/>
  <c r="S165" i="2"/>
  <c r="U165" i="2" s="1"/>
  <c r="S161" i="2"/>
  <c r="U161" i="2" s="1"/>
  <c r="S157" i="2"/>
  <c r="U157" i="2" s="1"/>
  <c r="S153" i="2"/>
  <c r="U153" i="2" s="1"/>
  <c r="S149" i="2"/>
  <c r="U149" i="2" s="1"/>
  <c r="S145" i="2"/>
  <c r="U145" i="2" s="1"/>
  <c r="S141" i="2"/>
  <c r="U141" i="2" s="1"/>
  <c r="S137" i="2"/>
  <c r="U137" i="2" s="1"/>
  <c r="S133" i="2"/>
  <c r="U133" i="2" s="1"/>
  <c r="S129" i="2"/>
  <c r="U129" i="2" s="1"/>
  <c r="S125" i="2"/>
  <c r="U125" i="2" s="1"/>
  <c r="S121" i="2"/>
  <c r="U121" i="2" s="1"/>
  <c r="S117" i="2"/>
  <c r="U117" i="2" s="1"/>
  <c r="S113" i="2"/>
  <c r="U113" i="2" s="1"/>
  <c r="S109" i="2"/>
  <c r="U109" i="2" s="1"/>
  <c r="S105" i="2"/>
  <c r="U105" i="2" s="1"/>
  <c r="S101" i="2"/>
  <c r="U101" i="2" s="1"/>
  <c r="S97" i="2"/>
  <c r="U97" i="2" s="1"/>
  <c r="S93" i="2"/>
  <c r="U93" i="2" s="1"/>
  <c r="S89" i="2"/>
  <c r="U89" i="2" s="1"/>
  <c r="S85" i="2"/>
  <c r="U85" i="2" s="1"/>
  <c r="S81" i="2"/>
  <c r="U81" i="2" s="1"/>
  <c r="S77" i="2"/>
  <c r="U77" i="2" s="1"/>
  <c r="S73" i="2"/>
  <c r="U73" i="2" s="1"/>
  <c r="S69" i="2"/>
  <c r="U69" i="2" s="1"/>
  <c r="S65" i="2"/>
  <c r="U65" i="2" s="1"/>
  <c r="S61" i="2"/>
  <c r="U61" i="2" s="1"/>
  <c r="S57" i="2"/>
  <c r="U57" i="2" s="1"/>
  <c r="S53" i="2"/>
  <c r="U53" i="2" s="1"/>
  <c r="S49" i="2"/>
  <c r="U49" i="2" s="1"/>
  <c r="S45" i="2"/>
  <c r="U45" i="2" s="1"/>
  <c r="S41" i="2"/>
  <c r="U41" i="2" s="1"/>
  <c r="S37" i="2"/>
  <c r="U37" i="2" s="1"/>
  <c r="S33" i="2"/>
  <c r="U33" i="2" s="1"/>
  <c r="S29" i="2"/>
  <c r="U29" i="2" s="1"/>
  <c r="S25" i="2"/>
  <c r="U25" i="2" s="1"/>
  <c r="S21" i="2"/>
  <c r="U21" i="2" s="1"/>
  <c r="S17" i="2"/>
  <c r="U17" i="2" s="1"/>
  <c r="S13" i="2"/>
  <c r="U13" i="2" s="1"/>
  <c r="S9" i="2"/>
  <c r="U9" i="2" s="1"/>
  <c r="S5" i="2"/>
  <c r="U5" i="2" s="1"/>
  <c r="S1101" i="2"/>
  <c r="U1101" i="2" s="1"/>
  <c r="S1093" i="2"/>
  <c r="U1093" i="2" s="1"/>
  <c r="S1085" i="2"/>
  <c r="U1085" i="2" s="1"/>
  <c r="S1077" i="2"/>
  <c r="U1077" i="2" s="1"/>
  <c r="S1069" i="2"/>
  <c r="U1069" i="2" s="1"/>
  <c r="S1061" i="2"/>
  <c r="U1061" i="2" s="1"/>
  <c r="S1053" i="2"/>
  <c r="U1053" i="2" s="1"/>
  <c r="S1045" i="2"/>
  <c r="U1045" i="2" s="1"/>
  <c r="S1037" i="2"/>
  <c r="U1037" i="2" s="1"/>
  <c r="S1029" i="2"/>
  <c r="U1029" i="2" s="1"/>
  <c r="S1021" i="2"/>
  <c r="U1021" i="2" s="1"/>
  <c r="S1013" i="2"/>
  <c r="U1013" i="2" s="1"/>
  <c r="S1005" i="2"/>
  <c r="U1005" i="2" s="1"/>
  <c r="S997" i="2"/>
  <c r="U997" i="2" s="1"/>
  <c r="S989" i="2"/>
  <c r="U989" i="2" s="1"/>
  <c r="S981" i="2"/>
  <c r="U981" i="2" s="1"/>
  <c r="S973" i="2"/>
  <c r="U973" i="2" s="1"/>
  <c r="S965" i="2"/>
  <c r="U965" i="2" s="1"/>
  <c r="S957" i="2"/>
  <c r="U957" i="2" s="1"/>
  <c r="S949" i="2"/>
  <c r="U949" i="2" s="1"/>
  <c r="S941" i="2"/>
  <c r="U941" i="2" s="1"/>
  <c r="S933" i="2"/>
  <c r="U933" i="2" s="1"/>
  <c r="S925" i="2"/>
  <c r="U925" i="2" s="1"/>
  <c r="S917" i="2"/>
  <c r="U917" i="2" s="1"/>
  <c r="S909" i="2"/>
  <c r="U909" i="2" s="1"/>
  <c r="S901" i="2"/>
  <c r="U901" i="2" s="1"/>
  <c r="S893" i="2"/>
  <c r="U893" i="2" s="1"/>
  <c r="S885" i="2"/>
  <c r="U885" i="2" s="1"/>
  <c r="S877" i="2"/>
  <c r="U877" i="2" s="1"/>
  <c r="S869" i="2"/>
  <c r="U869" i="2" s="1"/>
  <c r="S861" i="2"/>
  <c r="U861" i="2" s="1"/>
  <c r="S853" i="2"/>
  <c r="U853" i="2" s="1"/>
  <c r="S845" i="2"/>
  <c r="U845" i="2" s="1"/>
  <c r="S837" i="2"/>
  <c r="U837" i="2" s="1"/>
  <c r="S829" i="2"/>
  <c r="U829" i="2" s="1"/>
  <c r="S821" i="2"/>
  <c r="U821" i="2" s="1"/>
  <c r="S813" i="2"/>
  <c r="U813" i="2" s="1"/>
  <c r="S805" i="2"/>
  <c r="U805" i="2" s="1"/>
  <c r="S797" i="2"/>
  <c r="U797" i="2" s="1"/>
  <c r="S789" i="2"/>
  <c r="U789" i="2" s="1"/>
  <c r="S781" i="2"/>
  <c r="U781" i="2" s="1"/>
  <c r="S773" i="2"/>
  <c r="U773" i="2" s="1"/>
  <c r="S765" i="2"/>
  <c r="U765" i="2" s="1"/>
  <c r="S757" i="2"/>
  <c r="U757" i="2" s="1"/>
  <c r="S749" i="2"/>
  <c r="U749" i="2" s="1"/>
  <c r="S741" i="2"/>
  <c r="U741" i="2" s="1"/>
  <c r="S733" i="2"/>
  <c r="U733" i="2" s="1"/>
  <c r="S725" i="2"/>
  <c r="U725" i="2" s="1"/>
  <c r="S717" i="2"/>
  <c r="U717" i="2" s="1"/>
  <c r="S709" i="2"/>
  <c r="U709" i="2" s="1"/>
  <c r="S701" i="2"/>
  <c r="U701" i="2" s="1"/>
  <c r="S693" i="2"/>
  <c r="U693" i="2" s="1"/>
  <c r="S685" i="2"/>
  <c r="U685" i="2" s="1"/>
  <c r="S677" i="2"/>
  <c r="U677" i="2" s="1"/>
  <c r="S669" i="2"/>
  <c r="U669" i="2" s="1"/>
  <c r="S661" i="2"/>
  <c r="U661" i="2" s="1"/>
  <c r="S653" i="2"/>
  <c r="U653" i="2" s="1"/>
  <c r="S645" i="2"/>
  <c r="U645" i="2" s="1"/>
  <c r="S637" i="2"/>
  <c r="U637" i="2" s="1"/>
  <c r="S629" i="2"/>
  <c r="U629" i="2" s="1"/>
  <c r="S621" i="2"/>
  <c r="U621" i="2" s="1"/>
  <c r="S613" i="2"/>
  <c r="U613" i="2" s="1"/>
  <c r="S605" i="2"/>
  <c r="U605" i="2" s="1"/>
  <c r="S597" i="2"/>
  <c r="U597" i="2" s="1"/>
  <c r="S589" i="2"/>
  <c r="U589" i="2" s="1"/>
  <c r="S581" i="2"/>
  <c r="U581" i="2" s="1"/>
  <c r="S573" i="2"/>
  <c r="U573" i="2" s="1"/>
  <c r="S565" i="2"/>
  <c r="U565" i="2" s="1"/>
  <c r="S557" i="2"/>
  <c r="U557" i="2" s="1"/>
  <c r="S549" i="2"/>
  <c r="U549" i="2" s="1"/>
  <c r="S541" i="2"/>
  <c r="U541" i="2" s="1"/>
  <c r="S533" i="2"/>
  <c r="U533" i="2" s="1"/>
  <c r="S525" i="2"/>
  <c r="U525" i="2" s="1"/>
  <c r="S517" i="2"/>
  <c r="U517" i="2" s="1"/>
  <c r="S509" i="2"/>
  <c r="U509" i="2" s="1"/>
  <c r="S501" i="2"/>
  <c r="U501" i="2" s="1"/>
  <c r="S493" i="2"/>
  <c r="U493" i="2" s="1"/>
  <c r="S485" i="2"/>
  <c r="U485" i="2" s="1"/>
  <c r="S477" i="2"/>
  <c r="U477" i="2" s="1"/>
  <c r="S469" i="2"/>
  <c r="U469" i="2" s="1"/>
  <c r="S461" i="2"/>
  <c r="U461" i="2" s="1"/>
  <c r="S453" i="2"/>
  <c r="U453" i="2" s="1"/>
  <c r="S445" i="2"/>
  <c r="U445" i="2" s="1"/>
  <c r="S437" i="2"/>
  <c r="U437" i="2" s="1"/>
  <c r="S429" i="2"/>
  <c r="U429" i="2" s="1"/>
  <c r="S419" i="2"/>
  <c r="U419" i="2" s="1"/>
  <c r="S397" i="2"/>
  <c r="U397" i="2" s="1"/>
  <c r="S365" i="2"/>
  <c r="U365" i="2" s="1"/>
  <c r="S355" i="2"/>
  <c r="U355" i="2" s="1"/>
  <c r="S333" i="2"/>
  <c r="U333" i="2" s="1"/>
  <c r="U1271" i="2"/>
  <c r="U1239" i="2"/>
  <c r="U1207" i="2"/>
  <c r="U1175" i="2"/>
  <c r="U1143" i="2"/>
  <c r="U1111" i="2"/>
  <c r="U1079" i="2"/>
  <c r="U1047" i="2"/>
  <c r="U1015" i="2"/>
  <c r="U983" i="2"/>
  <c r="U951" i="2"/>
  <c r="U919" i="2"/>
  <c r="U887" i="2"/>
  <c r="U855" i="2"/>
  <c r="U823" i="2"/>
  <c r="U791" i="2"/>
  <c r="U759" i="2"/>
  <c r="U727" i="2"/>
  <c r="U695" i="2"/>
  <c r="U611" i="2"/>
  <c r="U483" i="2"/>
  <c r="S1268" i="2"/>
  <c r="U1268" i="2" s="1"/>
  <c r="S1264" i="2"/>
  <c r="U1264" i="2" s="1"/>
  <c r="S1260" i="2"/>
  <c r="U1260" i="2" s="1"/>
  <c r="S1256" i="2"/>
  <c r="U1256" i="2" s="1"/>
  <c r="S1252" i="2"/>
  <c r="U1252" i="2" s="1"/>
  <c r="S1248" i="2"/>
  <c r="U1248" i="2" s="1"/>
  <c r="S1244" i="2"/>
  <c r="U1244" i="2" s="1"/>
  <c r="S1240" i="2"/>
  <c r="U1240" i="2" s="1"/>
  <c r="S1236" i="2"/>
  <c r="U1236" i="2" s="1"/>
  <c r="S1232" i="2"/>
  <c r="U1232" i="2" s="1"/>
  <c r="S1228" i="2"/>
  <c r="U1228" i="2" s="1"/>
  <c r="S1224" i="2"/>
  <c r="U1224" i="2" s="1"/>
  <c r="S1220" i="2"/>
  <c r="U1220" i="2" s="1"/>
  <c r="S1216" i="2"/>
  <c r="U1216" i="2" s="1"/>
  <c r="S1212" i="2"/>
  <c r="U1212" i="2" s="1"/>
  <c r="S1208" i="2"/>
  <c r="U1208" i="2" s="1"/>
  <c r="S1204" i="2"/>
  <c r="U1204" i="2" s="1"/>
  <c r="S1200" i="2"/>
  <c r="U1200" i="2" s="1"/>
  <c r="S1196" i="2"/>
  <c r="U1196" i="2" s="1"/>
  <c r="S1192" i="2"/>
  <c r="U1192" i="2" s="1"/>
  <c r="S1188" i="2"/>
  <c r="U1188" i="2" s="1"/>
  <c r="S1184" i="2"/>
  <c r="U1184" i="2" s="1"/>
  <c r="S1180" i="2"/>
  <c r="U1180" i="2" s="1"/>
  <c r="S1176" i="2"/>
  <c r="U1176" i="2" s="1"/>
  <c r="S1172" i="2"/>
  <c r="U1172" i="2" s="1"/>
  <c r="S1168" i="2"/>
  <c r="U1168" i="2" s="1"/>
  <c r="S1164" i="2"/>
  <c r="U1164" i="2" s="1"/>
  <c r="S1160" i="2"/>
  <c r="U1160" i="2" s="1"/>
  <c r="S1156" i="2"/>
  <c r="U1156" i="2" s="1"/>
  <c r="S1152" i="2"/>
  <c r="U1152" i="2" s="1"/>
  <c r="S1148" i="2"/>
  <c r="U1148" i="2" s="1"/>
  <c r="S1144" i="2"/>
  <c r="U1144" i="2" s="1"/>
  <c r="S1140" i="2"/>
  <c r="U1140" i="2" s="1"/>
  <c r="S1136" i="2"/>
  <c r="U1136" i="2" s="1"/>
  <c r="S1132" i="2"/>
  <c r="U1132" i="2" s="1"/>
  <c r="S1128" i="2"/>
  <c r="U1128" i="2" s="1"/>
  <c r="S1124" i="2"/>
  <c r="U1124" i="2" s="1"/>
  <c r="S1120" i="2"/>
  <c r="U1120" i="2" s="1"/>
  <c r="S1116" i="2"/>
  <c r="U1116" i="2" s="1"/>
  <c r="S1112" i="2"/>
  <c r="U1112" i="2" s="1"/>
  <c r="S1108" i="2"/>
  <c r="U1108" i="2" s="1"/>
  <c r="S1104" i="2"/>
  <c r="U1104" i="2" s="1"/>
  <c r="S1100" i="2"/>
  <c r="U1100" i="2" s="1"/>
  <c r="S1096" i="2"/>
  <c r="U1096" i="2" s="1"/>
  <c r="S1092" i="2"/>
  <c r="U1092" i="2" s="1"/>
  <c r="S1088" i="2"/>
  <c r="U1088" i="2" s="1"/>
  <c r="S1084" i="2"/>
  <c r="U1084" i="2" s="1"/>
  <c r="S1080" i="2"/>
  <c r="U1080" i="2" s="1"/>
  <c r="S1076" i="2"/>
  <c r="U1076" i="2" s="1"/>
  <c r="S1072" i="2"/>
  <c r="U1072" i="2" s="1"/>
  <c r="S1068" i="2"/>
  <c r="U1068" i="2" s="1"/>
  <c r="S1064" i="2"/>
  <c r="U1064" i="2" s="1"/>
  <c r="S1060" i="2"/>
  <c r="U1060" i="2" s="1"/>
  <c r="S1056" i="2"/>
  <c r="U1056" i="2" s="1"/>
  <c r="S1052" i="2"/>
  <c r="U1052" i="2" s="1"/>
  <c r="S1048" i="2"/>
  <c r="U1048" i="2" s="1"/>
  <c r="S1044" i="2"/>
  <c r="U1044" i="2" s="1"/>
  <c r="S1040" i="2"/>
  <c r="U1040" i="2" s="1"/>
  <c r="S1036" i="2"/>
  <c r="U1036" i="2" s="1"/>
  <c r="S1032" i="2"/>
  <c r="U1032" i="2" s="1"/>
  <c r="S1028" i="2"/>
  <c r="U1028" i="2" s="1"/>
  <c r="S1024" i="2"/>
  <c r="U1024" i="2" s="1"/>
  <c r="S1020" i="2"/>
  <c r="U1020" i="2" s="1"/>
  <c r="S1016" i="2"/>
  <c r="U1016" i="2" s="1"/>
  <c r="S1012" i="2"/>
  <c r="U1012" i="2" s="1"/>
  <c r="S1008" i="2"/>
  <c r="U1008" i="2" s="1"/>
  <c r="S1004" i="2"/>
  <c r="U1004" i="2" s="1"/>
  <c r="S1000" i="2"/>
  <c r="U1000" i="2" s="1"/>
  <c r="S996" i="2"/>
  <c r="U996" i="2" s="1"/>
  <c r="S992" i="2"/>
  <c r="U992" i="2" s="1"/>
  <c r="S988" i="2"/>
  <c r="U988" i="2" s="1"/>
  <c r="S984" i="2"/>
  <c r="U984" i="2" s="1"/>
  <c r="S980" i="2"/>
  <c r="U980" i="2" s="1"/>
  <c r="S976" i="2"/>
  <c r="U976" i="2" s="1"/>
  <c r="S972" i="2"/>
  <c r="U972" i="2" s="1"/>
  <c r="S968" i="2"/>
  <c r="U968" i="2" s="1"/>
  <c r="S964" i="2"/>
  <c r="U964" i="2" s="1"/>
  <c r="S960" i="2"/>
  <c r="U960" i="2" s="1"/>
  <c r="S956" i="2"/>
  <c r="U956" i="2" s="1"/>
  <c r="S952" i="2"/>
  <c r="U952" i="2" s="1"/>
  <c r="S948" i="2"/>
  <c r="U948" i="2" s="1"/>
  <c r="S944" i="2"/>
  <c r="U944" i="2" s="1"/>
  <c r="S940" i="2"/>
  <c r="U940" i="2" s="1"/>
  <c r="S936" i="2"/>
  <c r="U936" i="2" s="1"/>
  <c r="S932" i="2"/>
  <c r="U932" i="2" s="1"/>
  <c r="S928" i="2"/>
  <c r="U928" i="2" s="1"/>
  <c r="S924" i="2"/>
  <c r="U924" i="2" s="1"/>
  <c r="S920" i="2"/>
  <c r="U920" i="2" s="1"/>
  <c r="S916" i="2"/>
  <c r="U916" i="2" s="1"/>
  <c r="S912" i="2"/>
  <c r="U912" i="2" s="1"/>
  <c r="S908" i="2"/>
  <c r="U908" i="2" s="1"/>
  <c r="S904" i="2"/>
  <c r="U904" i="2" s="1"/>
  <c r="S900" i="2"/>
  <c r="U900" i="2" s="1"/>
  <c r="S896" i="2"/>
  <c r="U896" i="2" s="1"/>
  <c r="S892" i="2"/>
  <c r="U892" i="2" s="1"/>
  <c r="S888" i="2"/>
  <c r="U888" i="2" s="1"/>
  <c r="S884" i="2"/>
  <c r="U884" i="2" s="1"/>
  <c r="S880" i="2"/>
  <c r="U880" i="2" s="1"/>
  <c r="S876" i="2"/>
  <c r="U876" i="2" s="1"/>
  <c r="S872" i="2"/>
  <c r="U872" i="2" s="1"/>
  <c r="S868" i="2"/>
  <c r="U868" i="2" s="1"/>
  <c r="S864" i="2"/>
  <c r="U864" i="2" s="1"/>
  <c r="S860" i="2"/>
  <c r="U860" i="2" s="1"/>
  <c r="S856" i="2"/>
  <c r="U856" i="2" s="1"/>
  <c r="S852" i="2"/>
  <c r="U852" i="2" s="1"/>
  <c r="S848" i="2"/>
  <c r="U848" i="2" s="1"/>
  <c r="S844" i="2"/>
  <c r="U844" i="2" s="1"/>
  <c r="S840" i="2"/>
  <c r="U840" i="2" s="1"/>
  <c r="S836" i="2"/>
  <c r="U836" i="2" s="1"/>
  <c r="S832" i="2"/>
  <c r="U832" i="2" s="1"/>
  <c r="S828" i="2"/>
  <c r="U828" i="2" s="1"/>
  <c r="S824" i="2"/>
  <c r="U824" i="2" s="1"/>
  <c r="S820" i="2"/>
  <c r="U820" i="2" s="1"/>
  <c r="S816" i="2"/>
  <c r="U816" i="2" s="1"/>
  <c r="S812" i="2"/>
  <c r="U812" i="2" s="1"/>
  <c r="S808" i="2"/>
  <c r="U808" i="2" s="1"/>
  <c r="S804" i="2"/>
  <c r="U804" i="2" s="1"/>
  <c r="S800" i="2"/>
  <c r="U800" i="2" s="1"/>
  <c r="S796" i="2"/>
  <c r="U796" i="2" s="1"/>
  <c r="S792" i="2"/>
  <c r="U792" i="2" s="1"/>
  <c r="S788" i="2"/>
  <c r="U788" i="2" s="1"/>
  <c r="S784" i="2"/>
  <c r="U784" i="2" s="1"/>
  <c r="S780" i="2"/>
  <c r="U780" i="2" s="1"/>
  <c r="S776" i="2"/>
  <c r="U776" i="2" s="1"/>
  <c r="S772" i="2"/>
  <c r="U772" i="2" s="1"/>
  <c r="S768" i="2"/>
  <c r="U768" i="2" s="1"/>
  <c r="S764" i="2"/>
  <c r="U764" i="2" s="1"/>
  <c r="S760" i="2"/>
  <c r="U760" i="2" s="1"/>
  <c r="S756" i="2"/>
  <c r="U756" i="2" s="1"/>
  <c r="S752" i="2"/>
  <c r="U752" i="2" s="1"/>
  <c r="S748" i="2"/>
  <c r="U748" i="2" s="1"/>
  <c r="S744" i="2"/>
  <c r="U744" i="2" s="1"/>
  <c r="S740" i="2"/>
  <c r="U740" i="2" s="1"/>
  <c r="S736" i="2"/>
  <c r="U736" i="2" s="1"/>
  <c r="S732" i="2"/>
  <c r="U732" i="2" s="1"/>
  <c r="S728" i="2"/>
  <c r="U728" i="2" s="1"/>
  <c r="S724" i="2"/>
  <c r="U724" i="2" s="1"/>
  <c r="S720" i="2"/>
  <c r="U720" i="2" s="1"/>
  <c r="S716" i="2"/>
  <c r="U716" i="2" s="1"/>
  <c r="S712" i="2"/>
  <c r="U712" i="2" s="1"/>
  <c r="S708" i="2"/>
  <c r="U708" i="2" s="1"/>
  <c r="S704" i="2"/>
  <c r="U704" i="2" s="1"/>
  <c r="S700" i="2"/>
  <c r="U700" i="2" s="1"/>
  <c r="S696" i="2"/>
  <c r="U696" i="2" s="1"/>
  <c r="S692" i="2"/>
  <c r="U692" i="2" s="1"/>
  <c r="S688" i="2"/>
  <c r="U688" i="2" s="1"/>
  <c r="S684" i="2"/>
  <c r="U684" i="2" s="1"/>
  <c r="S680" i="2"/>
  <c r="U680" i="2" s="1"/>
  <c r="S676" i="2"/>
  <c r="U676" i="2" s="1"/>
  <c r="S672" i="2"/>
  <c r="U672" i="2" s="1"/>
  <c r="S668" i="2"/>
  <c r="U668" i="2" s="1"/>
  <c r="S664" i="2"/>
  <c r="U664" i="2" s="1"/>
  <c r="S660" i="2"/>
  <c r="U660" i="2" s="1"/>
  <c r="S656" i="2"/>
  <c r="U656" i="2" s="1"/>
  <c r="S652" i="2"/>
  <c r="U652" i="2" s="1"/>
  <c r="S648" i="2"/>
  <c r="U648" i="2" s="1"/>
  <c r="S644" i="2"/>
  <c r="U644" i="2" s="1"/>
  <c r="S640" i="2"/>
  <c r="U640" i="2" s="1"/>
  <c r="S636" i="2"/>
  <c r="U636" i="2" s="1"/>
  <c r="S632" i="2"/>
  <c r="U632" i="2" s="1"/>
  <c r="S628" i="2"/>
  <c r="U628" i="2" s="1"/>
  <c r="S624" i="2"/>
  <c r="U624" i="2" s="1"/>
  <c r="S620" i="2"/>
  <c r="U620" i="2" s="1"/>
  <c r="S616" i="2"/>
  <c r="U616" i="2" s="1"/>
  <c r="S612" i="2"/>
  <c r="U612" i="2" s="1"/>
  <c r="S608" i="2"/>
  <c r="U608" i="2" s="1"/>
  <c r="S604" i="2"/>
  <c r="U604" i="2" s="1"/>
  <c r="S600" i="2"/>
  <c r="U600" i="2" s="1"/>
  <c r="S596" i="2"/>
  <c r="U596" i="2" s="1"/>
  <c r="S592" i="2"/>
  <c r="U592" i="2" s="1"/>
  <c r="S588" i="2"/>
  <c r="U588" i="2" s="1"/>
  <c r="S584" i="2"/>
  <c r="U584" i="2" s="1"/>
  <c r="S580" i="2"/>
  <c r="U580" i="2" s="1"/>
  <c r="S576" i="2"/>
  <c r="U576" i="2" s="1"/>
  <c r="S572" i="2"/>
  <c r="U572" i="2" s="1"/>
  <c r="S568" i="2"/>
  <c r="U568" i="2" s="1"/>
  <c r="S564" i="2"/>
  <c r="U564" i="2" s="1"/>
  <c r="S560" i="2"/>
  <c r="U560" i="2" s="1"/>
  <c r="S556" i="2"/>
  <c r="U556" i="2" s="1"/>
  <c r="S552" i="2"/>
  <c r="U552" i="2" s="1"/>
  <c r="S548" i="2"/>
  <c r="U548" i="2" s="1"/>
  <c r="S544" i="2"/>
  <c r="U544" i="2" s="1"/>
  <c r="S540" i="2"/>
  <c r="U540" i="2" s="1"/>
  <c r="S536" i="2"/>
  <c r="U536" i="2" s="1"/>
  <c r="S532" i="2"/>
  <c r="U532" i="2" s="1"/>
  <c r="S528" i="2"/>
  <c r="U528" i="2" s="1"/>
  <c r="S524" i="2"/>
  <c r="U524" i="2" s="1"/>
  <c r="S520" i="2"/>
  <c r="U520" i="2" s="1"/>
  <c r="S516" i="2"/>
  <c r="U516" i="2" s="1"/>
  <c r="S512" i="2"/>
  <c r="U512" i="2" s="1"/>
  <c r="S508" i="2"/>
  <c r="U508" i="2" s="1"/>
  <c r="S504" i="2"/>
  <c r="U504" i="2" s="1"/>
  <c r="S500" i="2"/>
  <c r="U500" i="2" s="1"/>
  <c r="S496" i="2"/>
  <c r="U496" i="2" s="1"/>
  <c r="S492" i="2"/>
  <c r="U492" i="2" s="1"/>
  <c r="S488" i="2"/>
  <c r="U488" i="2" s="1"/>
  <c r="S484" i="2"/>
  <c r="U484" i="2" s="1"/>
  <c r="S480" i="2"/>
  <c r="U480" i="2" s="1"/>
  <c r="S476" i="2"/>
  <c r="U476" i="2" s="1"/>
  <c r="S472" i="2"/>
  <c r="U472" i="2" s="1"/>
  <c r="S468" i="2"/>
  <c r="U468" i="2" s="1"/>
  <c r="S464" i="2"/>
  <c r="U464" i="2" s="1"/>
  <c r="S460" i="2"/>
  <c r="U460" i="2" s="1"/>
  <c r="S456" i="2"/>
  <c r="U456" i="2" s="1"/>
  <c r="S452" i="2"/>
  <c r="U452" i="2" s="1"/>
  <c r="S448" i="2"/>
  <c r="U448" i="2" s="1"/>
  <c r="S444" i="2"/>
  <c r="U444" i="2" s="1"/>
  <c r="S440" i="2"/>
  <c r="U440" i="2" s="1"/>
  <c r="S436" i="2"/>
  <c r="U436" i="2" s="1"/>
  <c r="S432" i="2"/>
  <c r="U432" i="2" s="1"/>
  <c r="S428" i="2"/>
  <c r="U428" i="2" s="1"/>
  <c r="U420" i="2"/>
  <c r="S416" i="2"/>
  <c r="U416" i="2" s="1"/>
  <c r="S412" i="2"/>
  <c r="U412" i="2" s="1"/>
  <c r="U408" i="2"/>
  <c r="S400" i="2"/>
  <c r="U400" i="2" s="1"/>
  <c r="S396" i="2"/>
  <c r="U396" i="2" s="1"/>
  <c r="U388" i="2"/>
  <c r="S384" i="2"/>
  <c r="U384" i="2" s="1"/>
  <c r="S380" i="2"/>
  <c r="U380" i="2" s="1"/>
  <c r="U376" i="2"/>
  <c r="S368" i="2"/>
  <c r="U368" i="2" s="1"/>
  <c r="S364" i="2"/>
  <c r="U364" i="2" s="1"/>
  <c r="U356" i="2"/>
  <c r="S352" i="2"/>
  <c r="U352" i="2" s="1"/>
  <c r="S348" i="2"/>
  <c r="U348" i="2" s="1"/>
  <c r="U344" i="2"/>
  <c r="S336" i="2"/>
  <c r="U336" i="2" s="1"/>
  <c r="S332" i="2"/>
  <c r="U332" i="2" s="1"/>
  <c r="U324" i="2"/>
  <c r="S320" i="2"/>
  <c r="U320" i="2" s="1"/>
  <c r="S312" i="2"/>
  <c r="U312" i="2" s="1"/>
  <c r="U308" i="2"/>
  <c r="S304" i="2"/>
  <c r="U304" i="2" s="1"/>
  <c r="S296" i="2"/>
  <c r="U296" i="2" s="1"/>
  <c r="U292" i="2"/>
  <c r="S288" i="2"/>
  <c r="U288" i="2" s="1"/>
  <c r="S280" i="2"/>
  <c r="U280" i="2" s="1"/>
  <c r="U276" i="2"/>
  <c r="S272" i="2"/>
  <c r="U272" i="2" s="1"/>
  <c r="S264" i="2"/>
  <c r="U264" i="2" s="1"/>
  <c r="U260" i="2"/>
  <c r="S256" i="2"/>
  <c r="U256" i="2" s="1"/>
  <c r="S248" i="2"/>
  <c r="U248" i="2" s="1"/>
  <c r="U244" i="2"/>
  <c r="S240" i="2"/>
  <c r="U240" i="2" s="1"/>
  <c r="S232" i="2"/>
  <c r="U232" i="2" s="1"/>
  <c r="U228" i="2"/>
  <c r="S224" i="2"/>
  <c r="U224" i="2" s="1"/>
  <c r="S216" i="2"/>
  <c r="U216" i="2" s="1"/>
  <c r="U212" i="2"/>
  <c r="S208" i="2"/>
  <c r="U208" i="2" s="1"/>
  <c r="S200" i="2"/>
  <c r="U200" i="2" s="1"/>
  <c r="U196" i="2"/>
  <c r="S192" i="2"/>
  <c r="U192" i="2" s="1"/>
  <c r="S184" i="2"/>
  <c r="U184" i="2" s="1"/>
  <c r="U180" i="2"/>
  <c r="S176" i="2"/>
  <c r="U176" i="2" s="1"/>
  <c r="S168" i="2"/>
  <c r="U168" i="2" s="1"/>
  <c r="U164" i="2"/>
  <c r="S160" i="2"/>
  <c r="U160" i="2" s="1"/>
  <c r="S152" i="2"/>
  <c r="U152" i="2" s="1"/>
  <c r="U148" i="2"/>
  <c r="S144" i="2"/>
  <c r="U144" i="2" s="1"/>
  <c r="S136" i="2"/>
  <c r="U136" i="2" s="1"/>
  <c r="U132" i="2"/>
  <c r="S128" i="2"/>
  <c r="U128" i="2" s="1"/>
  <c r="S120" i="2"/>
  <c r="U120" i="2" s="1"/>
  <c r="U116" i="2"/>
  <c r="S112" i="2"/>
  <c r="U112" i="2" s="1"/>
  <c r="S104" i="2"/>
  <c r="U104" i="2" s="1"/>
  <c r="U100" i="2"/>
  <c r="S96" i="2"/>
  <c r="U96" i="2" s="1"/>
  <c r="S88" i="2"/>
  <c r="U88" i="2" s="1"/>
  <c r="U84" i="2"/>
  <c r="S80" i="2"/>
  <c r="U80" i="2" s="1"/>
  <c r="S72" i="2"/>
  <c r="U72" i="2" s="1"/>
  <c r="U68" i="2"/>
  <c r="S64" i="2"/>
  <c r="U64" i="2" s="1"/>
  <c r="S56" i="2"/>
  <c r="U56" i="2" s="1"/>
  <c r="U52" i="2"/>
  <c r="S48" i="2"/>
  <c r="U48" i="2" s="1"/>
  <c r="S40" i="2"/>
  <c r="U40" i="2" s="1"/>
  <c r="U36" i="2"/>
  <c r="S32" i="2"/>
  <c r="U32" i="2" s="1"/>
  <c r="S24" i="2"/>
  <c r="U24" i="2" s="1"/>
  <c r="S20" i="2"/>
  <c r="U20" i="2" s="1"/>
  <c r="S16" i="2"/>
  <c r="U16" i="2" s="1"/>
  <c r="S12" i="2"/>
  <c r="U12" i="2" s="1"/>
  <c r="S8" i="2"/>
  <c r="U8" i="2" s="1"/>
  <c r="S4" i="2"/>
  <c r="U4" i="2" s="1"/>
  <c r="S1287" i="2"/>
  <c r="U1287" i="2" s="1"/>
  <c r="S1255" i="2"/>
  <c r="U1255" i="2" s="1"/>
  <c r="S1223" i="2"/>
  <c r="U1223" i="2" s="1"/>
  <c r="S1191" i="2"/>
  <c r="U1191" i="2" s="1"/>
  <c r="S1159" i="2"/>
  <c r="U1159" i="2" s="1"/>
  <c r="S1127" i="2"/>
  <c r="U1127" i="2" s="1"/>
  <c r="S425" i="2"/>
  <c r="U425" i="2" s="1"/>
  <c r="S404" i="2"/>
  <c r="U404" i="2" s="1"/>
  <c r="S393" i="2"/>
  <c r="U393" i="2" s="1"/>
  <c r="S372" i="2"/>
  <c r="U372" i="2" s="1"/>
  <c r="S361" i="2"/>
  <c r="U361" i="2" s="1"/>
  <c r="S340" i="2"/>
  <c r="U340" i="2" s="1"/>
  <c r="S329" i="2"/>
  <c r="U329" i="2" s="1"/>
  <c r="U1291" i="2"/>
  <c r="U1259" i="2"/>
  <c r="U1227" i="2"/>
  <c r="U1195" i="2"/>
  <c r="U1163" i="2"/>
  <c r="U1131" i="2"/>
  <c r="U1099" i="2"/>
  <c r="U1067" i="2"/>
  <c r="U1035" i="2"/>
  <c r="U1003" i="2"/>
  <c r="U971" i="2"/>
  <c r="U939" i="2"/>
  <c r="U907" i="2"/>
  <c r="U875" i="2"/>
  <c r="U843" i="2"/>
  <c r="U811" i="2"/>
  <c r="U779" i="2"/>
  <c r="U747" i="2"/>
  <c r="U715" i="2"/>
  <c r="U679" i="2"/>
  <c r="U563" i="2"/>
  <c r="U435" i="2"/>
  <c r="U1295" i="2"/>
  <c r="U1283" i="2"/>
  <c r="U1279" i="2"/>
  <c r="U1267" i="2"/>
  <c r="U1263" i="2"/>
  <c r="U1251" i="2"/>
  <c r="U1247" i="2"/>
  <c r="U1235" i="2"/>
  <c r="U1231" i="2"/>
  <c r="U1219" i="2"/>
  <c r="U1215" i="2"/>
  <c r="U1203" i="2"/>
  <c r="U1199" i="2"/>
  <c r="U1187" i="2"/>
  <c r="U1183" i="2"/>
  <c r="U1171" i="2"/>
  <c r="U1167" i="2"/>
  <c r="U1155" i="2"/>
  <c r="U1151" i="2"/>
  <c r="U1139" i="2"/>
  <c r="U1135" i="2"/>
  <c r="U1123" i="2"/>
  <c r="S1119" i="2"/>
  <c r="U1119" i="2" s="1"/>
  <c r="S1107" i="2"/>
  <c r="U1107" i="2" s="1"/>
  <c r="S1103" i="2"/>
  <c r="U1103" i="2" s="1"/>
  <c r="S1091" i="2"/>
  <c r="U1091" i="2" s="1"/>
  <c r="S1087" i="2"/>
  <c r="U1087" i="2" s="1"/>
  <c r="S1075" i="2"/>
  <c r="U1075" i="2" s="1"/>
  <c r="S1071" i="2"/>
  <c r="U1071" i="2" s="1"/>
  <c r="S1059" i="2"/>
  <c r="U1059" i="2" s="1"/>
  <c r="S1055" i="2"/>
  <c r="U1055" i="2" s="1"/>
  <c r="S1043" i="2"/>
  <c r="U1043" i="2" s="1"/>
  <c r="S1039" i="2"/>
  <c r="U1039" i="2" s="1"/>
  <c r="S1027" i="2"/>
  <c r="U1027" i="2" s="1"/>
  <c r="S1023" i="2"/>
  <c r="U1023" i="2" s="1"/>
  <c r="S1011" i="2"/>
  <c r="U1011" i="2" s="1"/>
  <c r="S1007" i="2"/>
  <c r="U1007" i="2" s="1"/>
  <c r="S995" i="2"/>
  <c r="U995" i="2" s="1"/>
  <c r="S991" i="2"/>
  <c r="U991" i="2" s="1"/>
  <c r="S979" i="2"/>
  <c r="U979" i="2" s="1"/>
  <c r="S975" i="2"/>
  <c r="U975" i="2" s="1"/>
  <c r="S963" i="2"/>
  <c r="U963" i="2" s="1"/>
  <c r="S959" i="2"/>
  <c r="U959" i="2" s="1"/>
  <c r="S947" i="2"/>
  <c r="U947" i="2" s="1"/>
  <c r="S943" i="2"/>
  <c r="U943" i="2" s="1"/>
  <c r="S931" i="2"/>
  <c r="U931" i="2" s="1"/>
  <c r="S927" i="2"/>
  <c r="U927" i="2" s="1"/>
  <c r="S915" i="2"/>
  <c r="U915" i="2" s="1"/>
  <c r="S911" i="2"/>
  <c r="U911" i="2" s="1"/>
  <c r="S899" i="2"/>
  <c r="U899" i="2" s="1"/>
  <c r="S895" i="2"/>
  <c r="U895" i="2" s="1"/>
  <c r="S883" i="2"/>
  <c r="U883" i="2" s="1"/>
  <c r="S879" i="2"/>
  <c r="U879" i="2" s="1"/>
  <c r="S867" i="2"/>
  <c r="U867" i="2" s="1"/>
  <c r="S863" i="2"/>
  <c r="U863" i="2" s="1"/>
  <c r="S851" i="2"/>
  <c r="U851" i="2" s="1"/>
  <c r="S847" i="2"/>
  <c r="U847" i="2" s="1"/>
  <c r="S835" i="2"/>
  <c r="U835" i="2" s="1"/>
  <c r="S831" i="2"/>
  <c r="U831" i="2" s="1"/>
  <c r="S819" i="2"/>
  <c r="U819" i="2" s="1"/>
  <c r="S815" i="2"/>
  <c r="U815" i="2" s="1"/>
  <c r="S803" i="2"/>
  <c r="U803" i="2" s="1"/>
  <c r="S799" i="2"/>
  <c r="U799" i="2" s="1"/>
  <c r="S787" i="2"/>
  <c r="U787" i="2" s="1"/>
  <c r="S783" i="2"/>
  <c r="U783" i="2" s="1"/>
  <c r="S771" i="2"/>
  <c r="U771" i="2" s="1"/>
  <c r="S767" i="2"/>
  <c r="U767" i="2" s="1"/>
  <c r="S755" i="2"/>
  <c r="U755" i="2" s="1"/>
  <c r="S751" i="2"/>
  <c r="U751" i="2" s="1"/>
  <c r="S739" i="2"/>
  <c r="U739" i="2" s="1"/>
  <c r="S735" i="2"/>
  <c r="U735" i="2" s="1"/>
  <c r="S723" i="2"/>
  <c r="U723" i="2" s="1"/>
  <c r="S719" i="2"/>
  <c r="U719" i="2" s="1"/>
  <c r="S707" i="2"/>
  <c r="U707" i="2" s="1"/>
  <c r="S703" i="2"/>
  <c r="U703" i="2" s="1"/>
  <c r="S691" i="2"/>
  <c r="U691" i="2" s="1"/>
  <c r="S687" i="2"/>
  <c r="U687" i="2" s="1"/>
  <c r="S683" i="2"/>
  <c r="U683" i="2" s="1"/>
  <c r="S675" i="2"/>
  <c r="U675" i="2" s="1"/>
  <c r="S667" i="2"/>
  <c r="U667" i="2" s="1"/>
  <c r="S663" i="2"/>
  <c r="U663" i="2" s="1"/>
  <c r="S659" i="2"/>
  <c r="U659" i="2" s="1"/>
  <c r="S655" i="2"/>
  <c r="U655" i="2" s="1"/>
  <c r="S651" i="2"/>
  <c r="U651" i="2" s="1"/>
  <c r="S647" i="2"/>
  <c r="U647" i="2" s="1"/>
  <c r="S643" i="2"/>
  <c r="U643" i="2" s="1"/>
  <c r="S639" i="2"/>
  <c r="U639" i="2" s="1"/>
  <c r="S635" i="2"/>
  <c r="U635" i="2" s="1"/>
  <c r="S631" i="2"/>
  <c r="U631" i="2" s="1"/>
  <c r="S623" i="2"/>
  <c r="U623" i="2" s="1"/>
  <c r="S619" i="2"/>
  <c r="U619" i="2" s="1"/>
  <c r="S615" i="2"/>
  <c r="U615" i="2" s="1"/>
  <c r="S607" i="2"/>
  <c r="U607" i="2" s="1"/>
  <c r="S603" i="2"/>
  <c r="U603" i="2" s="1"/>
  <c r="S599" i="2"/>
  <c r="U599" i="2" s="1"/>
  <c r="S595" i="2"/>
  <c r="U595" i="2" s="1"/>
  <c r="S591" i="2"/>
  <c r="U591" i="2" s="1"/>
  <c r="S587" i="2"/>
  <c r="U587" i="2" s="1"/>
  <c r="S583" i="2"/>
  <c r="U583" i="2" s="1"/>
  <c r="S579" i="2"/>
  <c r="U579" i="2" s="1"/>
  <c r="S575" i="2"/>
  <c r="U575" i="2" s="1"/>
  <c r="S571" i="2"/>
  <c r="U571" i="2" s="1"/>
  <c r="S567" i="2"/>
  <c r="U567" i="2" s="1"/>
  <c r="S559" i="2"/>
  <c r="U559" i="2" s="1"/>
  <c r="S555" i="2"/>
  <c r="U555" i="2" s="1"/>
  <c r="S551" i="2"/>
  <c r="U551" i="2" s="1"/>
  <c r="S543" i="2"/>
  <c r="U543" i="2" s="1"/>
  <c r="S539" i="2"/>
  <c r="U539" i="2" s="1"/>
  <c r="S535" i="2"/>
  <c r="U535" i="2" s="1"/>
  <c r="S531" i="2"/>
  <c r="U531" i="2" s="1"/>
  <c r="S527" i="2"/>
  <c r="U527" i="2" s="1"/>
  <c r="S523" i="2"/>
  <c r="U523" i="2" s="1"/>
  <c r="S519" i="2"/>
  <c r="U519" i="2" s="1"/>
  <c r="S515" i="2"/>
  <c r="U515" i="2" s="1"/>
  <c r="S511" i="2"/>
  <c r="U511" i="2" s="1"/>
  <c r="S507" i="2"/>
  <c r="U507" i="2" s="1"/>
  <c r="S503" i="2"/>
  <c r="U503" i="2" s="1"/>
  <c r="S495" i="2"/>
  <c r="U495" i="2" s="1"/>
  <c r="S491" i="2"/>
  <c r="U491" i="2" s="1"/>
  <c r="S487" i="2"/>
  <c r="U487" i="2" s="1"/>
  <c r="S479" i="2"/>
  <c r="U479" i="2" s="1"/>
  <c r="S475" i="2"/>
  <c r="U475" i="2" s="1"/>
  <c r="S471" i="2"/>
  <c r="U471" i="2" s="1"/>
  <c r="S467" i="2"/>
  <c r="U467" i="2" s="1"/>
  <c r="S463" i="2"/>
  <c r="U463" i="2" s="1"/>
  <c r="S459" i="2"/>
  <c r="U459" i="2" s="1"/>
  <c r="S455" i="2"/>
  <c r="U455" i="2" s="1"/>
  <c r="S451" i="2"/>
  <c r="U451" i="2" s="1"/>
  <c r="S447" i="2"/>
  <c r="U447" i="2" s="1"/>
  <c r="S443" i="2"/>
  <c r="U443" i="2" s="1"/>
  <c r="S439" i="2"/>
  <c r="U439" i="2" s="1"/>
  <c r="S431" i="2"/>
  <c r="U431" i="2" s="1"/>
  <c r="S427" i="2"/>
  <c r="U427" i="2" s="1"/>
  <c r="S423" i="2"/>
  <c r="U423" i="2" s="1"/>
  <c r="U415" i="2"/>
  <c r="S411" i="2"/>
  <c r="U411" i="2" s="1"/>
  <c r="S407" i="2"/>
  <c r="U407" i="2" s="1"/>
  <c r="U399" i="2"/>
  <c r="S395" i="2"/>
  <c r="U395" i="2" s="1"/>
  <c r="S391" i="2"/>
  <c r="U391" i="2" s="1"/>
  <c r="U387" i="2"/>
  <c r="U383" i="2"/>
  <c r="S379" i="2"/>
  <c r="U379" i="2" s="1"/>
  <c r="S375" i="2"/>
  <c r="U375" i="2" s="1"/>
  <c r="U367" i="2"/>
  <c r="S363" i="2"/>
  <c r="U363" i="2" s="1"/>
  <c r="S359" i="2"/>
  <c r="U359" i="2" s="1"/>
  <c r="U351" i="2"/>
  <c r="S347" i="2"/>
  <c r="U347" i="2" s="1"/>
  <c r="S343" i="2"/>
  <c r="U343" i="2" s="1"/>
  <c r="U335" i="2"/>
  <c r="S331" i="2"/>
  <c r="U331" i="2" s="1"/>
  <c r="S327" i="2"/>
  <c r="U327" i="2" s="1"/>
  <c r="U323" i="2"/>
  <c r="U319" i="2"/>
  <c r="S315" i="2"/>
  <c r="U315" i="2" s="1"/>
  <c r="U311" i="2"/>
  <c r="S307" i="2"/>
  <c r="U307" i="2" s="1"/>
  <c r="U303" i="2"/>
  <c r="S299" i="2"/>
  <c r="U299" i="2" s="1"/>
  <c r="U295" i="2"/>
  <c r="S291" i="2"/>
  <c r="U291" i="2" s="1"/>
  <c r="U287" i="2"/>
  <c r="S283" i="2"/>
  <c r="U283" i="2" s="1"/>
  <c r="U279" i="2"/>
  <c r="S275" i="2"/>
  <c r="U275" i="2" s="1"/>
  <c r="U271" i="2"/>
  <c r="S267" i="2"/>
  <c r="U267" i="2" s="1"/>
  <c r="U263" i="2"/>
  <c r="S259" i="2"/>
  <c r="U259" i="2" s="1"/>
  <c r="U255" i="2"/>
  <c r="S251" i="2"/>
  <c r="U251" i="2" s="1"/>
  <c r="U247" i="2"/>
  <c r="S243" i="2"/>
  <c r="U243" i="2" s="1"/>
  <c r="U239" i="2"/>
  <c r="S235" i="2"/>
  <c r="U235" i="2" s="1"/>
  <c r="U231" i="2"/>
  <c r="S227" i="2"/>
  <c r="U227" i="2" s="1"/>
  <c r="U223" i="2"/>
  <c r="S219" i="2"/>
  <c r="U219" i="2" s="1"/>
  <c r="U215" i="2"/>
  <c r="S211" i="2"/>
  <c r="U211" i="2" s="1"/>
  <c r="U207" i="2"/>
  <c r="S203" i="2"/>
  <c r="U203" i="2" s="1"/>
  <c r="U199" i="2"/>
  <c r="S195" i="2"/>
  <c r="U195" i="2" s="1"/>
  <c r="U191" i="2"/>
  <c r="S187" i="2"/>
  <c r="U187" i="2" s="1"/>
  <c r="U183" i="2"/>
  <c r="S179" i="2"/>
  <c r="U179" i="2" s="1"/>
  <c r="U175" i="2"/>
  <c r="S171" i="2"/>
  <c r="U171" i="2" s="1"/>
  <c r="U167" i="2"/>
  <c r="S163" i="2"/>
  <c r="U163" i="2" s="1"/>
  <c r="U159" i="2"/>
  <c r="S155" i="2"/>
  <c r="U155" i="2" s="1"/>
  <c r="U151" i="2"/>
  <c r="S147" i="2"/>
  <c r="U147" i="2" s="1"/>
  <c r="U143" i="2"/>
  <c r="S139" i="2"/>
  <c r="U139" i="2" s="1"/>
  <c r="U135" i="2"/>
  <c r="S131" i="2"/>
  <c r="U131" i="2" s="1"/>
  <c r="U127" i="2"/>
  <c r="S123" i="2"/>
  <c r="U123" i="2" s="1"/>
  <c r="U119" i="2"/>
  <c r="S115" i="2"/>
  <c r="U115" i="2" s="1"/>
  <c r="U111" i="2"/>
  <c r="S107" i="2"/>
  <c r="U107" i="2" s="1"/>
  <c r="U103" i="2"/>
  <c r="S99" i="2"/>
  <c r="U99" i="2" s="1"/>
  <c r="U95" i="2"/>
  <c r="S91" i="2"/>
  <c r="U91" i="2" s="1"/>
  <c r="U87" i="2"/>
  <c r="S83" i="2"/>
  <c r="U83" i="2" s="1"/>
  <c r="U79" i="2"/>
  <c r="S75" i="2"/>
  <c r="U75" i="2" s="1"/>
  <c r="U71" i="2"/>
  <c r="S67" i="2"/>
  <c r="U67" i="2" s="1"/>
  <c r="U63" i="2"/>
  <c r="S59" i="2"/>
  <c r="U59" i="2" s="1"/>
  <c r="U55" i="2"/>
  <c r="S51" i="2"/>
  <c r="U51" i="2" s="1"/>
  <c r="U47" i="2"/>
  <c r="S43" i="2"/>
  <c r="U43" i="2" s="1"/>
  <c r="U39" i="2"/>
  <c r="S35" i="2"/>
  <c r="U35" i="2" s="1"/>
  <c r="U31" i="2"/>
  <c r="S27" i="2"/>
  <c r="U27" i="2" s="1"/>
  <c r="U23" i="2"/>
  <c r="U19" i="2"/>
  <c r="S15" i="2"/>
  <c r="U15" i="2" s="1"/>
  <c r="S11" i="2"/>
  <c r="U11" i="2" s="1"/>
  <c r="U7" i="2"/>
  <c r="S1105" i="2"/>
  <c r="U1105" i="2" s="1"/>
  <c r="S1097" i="2"/>
  <c r="U1097" i="2" s="1"/>
  <c r="S1089" i="2"/>
  <c r="U1089" i="2" s="1"/>
  <c r="S1081" i="2"/>
  <c r="U1081" i="2" s="1"/>
  <c r="S1073" i="2"/>
  <c r="U1073" i="2" s="1"/>
  <c r="S1065" i="2"/>
  <c r="U1065" i="2" s="1"/>
  <c r="S1057" i="2"/>
  <c r="U1057" i="2" s="1"/>
  <c r="S1049" i="2"/>
  <c r="U1049" i="2" s="1"/>
  <c r="S1041" i="2"/>
  <c r="U1041" i="2" s="1"/>
  <c r="S1033" i="2"/>
  <c r="U1033" i="2" s="1"/>
  <c r="S1025" i="2"/>
  <c r="U1025" i="2" s="1"/>
  <c r="S1017" i="2"/>
  <c r="U1017" i="2" s="1"/>
  <c r="S1009" i="2"/>
  <c r="U1009" i="2" s="1"/>
  <c r="S1001" i="2"/>
  <c r="U1001" i="2" s="1"/>
  <c r="S993" i="2"/>
  <c r="U993" i="2" s="1"/>
  <c r="S985" i="2"/>
  <c r="U985" i="2" s="1"/>
  <c r="S977" i="2"/>
  <c r="U977" i="2" s="1"/>
  <c r="S969" i="2"/>
  <c r="U969" i="2" s="1"/>
  <c r="S961" i="2"/>
  <c r="U961" i="2" s="1"/>
  <c r="S953" i="2"/>
  <c r="U953" i="2" s="1"/>
  <c r="S945" i="2"/>
  <c r="U945" i="2" s="1"/>
  <c r="S937" i="2"/>
  <c r="U937" i="2" s="1"/>
  <c r="S929" i="2"/>
  <c r="U929" i="2" s="1"/>
  <c r="S921" i="2"/>
  <c r="U921" i="2" s="1"/>
  <c r="S913" i="2"/>
  <c r="U913" i="2" s="1"/>
  <c r="S905" i="2"/>
  <c r="U905" i="2" s="1"/>
  <c r="S897" i="2"/>
  <c r="U897" i="2" s="1"/>
  <c r="S889" i="2"/>
  <c r="U889" i="2" s="1"/>
  <c r="S881" i="2"/>
  <c r="U881" i="2" s="1"/>
  <c r="S873" i="2"/>
  <c r="U873" i="2" s="1"/>
  <c r="S865" i="2"/>
  <c r="U865" i="2" s="1"/>
  <c r="S857" i="2"/>
  <c r="U857" i="2" s="1"/>
  <c r="S849" i="2"/>
  <c r="U849" i="2" s="1"/>
  <c r="S841" i="2"/>
  <c r="U841" i="2" s="1"/>
  <c r="S833" i="2"/>
  <c r="U833" i="2" s="1"/>
  <c r="S825" i="2"/>
  <c r="U825" i="2" s="1"/>
  <c r="S817" i="2"/>
  <c r="U817" i="2" s="1"/>
  <c r="S809" i="2"/>
  <c r="U809" i="2" s="1"/>
  <c r="S801" i="2"/>
  <c r="U801" i="2" s="1"/>
  <c r="S793" i="2"/>
  <c r="U793" i="2" s="1"/>
  <c r="S785" i="2"/>
  <c r="U785" i="2" s="1"/>
  <c r="S777" i="2"/>
  <c r="U777" i="2" s="1"/>
  <c r="S769" i="2"/>
  <c r="U769" i="2" s="1"/>
  <c r="S761" i="2"/>
  <c r="U761" i="2" s="1"/>
  <c r="S753" i="2"/>
  <c r="U753" i="2" s="1"/>
  <c r="S745" i="2"/>
  <c r="U745" i="2" s="1"/>
  <c r="S737" i="2"/>
  <c r="U737" i="2" s="1"/>
  <c r="S729" i="2"/>
  <c r="U729" i="2" s="1"/>
  <c r="S721" i="2"/>
  <c r="U721" i="2" s="1"/>
  <c r="S713" i="2"/>
  <c r="U713" i="2" s="1"/>
  <c r="S705" i="2"/>
  <c r="U705" i="2" s="1"/>
  <c r="S697" i="2"/>
  <c r="U697" i="2" s="1"/>
  <c r="S689" i="2"/>
  <c r="U689" i="2" s="1"/>
  <c r="S681" i="2"/>
  <c r="U681" i="2" s="1"/>
  <c r="S673" i="2"/>
  <c r="U673" i="2" s="1"/>
  <c r="S665" i="2"/>
  <c r="U665" i="2" s="1"/>
  <c r="S657" i="2"/>
  <c r="U657" i="2" s="1"/>
  <c r="S649" i="2"/>
  <c r="U649" i="2" s="1"/>
  <c r="S641" i="2"/>
  <c r="U641" i="2" s="1"/>
  <c r="S633" i="2"/>
  <c r="U633" i="2" s="1"/>
  <c r="S625" i="2"/>
  <c r="U625" i="2" s="1"/>
  <c r="S617" i="2"/>
  <c r="U617" i="2" s="1"/>
  <c r="S609" i="2"/>
  <c r="U609" i="2" s="1"/>
  <c r="S601" i="2"/>
  <c r="U601" i="2" s="1"/>
  <c r="S593" i="2"/>
  <c r="U593" i="2" s="1"/>
  <c r="S585" i="2"/>
  <c r="U585" i="2" s="1"/>
  <c r="S577" i="2"/>
  <c r="U577" i="2" s="1"/>
  <c r="S569" i="2"/>
  <c r="U569" i="2" s="1"/>
  <c r="S561" i="2"/>
  <c r="U561" i="2" s="1"/>
  <c r="S553" i="2"/>
  <c r="U553" i="2" s="1"/>
  <c r="S545" i="2"/>
  <c r="U545" i="2" s="1"/>
  <c r="S537" i="2"/>
  <c r="U537" i="2" s="1"/>
  <c r="S529" i="2"/>
  <c r="U529" i="2" s="1"/>
  <c r="S521" i="2"/>
  <c r="U521" i="2" s="1"/>
  <c r="S513" i="2"/>
  <c r="U513" i="2" s="1"/>
  <c r="S505" i="2"/>
  <c r="U505" i="2" s="1"/>
  <c r="S497" i="2"/>
  <c r="U497" i="2" s="1"/>
  <c r="S489" i="2"/>
  <c r="U489" i="2" s="1"/>
  <c r="S481" i="2"/>
  <c r="U481" i="2" s="1"/>
  <c r="S473" i="2"/>
  <c r="U473" i="2" s="1"/>
  <c r="S465" i="2"/>
  <c r="U465" i="2" s="1"/>
  <c r="S457" i="2"/>
  <c r="U457" i="2" s="1"/>
  <c r="S449" i="2"/>
  <c r="U449" i="2" s="1"/>
  <c r="S441" i="2"/>
  <c r="U441" i="2" s="1"/>
  <c r="S433" i="2"/>
  <c r="U433" i="2" s="1"/>
  <c r="S424" i="2"/>
  <c r="U424" i="2" s="1"/>
  <c r="S413" i="2"/>
  <c r="U413" i="2" s="1"/>
  <c r="S403" i="2"/>
  <c r="U403" i="2" s="1"/>
  <c r="S392" i="2"/>
  <c r="U392" i="2" s="1"/>
  <c r="S381" i="2"/>
  <c r="U381" i="2" s="1"/>
  <c r="S360" i="2"/>
  <c r="U360" i="2" s="1"/>
  <c r="S349" i="2"/>
  <c r="U349" i="2" s="1"/>
  <c r="S339" i="2"/>
  <c r="U339" i="2" s="1"/>
  <c r="S328" i="2"/>
  <c r="U328" i="2" s="1"/>
  <c r="S316" i="2"/>
  <c r="U316" i="2" s="1"/>
  <c r="S300" i="2"/>
  <c r="U300" i="2" s="1"/>
  <c r="S284" i="2"/>
  <c r="U284" i="2" s="1"/>
  <c r="S268" i="2"/>
  <c r="U268" i="2" s="1"/>
  <c r="S252" i="2"/>
  <c r="U252" i="2" s="1"/>
  <c r="S236" i="2"/>
  <c r="U236" i="2" s="1"/>
  <c r="S220" i="2"/>
  <c r="U220" i="2" s="1"/>
  <c r="S204" i="2"/>
  <c r="U204" i="2" s="1"/>
  <c r="S188" i="2"/>
  <c r="U188" i="2" s="1"/>
  <c r="S172" i="2"/>
  <c r="U172" i="2" s="1"/>
  <c r="S156" i="2"/>
  <c r="U156" i="2" s="1"/>
  <c r="S140" i="2"/>
  <c r="U140" i="2" s="1"/>
  <c r="S124" i="2"/>
  <c r="U124" i="2" s="1"/>
  <c r="S108" i="2"/>
  <c r="U108" i="2" s="1"/>
  <c r="S92" i="2"/>
  <c r="U92" i="2" s="1"/>
  <c r="S76" i="2"/>
  <c r="U76" i="2" s="1"/>
  <c r="S60" i="2"/>
  <c r="U60" i="2" s="1"/>
  <c r="S44" i="2"/>
  <c r="U44" i="2" s="1"/>
  <c r="S28" i="2"/>
  <c r="U28" i="2" s="1"/>
  <c r="S3" i="2"/>
  <c r="U3" i="2" s="1"/>
  <c r="U1095" i="2"/>
  <c r="U1063" i="2"/>
  <c r="U1031" i="2"/>
  <c r="U999" i="2"/>
  <c r="U967" i="2"/>
  <c r="U935" i="2"/>
  <c r="U903" i="2"/>
  <c r="U871" i="2"/>
  <c r="U839" i="2"/>
  <c r="U807" i="2"/>
  <c r="U775" i="2"/>
  <c r="U743" i="2"/>
  <c r="U711" i="2"/>
  <c r="U671" i="2"/>
  <c r="U547" i="2"/>
</calcChain>
</file>

<file path=xl/sharedStrings.xml><?xml version="1.0" encoding="utf-8"?>
<sst xmlns="http://schemas.openxmlformats.org/spreadsheetml/2006/main" count="10317" uniqueCount="4504">
  <si>
    <t>Quantity</t>
  </si>
  <si>
    <t>Price</t>
  </si>
  <si>
    <t>Country</t>
  </si>
  <si>
    <t>United Kingdom</t>
  </si>
  <si>
    <t>EIRE</t>
  </si>
  <si>
    <t>Germany</t>
  </si>
  <si>
    <t>Netherlands</t>
  </si>
  <si>
    <t>France</t>
  </si>
  <si>
    <t>Australia</t>
  </si>
  <si>
    <t>Norway</t>
  </si>
  <si>
    <t>StockCode</t>
  </si>
  <si>
    <t xml:space="preserve">HOT WATER BOTTLE BABUSHKA </t>
  </si>
  <si>
    <t>GLASS  BEURRE DISH</t>
  </si>
  <si>
    <t>RETROSPOT LARGE MILK JUG</t>
  </si>
  <si>
    <t>GREY HEART HOT WATER BOTTLE</t>
  </si>
  <si>
    <t>SCOTTIE DOG HOT WATER BOTTLE</t>
  </si>
  <si>
    <t>WRAP CHRISTMAS SCREEN PRINT</t>
  </si>
  <si>
    <t xml:space="preserve">LANTERN CREAM GAZEBO </t>
  </si>
  <si>
    <t>HANGING MEDINA LANTERN SMALL</t>
  </si>
  <si>
    <t>WOOD BLACK BOARD ANT WHITE FINISH</t>
  </si>
  <si>
    <t>HEART OF WICKER LARGE</t>
  </si>
  <si>
    <t>ASSORTED COLOUR BIRD ORNAMENT</t>
  </si>
  <si>
    <t>VICTORIAN GLASS HANGING T-LIGHT</t>
  </si>
  <si>
    <t>85123A</t>
  </si>
  <si>
    <t>WHITE HANGING HEART T-LIGHT HOLDER</t>
  </si>
  <si>
    <t>CUPCAKE LACE PAPER SET 6</t>
  </si>
  <si>
    <t>HAND WARMER RED RETROSPOT</t>
  </si>
  <si>
    <t>HAND WARMER OWL DESIGN</t>
  </si>
  <si>
    <t>HAND WARMER UNION JACK</t>
  </si>
  <si>
    <t xml:space="preserve">RECIPE BOX RETROSPOT </t>
  </si>
  <si>
    <t>SWEETHEART CAKESTAND 3 TIER</t>
  </si>
  <si>
    <t>RECIPE BOX BLUE SKETCHBOOK DESIGN</t>
  </si>
  <si>
    <t>PAPER CHAIN KIT RETROSPOT</t>
  </si>
  <si>
    <t>RECIPE BOX PANTRY YELLOW DESIGN</t>
  </si>
  <si>
    <t>JUMBO SHOPPER VINTAGE RED PAISLEY</t>
  </si>
  <si>
    <t>SET OF 3 BUTTERFLY COOKIE CUTTERS</t>
  </si>
  <si>
    <t>MULTI COLOUR SILVER T-LIGHT HOLDER</t>
  </si>
  <si>
    <t>85099B</t>
  </si>
  <si>
    <t>JUMBO BAG RED RETROSPOT</t>
  </si>
  <si>
    <t xml:space="preserve">RIBBON REEL CHRISTMAS PRESENT </t>
  </si>
  <si>
    <t>84032B</t>
  </si>
  <si>
    <t>CHARLIE + LOLA RED HOT WATER BOTTLE</t>
  </si>
  <si>
    <t xml:space="preserve">TRADITIONAL WOODEN CATCH CUP GAME </t>
  </si>
  <si>
    <t>4 TRADITIONAL SPINNING TOPS</t>
  </si>
  <si>
    <t>60 TEATIME FAIRY CAKE CASES</t>
  </si>
  <si>
    <t>COLOURING PENCILS BROWN TUBE</t>
  </si>
  <si>
    <t xml:space="preserve">CHILDS BREAKFAST SET DOLLY GIRL </t>
  </si>
  <si>
    <t xml:space="preserve">CHILDS BREAKFAST SET SPACEBOY </t>
  </si>
  <si>
    <t>84997B</t>
  </si>
  <si>
    <t>84997C</t>
  </si>
  <si>
    <t>85014B</t>
  </si>
  <si>
    <t>6 RIBBONS RUSTIC CHARM</t>
  </si>
  <si>
    <t>STRAWBERRY CERAMIC TRINKET BOX</t>
  </si>
  <si>
    <t>CERAMIC STRAWBERRY CAKE MONEY BANK</t>
  </si>
  <si>
    <t>CERAMIC HEART FAIRY CAKE MONEY BANK</t>
  </si>
  <si>
    <t>CERAMIC CHERRY CAKE MONEY BANK</t>
  </si>
  <si>
    <t>ROTATING SILVER ANGELS T-LIGHT HLDR</t>
  </si>
  <si>
    <t xml:space="preserve">POPPY'S PLAYHOUSE BEDROOM </t>
  </si>
  <si>
    <t>POPPY'S PLAYHOUSE KITCHEN</t>
  </si>
  <si>
    <t xml:space="preserve">BOX OF VINTAGE JIGSAW BLOCKS </t>
  </si>
  <si>
    <t>VINTAGE SNAP CARDS</t>
  </si>
  <si>
    <t>WOODEN SCHOOL COLOURING SET</t>
  </si>
  <si>
    <t>WOODEN BOX OF DOMINOES</t>
  </si>
  <si>
    <t>PAPER CHAIN KIT VINTAGE CHRISTMAS</t>
  </si>
  <si>
    <t>RETROSPOT CHILDRENS APRON</t>
  </si>
  <si>
    <t>CHILDRENS APRON SPACEBOY DESIGN</t>
  </si>
  <si>
    <t>RED HANGING HEART T-LIGHT HOLDER</t>
  </si>
  <si>
    <t xml:space="preserve">WICKER STAR </t>
  </si>
  <si>
    <t>KINGS CHOICE BISCUIT TIN</t>
  </si>
  <si>
    <t>METAL MERRY CHRISTMAS WREATH</t>
  </si>
  <si>
    <t>DOORMAT UNION FLAG</t>
  </si>
  <si>
    <t>DOORMAT TOPIARY</t>
  </si>
  <si>
    <t>84029E</t>
  </si>
  <si>
    <t>RED WOOLLY HOTTIE WHITE HEART.</t>
  </si>
  <si>
    <t>RED WHITE SCARF  HOT WATER BOTTLE</t>
  </si>
  <si>
    <t>SMALL POPCORN HOLDER</t>
  </si>
  <si>
    <t>84030E</t>
  </si>
  <si>
    <t>ENGLISH ROSE HOT WATER BOTTLE</t>
  </si>
  <si>
    <t>RETROSPOT HEART HOT WATER BOTTLE</t>
  </si>
  <si>
    <t>BIRD HOUSE HOT WATER BOTTLE</t>
  </si>
  <si>
    <t>RECIPE BOX WITH METAL HEART</t>
  </si>
  <si>
    <t>REGENCY CAKESTAND 3 TIER</t>
  </si>
  <si>
    <t xml:space="preserve">MINI PAINT SET VINTAGE </t>
  </si>
  <si>
    <t xml:space="preserve">VINTAGE HEADS AND TAILS CARD GAME </t>
  </si>
  <si>
    <t>BOX OF VINTAGE ALPHABET BLOCKS</t>
  </si>
  <si>
    <t>FAIRY TALE COTTAGE NIGHTLIGHT</t>
  </si>
  <si>
    <t>CAMOUFLAGE LED TORCH</t>
  </si>
  <si>
    <t>RED TOADSTOOL LED NIGHT LIGHT</t>
  </si>
  <si>
    <t>RETROSPOT PARTY BAG + STICKER SET</t>
  </si>
  <si>
    <t xml:space="preserve">SKULLS  WATER TRANSFER TATTOOS </t>
  </si>
  <si>
    <t xml:space="preserve">RED RETROSPOT WRAP </t>
  </si>
  <si>
    <t>10 COLOUR SPACEBOY PEN</t>
  </si>
  <si>
    <t>PHOTO FRAME CORNICE</t>
  </si>
  <si>
    <t>CHRISTMAS LIGHTS 10 REINDEER</t>
  </si>
  <si>
    <t>HOT WATER BOTTLE TEA AND SYMPATHY</t>
  </si>
  <si>
    <t>VINTAGE SNAKES &amp; LADDERS</t>
  </si>
  <si>
    <t>RED DRAWER KNOB ACRYLIC EDWARDIAN</t>
  </si>
  <si>
    <t>CLEAR DRAWER KNOB ACRYLIC EDWARDIAN</t>
  </si>
  <si>
    <t>BLUE DRAWER KNOB ACRYLIC EDWARDIAN</t>
  </si>
  <si>
    <t>PURPLE DRAWERKNOB ACRYLIC EDWARDIAN</t>
  </si>
  <si>
    <t>PINK DRAWER KNOB ACRYLIC EDWARDIAN</t>
  </si>
  <si>
    <t>GREEN DRAWER KNOB ACRYLIC EDWARDIAN</t>
  </si>
  <si>
    <t>LOLITA  DESIGN  COTTON TOTE BAG</t>
  </si>
  <si>
    <t>ADVENT CALENDAR GINGHAM SACK</t>
  </si>
  <si>
    <t xml:space="preserve">CHRISTMAS LIGHTS 10 SANTAS </t>
  </si>
  <si>
    <t>RED STAR CARD HOLDER</t>
  </si>
  <si>
    <t>LARGE HEART MEASURING SPOONS</t>
  </si>
  <si>
    <t>RED KITCHEN SCALES</t>
  </si>
  <si>
    <t>ROSE CARAVAN DOORSTOP</t>
  </si>
  <si>
    <t>ALARM CLOCK BAKELIKE PINK</t>
  </si>
  <si>
    <t>RED DINER WALL CLOCK</t>
  </si>
  <si>
    <t xml:space="preserve">HAND OVER THE CHOCOLATE   SIGN </t>
  </si>
  <si>
    <t xml:space="preserve">ALARM CLOCK BAKELIKE RED </t>
  </si>
  <si>
    <t>ALARM CLOCK BAKELIKE GREEN</t>
  </si>
  <si>
    <t>GINGHAM HEART  DOORSTOP RED</t>
  </si>
  <si>
    <t>CARD PSYCHEDELIC APPLES</t>
  </si>
  <si>
    <t xml:space="preserve">IVORY KNITTED MUG COSY </t>
  </si>
  <si>
    <t>60 CAKE CASES VINTAGE CHRISTMAS</t>
  </si>
  <si>
    <t xml:space="preserve">SET 20 NAPKINS FAIRY CAKES DESIGN </t>
  </si>
  <si>
    <t>SET OF 2 TEA TOWELS APPLE AND PEARS</t>
  </si>
  <si>
    <t>CAKE STAND VICTORIAN FILIGREE MED</t>
  </si>
  <si>
    <t>35004G</t>
  </si>
  <si>
    <t>SET OF 3 GOLD FLYING DUCKS</t>
  </si>
  <si>
    <t>72800E</t>
  </si>
  <si>
    <t>4 IVORY DINNER CANDLES SILVER FLOCK</t>
  </si>
  <si>
    <t>IVORY KITCHEN SCALES</t>
  </si>
  <si>
    <t>CREAM SWEETHEART EGG HOLDER</t>
  </si>
  <si>
    <t>60 CAKE CASES DOLLY GIRL DESIGN</t>
  </si>
  <si>
    <t>PACK OF 20 NAPKINS PANTRY DESIGN</t>
  </si>
  <si>
    <t>SET OF 20 VINTAGE CHRISTMAS NAPKINS</t>
  </si>
  <si>
    <t>SET OF 3 HEART COOKIE CUTTERS</t>
  </si>
  <si>
    <t xml:space="preserve">BLUE HARMONICA IN BOX </t>
  </si>
  <si>
    <t>84406B</t>
  </si>
  <si>
    <t>CREAM CUPID HEARTS COAT HANGER</t>
  </si>
  <si>
    <t>WHITE WIRE EGG HOLDER</t>
  </si>
  <si>
    <t>ANTIQUE SILVER TEA GLASS ENGRAVED</t>
  </si>
  <si>
    <t>SILVER HANGING T-LIGHT HOLDER</t>
  </si>
  <si>
    <t>METAL 4 HOOK HANGER FRENCH CHATEAU</t>
  </si>
  <si>
    <t>FELTCRAFT BUTTERFLY HEARTS</t>
  </si>
  <si>
    <t>FELTCRAFT 6 FLOWER FRIENDS</t>
  </si>
  <si>
    <t>FELTCRAFT DOLL ROSIE</t>
  </si>
  <si>
    <t>WOODEN HEART CHRISTMAS SCANDINAVIAN</t>
  </si>
  <si>
    <t>CHRISTMAS GINGHAM HEART</t>
  </si>
  <si>
    <t>RED HEART LUGGAGE TAG</t>
  </si>
  <si>
    <t>FAWN BLUE HOT WATER BOTTLE</t>
  </si>
  <si>
    <t>12 MESSAGE CARDS WITH ENVELOPES</t>
  </si>
  <si>
    <t>SET OF 3 NOTEBOOKS IN PARCEL</t>
  </si>
  <si>
    <t xml:space="preserve">NATURAL SLATE HEART CHALKBOARD </t>
  </si>
  <si>
    <t>REX CASH+CARRY JUMBO SHOPPER</t>
  </si>
  <si>
    <t>BLACK HEART CARD HOLDER</t>
  </si>
  <si>
    <t>D</t>
  </si>
  <si>
    <t>Discount</t>
  </si>
  <si>
    <t>CHARLOTTE BAG SUKI DESIGN</t>
  </si>
  <si>
    <t>84968C</t>
  </si>
  <si>
    <t>SET OF 16 VINTAGE PISTACHIO CUTLERY</t>
  </si>
  <si>
    <t xml:space="preserve">PACK OF 12 SUKI TISSUES </t>
  </si>
  <si>
    <t xml:space="preserve">ROUND SNACK BOXES SET OF4 WOODLAND </t>
  </si>
  <si>
    <t>HAND WARMER BABUSHKA DESIGN</t>
  </si>
  <si>
    <t>HAND WARMER SCOTTY DOG DESIGN</t>
  </si>
  <si>
    <t>ENAMEL FLOWER JUG CREAM</t>
  </si>
  <si>
    <t>PACK OF 12 PINK POLKADOT TISSUES</t>
  </si>
  <si>
    <t>RIBBON REEL SNOWY VILLAGE</t>
  </si>
  <si>
    <t>HANGING METAL STAR LANTERN</t>
  </si>
  <si>
    <t>LUNCH BOX I LOVE LONDON</t>
  </si>
  <si>
    <t>STRAWBERRY LUNCH BOX WITH CUTLERY</t>
  </si>
  <si>
    <t xml:space="preserve">LUNCH BOX WITH CUTLERY RETROSPOT </t>
  </si>
  <si>
    <t xml:space="preserve">3D CHRISTMAS STAMPS STICKERS </t>
  </si>
  <si>
    <t xml:space="preserve">RIBBON REEL MAKING SNOWMEN </t>
  </si>
  <si>
    <t>RIBBON REEL SOCKS AND MITTENS</t>
  </si>
  <si>
    <t>RIBBON REEL CHRISTMAS SOCK BAUBLE</t>
  </si>
  <si>
    <t>SET OF 6 SOLDIER SKITTLES</t>
  </si>
  <si>
    <t xml:space="preserve">CIRCUS PARADE LUNCH BOX </t>
  </si>
  <si>
    <t>CHRISTMAS GINGHAM STAR</t>
  </si>
  <si>
    <t>CHRISTMAS GINGHAM TREE</t>
  </si>
  <si>
    <t>RED GINGHAM ROSE JEWELLERY BOX</t>
  </si>
  <si>
    <t>SET OF 72 RETROSPOT PAPER  DOILIES</t>
  </si>
  <si>
    <t>JAZZ HEARTS PURSE NOTEBOOK</t>
  </si>
  <si>
    <t>SET/5 RED RETROSPOT LID GLASS BOWLS</t>
  </si>
  <si>
    <t>BISCUIT TIN VINTAGE RED</t>
  </si>
  <si>
    <t xml:space="preserve">MIRRORED DISCO BALL </t>
  </si>
  <si>
    <t>CERAMIC PIRATE CHEST MONEY BANK</t>
  </si>
  <si>
    <t>DISCO BALL ROTATOR BATTERY OPERATED</t>
  </si>
  <si>
    <t>TEA TIME DES TEA COSY</t>
  </si>
  <si>
    <t xml:space="preserve">PINK DOUGHNUT TRINKET POT </t>
  </si>
  <si>
    <t>CERAMIC STRAWBERRY MONEY BOX</t>
  </si>
  <si>
    <t>47599A</t>
  </si>
  <si>
    <t>PINK PARTY BAGS</t>
  </si>
  <si>
    <t>47599B</t>
  </si>
  <si>
    <t xml:space="preserve">BLUE PARTY BAGS </t>
  </si>
  <si>
    <t>WOODEN ADVENT CALENDAR RED</t>
  </si>
  <si>
    <t>PLASTERS IN TIN SKULLS</t>
  </si>
  <si>
    <t>PLASTERS IN TIN SPACEBOY</t>
  </si>
  <si>
    <t xml:space="preserve">GROW YOUR OWN PLANT IN A CAN </t>
  </si>
  <si>
    <t>PACK OF 72 SKULL CAKE CASES</t>
  </si>
  <si>
    <t>PACK OF 60 DINOSAUR CAKE CASES</t>
  </si>
  <si>
    <t>BLACK DINER WALL CLOCK</t>
  </si>
  <si>
    <t xml:space="preserve">SET/2 RED RETROSPOT TEA TOWELS </t>
  </si>
  <si>
    <t>ALARM CLOCK BAKELIKE ORANGE</t>
  </si>
  <si>
    <t>BLUE DINER WALL CLOCK</t>
  </si>
  <si>
    <t>RED RETROSPOT CAKE STAND</t>
  </si>
  <si>
    <t xml:space="preserve">ROCKING HORSE RED CHRISTMAS </t>
  </si>
  <si>
    <t xml:space="preserve">LUNCH BAG SPACEBOY DESIGN </t>
  </si>
  <si>
    <t>RED RETROSPOT UMBRELLA</t>
  </si>
  <si>
    <t>15056N</t>
  </si>
  <si>
    <t>EDWARDIAN PARASOL NATURAL</t>
  </si>
  <si>
    <t>FAMILY PHOTO FRAME CORNICE</t>
  </si>
  <si>
    <t>TRAVEL SEWING KIT</t>
  </si>
  <si>
    <t>VICTORIAN SEWING BOX LARGE</t>
  </si>
  <si>
    <t>COOKING SET RETROSPOT</t>
  </si>
  <si>
    <t xml:space="preserve">PLASTERS IN TIN CIRCUS PARADE </t>
  </si>
  <si>
    <t>84997D</t>
  </si>
  <si>
    <t>PINK 3 PIECE POLKADOT CUTLERY SET</t>
  </si>
  <si>
    <t>RED 3 PIECE RETROSPOT CUTLERY SET</t>
  </si>
  <si>
    <t xml:space="preserve">BUTTON BOX </t>
  </si>
  <si>
    <t xml:space="preserve">DELUXE SEWING KIT </t>
  </si>
  <si>
    <t>WHITE WOOD GARDEN PLANT LADDER</t>
  </si>
  <si>
    <t xml:space="preserve">LARGE POPCORN HOLDER </t>
  </si>
  <si>
    <t>EDWARDIAN PARASOL RED</t>
  </si>
  <si>
    <t>15056BL</t>
  </si>
  <si>
    <t>EDWARDIAN PARASOL BLACK</t>
  </si>
  <si>
    <t>I CAN ONLY PLEASE ONE PERSON MUG</t>
  </si>
  <si>
    <t>35004C</t>
  </si>
  <si>
    <t>SET OF 3 COLOURED  FLYING DUCKS</t>
  </si>
  <si>
    <t>CHOCOLATE CALCULATOR</t>
  </si>
  <si>
    <t xml:space="preserve">INFLATABLE POLITICAL GLOBE </t>
  </si>
  <si>
    <t xml:space="preserve">PACK OF 12 LONDON TISSUES </t>
  </si>
  <si>
    <t>SET OF 4 NAPKIN CHARMS CUTLERY</t>
  </si>
  <si>
    <t>SET 7 BABUSHKA NESTING BOXES</t>
  </si>
  <si>
    <t>FELTCRAFT PRINCESS CHARLOTTE DOLL</t>
  </si>
  <si>
    <t>ZINC METAL HEART DECORATION</t>
  </si>
  <si>
    <t>CHRISTMAS HANGING HEART WITH BELL</t>
  </si>
  <si>
    <t>WHITE METAL LANTERN</t>
  </si>
  <si>
    <t>FELTCRAFT CHRISTMAS FAIRY</t>
  </si>
  <si>
    <t xml:space="preserve">SILVER  CANDLEPOT JARDIN </t>
  </si>
  <si>
    <t>FAIRY CAKE BIRTHDAY CANDLE SET</t>
  </si>
  <si>
    <t xml:space="preserve">SET OF 4 NAPKIN CHARMS LEAVES   </t>
  </si>
  <si>
    <t xml:space="preserve">CREAM SLICE FLANNEL CHOCOLATE SPOT </t>
  </si>
  <si>
    <t>HAND WARMER BIRD DESIGN</t>
  </si>
  <si>
    <t xml:space="preserve">LUNCH BAG SUKI  DESIGN </t>
  </si>
  <si>
    <t xml:space="preserve">CHEST OF DRAWERS GINGHAM HEART </t>
  </si>
  <si>
    <t>DOORMAT HEARTS</t>
  </si>
  <si>
    <t>FIVE HEART HANGING DECORATION</t>
  </si>
  <si>
    <t>HEART FILIGREE DOVE LARGE</t>
  </si>
  <si>
    <t>HEART IVORY TRELLIS LARGE</t>
  </si>
  <si>
    <t>82494L</t>
  </si>
  <si>
    <t xml:space="preserve">WOODEN FRAME ANTIQUE WHITE </t>
  </si>
  <si>
    <t>WOODEN PICTURE FRAME WHITE FINISH</t>
  </si>
  <si>
    <t xml:space="preserve">YOU'RE CONFUSING ME METAL SIGN </t>
  </si>
  <si>
    <t>NO JUNK MAIL METAL SIGN</t>
  </si>
  <si>
    <t>RETROSPOT RED WASHING UP GLOVES</t>
  </si>
  <si>
    <t>5 HOOK HANGER MAGIC TOADSTOOL</t>
  </si>
  <si>
    <t>85014A</t>
  </si>
  <si>
    <t>BLACK/BLUE POLKADOT UMBRELLA</t>
  </si>
  <si>
    <t>SILK PURSE BABUSHKA PINK</t>
  </si>
  <si>
    <t>RETROSPOT SMALL TUBE MATCHES</t>
  </si>
  <si>
    <t xml:space="preserve">FELTCRAFT HAIRBANDS PINK AND WHITE </t>
  </si>
  <si>
    <t>FELTCRAFT HAIRBAND PINK AND PURPLE</t>
  </si>
  <si>
    <t>FELTCRAFT HAIRBAND RED AND BLUE</t>
  </si>
  <si>
    <t>MINI JIGSAW SPACEBOY</t>
  </si>
  <si>
    <t xml:space="preserve">PACK OF 12 RED RETROSPOT TISSUES </t>
  </si>
  <si>
    <t>36 PENCILS TUBE RED RETROSPOT</t>
  </si>
  <si>
    <t>SET OF 6 FUNKY BEAKERS</t>
  </si>
  <si>
    <t xml:space="preserve">PACK 3 BOXES BIRD PANNETONE </t>
  </si>
  <si>
    <t>DOORSTOP RETROSPOT HEART</t>
  </si>
  <si>
    <t>GUMBALL COAT RACK</t>
  </si>
  <si>
    <t>MAKE YOUR OWN FLOWERPOWER CARD KIT</t>
  </si>
  <si>
    <t>MAKE YOUR OWN MONSOON CARD KIT</t>
  </si>
  <si>
    <t>MAKE YOUR OWN PLAYTIME CARD KIT</t>
  </si>
  <si>
    <t>ASSORTED COLOUR MINI CASES</t>
  </si>
  <si>
    <t>CREAM HEART CARD HOLDER</t>
  </si>
  <si>
    <t>MINI JIGSAW DOLLY GIRL</t>
  </si>
  <si>
    <t xml:space="preserve">PINK CREAM FELT CRAFT TRINKET BOX </t>
  </si>
  <si>
    <t>LUNCH BAG RED RETROSPOT</t>
  </si>
  <si>
    <t>TOY TIDY PINK POLKADOT</t>
  </si>
  <si>
    <t>CHERRY CROCHET FOOD COVER</t>
  </si>
  <si>
    <t>PACK 3 BOXES CHRISTMAS PANNETONE</t>
  </si>
  <si>
    <t>SET OF 2 WOODEN MARKET CRATES</t>
  </si>
  <si>
    <t xml:space="preserve">PARTY CONE CHRISTMAS DECORATION </t>
  </si>
  <si>
    <t>VINTAGE UNION JACK APRON</t>
  </si>
  <si>
    <t>VINTAGE UNION JACK BUNTING</t>
  </si>
  <si>
    <t>TV DINNER TRAY DOLLY GIRL</t>
  </si>
  <si>
    <t>RIDGED GLASS STORAGE JAR CREAM LID</t>
  </si>
  <si>
    <t>GIRLS VINTAGE TIN SEASIDE BUCKET</t>
  </si>
  <si>
    <t xml:space="preserve">RETROSPOT TEA SET CERAMIC 11 PC </t>
  </si>
  <si>
    <t>S/6 WOODEN SKITTLES IN COTTON BAG</t>
  </si>
  <si>
    <t>3 TIER CAKE TIN RED AND CREAM</t>
  </si>
  <si>
    <t>85199L</t>
  </si>
  <si>
    <t>LARGE HANGING IVORY &amp; RED WOOD BIRD</t>
  </si>
  <si>
    <t>85199S</t>
  </si>
  <si>
    <t>SMALL HANGING IVORY/RED WOOD BIRD</t>
  </si>
  <si>
    <t>CHRISTMAS LIGHTS 10 VINTAGE BAUBLES</t>
  </si>
  <si>
    <t>PACK OF 6 BIRDY GIFT TAGS</t>
  </si>
  <si>
    <t>FELTCRAFT DOLL EMILY</t>
  </si>
  <si>
    <t>COSY HOUR GIANT TUBE MATCHES</t>
  </si>
  <si>
    <t>PAINTED METAL HEART WITH HOLLY BELL</t>
  </si>
  <si>
    <t>PAINTED METAL STAR WITH HOLLY BELLS</t>
  </si>
  <si>
    <t>ALARM CLOCK BAKELIKE IVORY</t>
  </si>
  <si>
    <t>ANTIQUE GLASS DRESSING TABLE POT</t>
  </si>
  <si>
    <t>ANTIQUE TALL SWIRLGLASS TRINKET POT</t>
  </si>
  <si>
    <t>ANTIQUE GLASS PEDESTAL BOWL</t>
  </si>
  <si>
    <t xml:space="preserve">WHITE SKULL HOT WATER BOTTLE </t>
  </si>
  <si>
    <t>DOORMAT RED RETROSPOT</t>
  </si>
  <si>
    <t xml:space="preserve">SET/9 CHRISTMAS T-LIGHTS SCENTED </t>
  </si>
  <si>
    <t>CALENDAR PAPER CUT DESIGN</t>
  </si>
  <si>
    <t>DOORMAT PEACE ON EARTH BLUE</t>
  </si>
  <si>
    <t>I'M ON HOLIDAY METAL SIGN</t>
  </si>
  <si>
    <t xml:space="preserve">METAL SIGN TAKE IT OR LEAVE IT </t>
  </si>
  <si>
    <t>GIN + TONIC DIET METAL SIGN</t>
  </si>
  <si>
    <t>GLASS JAR DIGESTIVE BISCUITS</t>
  </si>
  <si>
    <t>12 PENCILS TALL TUBE SKULLS</t>
  </si>
  <si>
    <t>12 PENCILS SMALL TUBE SKULL</t>
  </si>
  <si>
    <t>CARD CIRCUS PARADE</t>
  </si>
  <si>
    <t xml:space="preserve">CARD PARTY GAMES </t>
  </si>
  <si>
    <t xml:space="preserve">RED RETROSPOT PLATE </t>
  </si>
  <si>
    <t>NO SINGING METAL SIGN</t>
  </si>
  <si>
    <t>KITCHEN METAL SIGN</t>
  </si>
  <si>
    <t>TOILET METAL SIGN</t>
  </si>
  <si>
    <t>BATHROOM METAL SIGN</t>
  </si>
  <si>
    <t xml:space="preserve">MAGIC DRAWING SLATE DOLLY GIRL </t>
  </si>
  <si>
    <t xml:space="preserve">MAGIC DRAWING SLATE CIRCUS PARADE  </t>
  </si>
  <si>
    <t xml:space="preserve">MAGIC DRAWING SLATE BAKE A CAKE </t>
  </si>
  <si>
    <t xml:space="preserve">MAGIC DRAWING SLATE GO TO THE FAIR </t>
  </si>
  <si>
    <t>PACK OF 6 PANNETONE GIFT BOXES</t>
  </si>
  <si>
    <t>PACK OF 6 SWEETIE GIFT BOXES</t>
  </si>
  <si>
    <t>PAINT YOUR OWN CANVAS SET</t>
  </si>
  <si>
    <t xml:space="preserve">PLASTERS IN TIN VINTAGE PAISLEY </t>
  </si>
  <si>
    <t>RETROSPOT GIANT TUBE MATCHES</t>
  </si>
  <si>
    <t>VINTAGE PAISLEY STATIONERY SET</t>
  </si>
  <si>
    <t>SMALL GLASS HEART TRINKET POT</t>
  </si>
  <si>
    <t>TRADITIONAL WOODEN SKIPPING ROPE</t>
  </si>
  <si>
    <t xml:space="preserve">RED  HARMONICA IN BOX </t>
  </si>
  <si>
    <t>DOCTOR'S BAG SOFT TOY</t>
  </si>
  <si>
    <t>LOVE BUILDING BLOCK WORD</t>
  </si>
  <si>
    <t>GRAND CHOCOLATECANDLE</t>
  </si>
  <si>
    <t xml:space="preserve">KINGS CHOICE TEA CADDY </t>
  </si>
  <si>
    <t>CHRISTMAS TOILET ROLL</t>
  </si>
  <si>
    <t xml:space="preserve">COSY HOUR CIGAR BOX MATCHES </t>
  </si>
  <si>
    <t>PICNIC BASKET WICKER SMALL</t>
  </si>
  <si>
    <t>85099F</t>
  </si>
  <si>
    <t>JUMBO BAG STRAWBERRY</t>
  </si>
  <si>
    <t>85099C</t>
  </si>
  <si>
    <t>JUMBO  BAG BAROQUE BLACK WHITE</t>
  </si>
  <si>
    <t>JUMBO STORAGE BAG SUKI</t>
  </si>
  <si>
    <t xml:space="preserve">JUMBO BAG TOYS </t>
  </si>
  <si>
    <t>PHOTO CUBE</t>
  </si>
  <si>
    <t xml:space="preserve">DINOSAURS  WRITING SET </t>
  </si>
  <si>
    <t xml:space="preserve">BALLOONS  WRITING SET </t>
  </si>
  <si>
    <t xml:space="preserve">SKULLS WRITING SET </t>
  </si>
  <si>
    <t>AIRLINE BAG VINTAGE TOKYO 78</t>
  </si>
  <si>
    <t>HEART IVORY TRELLIS SMALL</t>
  </si>
  <si>
    <t>85049E</t>
  </si>
  <si>
    <t>SCANDINAVIAN REDS RIBBONS</t>
  </si>
  <si>
    <t>CHRISTMAS RETROSPOT ANGEL WOOD</t>
  </si>
  <si>
    <t>ROTATING LEAVES T-LIGHT HOLDER</t>
  </si>
  <si>
    <t>JUMBO STORAGE BAG SKULLS</t>
  </si>
  <si>
    <t>JUMBO BAG WOODLAND ANIMALS</t>
  </si>
  <si>
    <t>JUMBO BAG OWLS</t>
  </si>
  <si>
    <t>AIRLINE BAG VINTAGE JET SET WHITE</t>
  </si>
  <si>
    <t xml:space="preserve">SNOWFLAKE PORTABLE TABLE LIGHT </t>
  </si>
  <si>
    <t>MINI FUNKY DESIGN TAPES</t>
  </si>
  <si>
    <t>72 SWEETHEART FAIRY CAKE CASES</t>
  </si>
  <si>
    <t>PACK OF 60 SPACEBOY CAKE CASES</t>
  </si>
  <si>
    <t>UNION JACK FLAG LUGGAGE TAG</t>
  </si>
  <si>
    <t>PACK OF 72 RETROSPOT CAKE CASES</t>
  </si>
  <si>
    <t>RED RETROSPOT MINI CASES</t>
  </si>
  <si>
    <t>PLASTERS IN TIN STRONGMAN</t>
  </si>
  <si>
    <t>85136C</t>
  </si>
  <si>
    <t>RED SHARK HELICOPTER</t>
  </si>
  <si>
    <t>85135B</t>
  </si>
  <si>
    <t>BLUE DRAGONFLY HELICOPTER</t>
  </si>
  <si>
    <t>STAR WOODEN CHRISTMAS DECORATION</t>
  </si>
  <si>
    <t>WELCOME  WOODEN BLOCK LETTERS</t>
  </si>
  <si>
    <t>CHILLI LIGHTS</t>
  </si>
  <si>
    <t xml:space="preserve">ROSE COTTAGE KEEPSAKE BOX </t>
  </si>
  <si>
    <t xml:space="preserve">MAGIC DRAWING SLATE SPACEBOY </t>
  </si>
  <si>
    <t>FELTCRAFT PRINCESS LOLA DOLL</t>
  </si>
  <si>
    <t>FELTCRAFT DOLL MOLLY</t>
  </si>
  <si>
    <t>CALENDAR IN SEASON DESIGN</t>
  </si>
  <si>
    <t>WHITE SPOT RED CERAMIC DRAWER KNOB</t>
  </si>
  <si>
    <t>CHOCOLATE HOT WATER BOTTLE</t>
  </si>
  <si>
    <t>FELTCRAFT PRINCESS OLIVIA DOLL</t>
  </si>
  <si>
    <t>VICTORIAN  METAL POSTCARD SPRING</t>
  </si>
  <si>
    <t>BOUDOIR SQUARE TISSUE BOX</t>
  </si>
  <si>
    <t xml:space="preserve">PACK OF 12 BLUE PAISLEY TISSUES </t>
  </si>
  <si>
    <t>84971S</t>
  </si>
  <si>
    <t xml:space="preserve">SMALL HEART FLOWERS HOOK </t>
  </si>
  <si>
    <t>LUNCH BAG WOODLAND</t>
  </si>
  <si>
    <t>LUNCH BAG CARS BLUE</t>
  </si>
  <si>
    <t>LUNCH BAG PINK POLKADOT</t>
  </si>
  <si>
    <t>HEADS AND TAILS SPORTING FUN</t>
  </si>
  <si>
    <t>PACK OF 12 SKULL TISSUES</t>
  </si>
  <si>
    <t xml:space="preserve">PACK OF 12 HEARTS DESIGN TISSUES </t>
  </si>
  <si>
    <t>LUNCH BAG  BLACK SKULL.</t>
  </si>
  <si>
    <t>CANDLEHOLDER PINK HANGING HEART</t>
  </si>
  <si>
    <t xml:space="preserve">METAL SIGN HER DINNER IS SERVED </t>
  </si>
  <si>
    <t xml:space="preserve">NOEL WOODEN BLOCK LETTERS </t>
  </si>
  <si>
    <t>HOME BUILDING BLOCK WORD</t>
  </si>
  <si>
    <t>ANGEL DECORATION STARS ON DRESS</t>
  </si>
  <si>
    <t>PEACE WOODEN BLOCK LETTERS</t>
  </si>
  <si>
    <t>12 PENCIL SMALL TUBE WOODLAND</t>
  </si>
  <si>
    <t>84509A</t>
  </si>
  <si>
    <t>SET OF 4 ENGLISH ROSE PLACEMATS</t>
  </si>
  <si>
    <t>84510A</t>
  </si>
  <si>
    <t>SET OF 4 ENGLISH ROSE COASTERS</t>
  </si>
  <si>
    <t>LADIES &amp; GENTLEMEN METAL SIGN</t>
  </si>
  <si>
    <t xml:space="preserve">DOORMAT ENGLISH ROSE </t>
  </si>
  <si>
    <t>C2</t>
  </si>
  <si>
    <t>CARRIAGE</t>
  </si>
  <si>
    <t xml:space="preserve">GENTLEMAN SHIRT REPAIR KIT </t>
  </si>
  <si>
    <t xml:space="preserve">EMERGENCY FIRST AID TIN </t>
  </si>
  <si>
    <t>PAPER CHAIN KIT LONDON</t>
  </si>
  <si>
    <t xml:space="preserve">PAPER CHAIN KIT 50'S CHRISTMAS </t>
  </si>
  <si>
    <t>SET/6 RED SPOTTY PAPER PLATES</t>
  </si>
  <si>
    <t xml:space="preserve">SET/20 RED RETROSPOT PAPER NAPKINS </t>
  </si>
  <si>
    <t>85049A</t>
  </si>
  <si>
    <t>TRADITIONAL CHRISTMAS RIBBONS</t>
  </si>
  <si>
    <t>PICTURE DOMINOES</t>
  </si>
  <si>
    <t>SET 10 LIGHTS NIGHT OWL</t>
  </si>
  <si>
    <t>84970L</t>
  </si>
  <si>
    <t>SINGLE HEART ZINC T-LIGHT HOLDER</t>
  </si>
  <si>
    <t>PACK OF 60 PINK PAISLEY CAKE CASES</t>
  </si>
  <si>
    <t>SLEEPING CAT ERASERS</t>
  </si>
  <si>
    <t>SET/10 RED POLKADOT PARTY CANDLES</t>
  </si>
  <si>
    <t>SET/10 PINK POLKADOT PARTY CANDLES</t>
  </si>
  <si>
    <t>SET/10 BLUE POLKADOT PARTY CANDLES</t>
  </si>
  <si>
    <t>IVORY DINER WALL CLOCK</t>
  </si>
  <si>
    <t>84970S</t>
  </si>
  <si>
    <t>HANGING HEART ZINC T-LIGHT HOLDER</t>
  </si>
  <si>
    <t>SET OF 9 HEART SHAPED BALLOONS</t>
  </si>
  <si>
    <t>CHICK GREY HOT WATER BOTTLE</t>
  </si>
  <si>
    <t xml:space="preserve">SMALL RED BABUSHKA NOTEBOOK </t>
  </si>
  <si>
    <t>HOT WATER BOTTLE I AM SO POORLY</t>
  </si>
  <si>
    <t>3 TIER CAKE TIN GREEN AND CREAM</t>
  </si>
  <si>
    <t xml:space="preserve">HANGING HEART MIRROR DECORATION </t>
  </si>
  <si>
    <t>CHRISTMAS HANGING STAR WITH BELL</t>
  </si>
  <si>
    <t xml:space="preserve">HEART T-LIGHT HOLDER </t>
  </si>
  <si>
    <t>COLOUR GLASS T-LIGHT HOLDER HANGING</t>
  </si>
  <si>
    <t>GLASS STAR FROSTED T-LIGHT HOLDER</t>
  </si>
  <si>
    <t>HOME SMALL WOOD LETTERS</t>
  </si>
  <si>
    <t>35004B</t>
  </si>
  <si>
    <t>SET OF 3 BLACK FLYING DUCKS</t>
  </si>
  <si>
    <t>84029G</t>
  </si>
  <si>
    <t>KNITTED UNION FLAG HOT WATER BOTTLE</t>
  </si>
  <si>
    <t>FAIRY CAKE FLANNEL ASSORTED COLOUR</t>
  </si>
  <si>
    <t xml:space="preserve">CREAM SLICE FLANNEL PINK SPOT </t>
  </si>
  <si>
    <t xml:space="preserve">COOK WITH WINE METAL SIGN </t>
  </si>
  <si>
    <t>BLUE 3 PIECE POLKADOT CUTLERY SET</t>
  </si>
  <si>
    <t>3 STRIPEY MICE FELTCRAFT</t>
  </si>
  <si>
    <t>JUMBO BAG PINK POLKADOT</t>
  </si>
  <si>
    <t>JUMBO BAG PINK VINTAGE PAISLEY</t>
  </si>
  <si>
    <t>36 PENCILS TUBE WOODLAND</t>
  </si>
  <si>
    <t xml:space="preserve">PACK OF 12 PINK PAISLEY TISSUES </t>
  </si>
  <si>
    <t>SET/12 TAPER CANDLES</t>
  </si>
  <si>
    <t>85049C</t>
  </si>
  <si>
    <t xml:space="preserve">ROMANTIC PINKS RIBBONS </t>
  </si>
  <si>
    <t>85049G</t>
  </si>
  <si>
    <t xml:space="preserve">CHOCOLATE BOX RIBBONS </t>
  </si>
  <si>
    <t>PENCIL CASE LIFE IS BEAUTIFUL</t>
  </si>
  <si>
    <t>WOOD 2 DRAWER CABINET WHITE FINISH</t>
  </si>
  <si>
    <t xml:space="preserve">CHILDREN'S APRON DOLLY GIRL </t>
  </si>
  <si>
    <t>T-LIGHT GLASS FLUTED ANTIQUE</t>
  </si>
  <si>
    <t xml:space="preserve">RECYCLING BAG RETROSPOT </t>
  </si>
  <si>
    <t>S/15 SILVER GLASS BAUBLES IN BAG</t>
  </si>
  <si>
    <t xml:space="preserve">SMALL STRIPES CHOCOLATE GIFT BAG </t>
  </si>
  <si>
    <t>SET OF 6 T-LIGHTS SANTA</t>
  </si>
  <si>
    <t>3 HOOK HANGER MAGIC GARDEN</t>
  </si>
  <si>
    <t>5 HOOK HANGER RED MAGIC TOADSTOOL</t>
  </si>
  <si>
    <t>SET OF 6 T-LIGHTS SNOWMEN</t>
  </si>
  <si>
    <t xml:space="preserve">GREEN POLKADOT PLATE </t>
  </si>
  <si>
    <t>SWISS ROLL TOWEL, CHOCOLATE  SPOTS</t>
  </si>
  <si>
    <t>APPLE BATH SPONGE</t>
  </si>
  <si>
    <t>TOAST ITS - HAPPY BIRTHDAY</t>
  </si>
  <si>
    <t>FULL ENGLISH BREAKFAST PLATE</t>
  </si>
  <si>
    <t>72802C</t>
  </si>
  <si>
    <t>VANILLA SCENT CANDLE JEWELLED BOX</t>
  </si>
  <si>
    <t>SET 3 WICKER OVAL BASKETS W LIDS</t>
  </si>
  <si>
    <t>GROW YOUR OWN BASIL IN ENAMEL MUG</t>
  </si>
  <si>
    <t>PICNIC BASKET WICKER LARGE</t>
  </si>
  <si>
    <t>LADS ONLY TISSUE BOX</t>
  </si>
  <si>
    <t xml:space="preserve">TRIPLE PHOTO FRAME CORNICE </t>
  </si>
  <si>
    <t>CREAM SWEETHEART WALL CABINET</t>
  </si>
  <si>
    <t xml:space="preserve">PACK OF 12 WOODLAND TISSUES </t>
  </si>
  <si>
    <t xml:space="preserve">SPACEBOY LUNCH BOX </t>
  </si>
  <si>
    <t>POTTING SHED SOW 'N' GROW SET</t>
  </si>
  <si>
    <t>BLUE OWL SOFT TOY</t>
  </si>
  <si>
    <t xml:space="preserve">BLUE POLKADOT PLATE </t>
  </si>
  <si>
    <t xml:space="preserve">PINK  POLKADOT PLATE </t>
  </si>
  <si>
    <t>JUMBO BAG CHARLIE AND LOLA TOYS</t>
  </si>
  <si>
    <t>72800B</t>
  </si>
  <si>
    <t xml:space="preserve"> 4 PURPLE FLOCK DINNER CANDLES</t>
  </si>
  <si>
    <t>WICKER WREATH SMALL</t>
  </si>
  <si>
    <t>85049H</t>
  </si>
  <si>
    <t xml:space="preserve">URBAN BLACK RIBBONS </t>
  </si>
  <si>
    <t xml:space="preserve">RIBBON REEL STRIPES DESIGN </t>
  </si>
  <si>
    <t>STRAWBERRY CHARLOTTE BAG</t>
  </si>
  <si>
    <t>NATURAL SLATE RECTANGLE CHALKBOARD</t>
  </si>
  <si>
    <t>GARLAND WOODEN HAPPY EASTER</t>
  </si>
  <si>
    <t>STRAWBERRY SHOPPER BAG</t>
  </si>
  <si>
    <t>HEART OF WICKER SMALL</t>
  </si>
  <si>
    <t>POTTING SHED SEED ENVELOPES</t>
  </si>
  <si>
    <t>RED TEA TOWEL CLASSIC DESIGN</t>
  </si>
  <si>
    <t>RED RETROSPOT OVEN GLOVE DOUBLE</t>
  </si>
  <si>
    <t xml:space="preserve">RED RETROSPOT OVEN GLOVE </t>
  </si>
  <si>
    <t>85035B</t>
  </si>
  <si>
    <t>CHOCOLATE 3 WICK MORRIS BOX CANDLE</t>
  </si>
  <si>
    <t>SET/10 IVORY POLKADOT PARTY CANDLES</t>
  </si>
  <si>
    <t xml:space="preserve">STARS GIFT TAPE </t>
  </si>
  <si>
    <t>PINK HEART DOTS HOT WATER BOTTLE</t>
  </si>
  <si>
    <t>PLASTERS IN TIN WOODLAND ANIMALS</t>
  </si>
  <si>
    <t>MAGIC DRAWING SLATE DINOSAUR</t>
  </si>
  <si>
    <t xml:space="preserve">STRAWBERRY BATH SPONGE </t>
  </si>
  <si>
    <t>SANDWICH BATH SPONGE</t>
  </si>
  <si>
    <t>HEART WOODEN CHRISTMAS DECORATION</t>
  </si>
  <si>
    <t xml:space="preserve"> SET 2 TEA TOWELS I LOVE LONDON </t>
  </si>
  <si>
    <t>90200A</t>
  </si>
  <si>
    <t>PURPLE SWEETHEART BRACELET</t>
  </si>
  <si>
    <t>90200D</t>
  </si>
  <si>
    <t>PINK SWEETHEART BRACELET</t>
  </si>
  <si>
    <t>DECORATIVE ROSE BATHROOM BOTTLE</t>
  </si>
  <si>
    <t>FRENCH WC SIGN BLUE METAL</t>
  </si>
  <si>
    <t xml:space="preserve">LOVEBIRD HANGING DECORATION WHITE </t>
  </si>
  <si>
    <t>FELTCRAFT CUSHION BUTTERFLY</t>
  </si>
  <si>
    <t xml:space="preserve">SET OF 4 NAPKIN CHARMS STARS   </t>
  </si>
  <si>
    <t>200 RED + WHITE BENDY STRAWS</t>
  </si>
  <si>
    <t>SET OF 6 T-LIGHTS TOADSTOOLS</t>
  </si>
  <si>
    <t>PACK OF 12 TRADITIONAL CRAYONS</t>
  </si>
  <si>
    <t>MINT KITCHEN SCALES</t>
  </si>
  <si>
    <t>SET/6 RED SPOTTY PAPER CUPS</t>
  </si>
  <si>
    <t xml:space="preserve">ROUND SNACK BOXES SET OF 4 FRUITS </t>
  </si>
  <si>
    <t>SMALL HEART MEASURING SPOONS</t>
  </si>
  <si>
    <t>GREEN CHRISTMAS TREE CARD HOLDER</t>
  </si>
  <si>
    <t xml:space="preserve">ANTIQUE GLASS HEART DECORATION </t>
  </si>
  <si>
    <t>DOORMAT SPOTTY HOME SWEET HOME</t>
  </si>
  <si>
    <t>BREAD BIN DINER STYLE PINK</t>
  </si>
  <si>
    <t>SAVE THE PLANET MUG</t>
  </si>
  <si>
    <t xml:space="preserve">ORGANISER WOOD ANTIQUE WHITE </t>
  </si>
  <si>
    <t xml:space="preserve">FANCY FONT BIRTHDAY CARD, </t>
  </si>
  <si>
    <t>85114B</t>
  </si>
  <si>
    <t>IVORY ENCHANTED FOREST PLACEMAT</t>
  </si>
  <si>
    <t>JOY WOODEN BLOCK LETTERS</t>
  </si>
  <si>
    <t>BAG 500g SWIRLY MARBLES</t>
  </si>
  <si>
    <t>HYACINTH BULB T-LIGHT CANDLES</t>
  </si>
  <si>
    <t>DISCO BALL CHRISTMAS DECORATION</t>
  </si>
  <si>
    <t>SLATE TILE NATURAL HANGING</t>
  </si>
  <si>
    <t>SET 12 RETRO WHITE CHALK STICKS</t>
  </si>
  <si>
    <t xml:space="preserve">STAR DECORATION PAINTED ZINC </t>
  </si>
  <si>
    <t>DECORATIVE PLANT POT WITH FRIEZE</t>
  </si>
  <si>
    <t>DOORMAT UNION JACK GUNS AND ROSES</t>
  </si>
  <si>
    <t>CHRISTMAS RETROSPOT TREE WOOD</t>
  </si>
  <si>
    <t>CHRISTMAS RETROSPOT STAR WOOD</t>
  </si>
  <si>
    <t xml:space="preserve">MINI JIGSAW DINOSAUR </t>
  </si>
  <si>
    <t>EIGHT PIECE DINOSAUR SET</t>
  </si>
  <si>
    <t xml:space="preserve">6 RIBBONS ELEGANT CHRISTMAS </t>
  </si>
  <si>
    <t>DOORMAT FANCY FONT HOME SWEET HOME</t>
  </si>
  <si>
    <t>OWL DOORSTOP</t>
  </si>
  <si>
    <t>CARD HOLDER GINGHAM HEART</t>
  </si>
  <si>
    <t>BABUSHKA LIGHTS STRING OF 10</t>
  </si>
  <si>
    <t xml:space="preserve">STAR  T-LIGHT HOLDER </t>
  </si>
  <si>
    <t>CHARLOTTE BAG DOLLY GIRL DESIGN</t>
  </si>
  <si>
    <t xml:space="preserve">POLKADOT RAIN HAT </t>
  </si>
  <si>
    <t>GUMBALL MAGAZINE RACK</t>
  </si>
  <si>
    <t xml:space="preserve">ROSES REGENCY TEACUP AND SAUCER </t>
  </si>
  <si>
    <t>SKULL SHOULDER BAG</t>
  </si>
  <si>
    <t xml:space="preserve">6 RIBBONS SHIMMERING PINKS </t>
  </si>
  <si>
    <t>HANGING METAL HEART LANTERN</t>
  </si>
  <si>
    <t>20 DOLLY PEGS RETROSPOT</t>
  </si>
  <si>
    <t>FIRST AID TIN</t>
  </si>
  <si>
    <t>CAKE PLATE LOVEBIRD WHITE</t>
  </si>
  <si>
    <t>CLASSIC WHITE FRAME</t>
  </si>
  <si>
    <t xml:space="preserve">STAR PORTABLE TABLE LIGHT </t>
  </si>
  <si>
    <t>BOYS VINTAGE TIN SEASIDE BUCKET</t>
  </si>
  <si>
    <t xml:space="preserve">RED METAL BEACH SPADE </t>
  </si>
  <si>
    <t xml:space="preserve">CHRISTMAS METAL TAGS ASSORTED </t>
  </si>
  <si>
    <t>BOX OF 24 COCKTAIL PARASOLS</t>
  </si>
  <si>
    <t>BOX OF 6 ASSORTED COLOUR TEASPOONS</t>
  </si>
  <si>
    <t>85136A</t>
  </si>
  <si>
    <t>YELLOW SHARK HELICOPTER</t>
  </si>
  <si>
    <t xml:space="preserve">RECORD FRAME 7" SINGLE SIZE </t>
  </si>
  <si>
    <t xml:space="preserve">TOOL BOX SOFT TOY </t>
  </si>
  <si>
    <t>VINTAGE BILLBOARD LOVE/HATE MUG</t>
  </si>
  <si>
    <t>GIN AND TONIC MUG</t>
  </si>
  <si>
    <t>PLACE SETTING WHITE HEART</t>
  </si>
  <si>
    <t>LUNCH BAG DOLLY GIRL DESIGN</t>
  </si>
  <si>
    <t>PACK OF 60 MUSHROOM CAKE CASES</t>
  </si>
  <si>
    <t>RETROSPOT LAMP</t>
  </si>
  <si>
    <t>IF YOU CAN'T STAND THE HEAT MUG</t>
  </si>
  <si>
    <t>ENAMEL MEASURING JUG CREAM</t>
  </si>
  <si>
    <t>PINK ROSE FABRIC MIRROR</t>
  </si>
  <si>
    <t>BLACK PIRATE TREASURE CHEST</t>
  </si>
  <si>
    <t>JUMBO BAG SCANDINAVIAN PAISLEY</t>
  </si>
  <si>
    <t>RED RETROSPOT TAPE</t>
  </si>
  <si>
    <t xml:space="preserve">OFFICE MUG WARMER BLACK+SILVER </t>
  </si>
  <si>
    <t xml:space="preserve">VICTORIAN SEWING BOX SMALL </t>
  </si>
  <si>
    <t>46000M</t>
  </si>
  <si>
    <t>POLYESTER FILLER PAD 45x45cm</t>
  </si>
  <si>
    <t>VINTAGE UNION JACK CUSHION COVER</t>
  </si>
  <si>
    <t>POST</t>
  </si>
  <si>
    <t>POSTAGE</t>
  </si>
  <si>
    <t>GREEN REGENCY TEACUP AND SAUCER</t>
  </si>
  <si>
    <t>HAND WARMER RED POLKA DOT</t>
  </si>
  <si>
    <t xml:space="preserve">WOODEN OWLS LIGHT GARLAND </t>
  </si>
  <si>
    <t>LIGHT GARLAND BUTTERFILES PINK</t>
  </si>
  <si>
    <t>DOG BOWL CHASING BALL DESIGN</t>
  </si>
  <si>
    <t>48173C</t>
  </si>
  <si>
    <t xml:space="preserve">DOORMAT BLACK FLOCK </t>
  </si>
  <si>
    <t>SILVER PLATE CANDLE BOWL SMALL</t>
  </si>
  <si>
    <t>BLACK RECORD COVER FRAME</t>
  </si>
  <si>
    <t>WOOD S/3 CABINET ANT WHITE FINISH</t>
  </si>
  <si>
    <t xml:space="preserve">PIGGY BANK RETROSPOT </t>
  </si>
  <si>
    <t>RED RETROSPOT MUG</t>
  </si>
  <si>
    <t>JUMBO BAG DOLLY GIRL DESIGN</t>
  </si>
  <si>
    <t>BALLOON ART MAKE YOUR OWN FLOWERS</t>
  </si>
  <si>
    <t>85231G</t>
  </si>
  <si>
    <t>ORANGE SCENTED SET/9 T-LIGHTS</t>
  </si>
  <si>
    <t>85231B</t>
  </si>
  <si>
    <t>CINAMMON SET OF 9 T-LIGHTS</t>
  </si>
  <si>
    <t>PANDA AND BUNNIES STICKER SHEET</t>
  </si>
  <si>
    <t xml:space="preserve">MINI JIGSAW CIRCUS PARADE </t>
  </si>
  <si>
    <t>TOTE BAG I LOVE LONDON</t>
  </si>
  <si>
    <t>DOLLY GIRL LUNCH BOX</t>
  </si>
  <si>
    <t>BLUE PAISLEY NOTEBOOK</t>
  </si>
  <si>
    <t>84569B</t>
  </si>
  <si>
    <t>PACK 3 FIRE ENGINE/CAR PATCHES</t>
  </si>
  <si>
    <t xml:space="preserve">WRAP RED APPLES </t>
  </si>
  <si>
    <t xml:space="preserve">PACK OF 12 CIRCUS PARADE TISSUES </t>
  </si>
  <si>
    <t>FANCY FONTS BIRTHDAY WRAP</t>
  </si>
  <si>
    <t>84558A</t>
  </si>
  <si>
    <t>3D DOG PICTURE PLAYING CARDS</t>
  </si>
  <si>
    <t>COSY SLIPPER SHOES SMALL GREEN</t>
  </si>
  <si>
    <t>ENAMEL BREAD BIN CREAM</t>
  </si>
  <si>
    <t>FELTCRAFT CUSHION OWL</t>
  </si>
  <si>
    <t>FELTCRAFT CUSHION RABBIT</t>
  </si>
  <si>
    <t>47563A</t>
  </si>
  <si>
    <t>RETRO LONGBOARD IRONING BOARD COVER</t>
  </si>
  <si>
    <t>SET OF 2 CHRISTMAS DECOUPAGE CANDLE</t>
  </si>
  <si>
    <t>ZINC WILLIE WINKIE  CANDLE STICK</t>
  </si>
  <si>
    <t xml:space="preserve">COSY SLIPPER SHOES SMALL  RED </t>
  </si>
  <si>
    <t>MEASURING TAPE BABUSHKA RED</t>
  </si>
  <si>
    <t>HEART FILIGREE DOVE  SMALL</t>
  </si>
  <si>
    <t>WHITE CHRISTMAS GARLAND STARS TREES</t>
  </si>
  <si>
    <t>DOORMAT FAIRY CAKE</t>
  </si>
  <si>
    <t>3 HOOK PHOTO SHELF ANTIQUE WHITE</t>
  </si>
  <si>
    <t>TV DINNER TRAY VINTAGE PAISLEY</t>
  </si>
  <si>
    <t>DOORMAT NEW ENGLAND</t>
  </si>
  <si>
    <t xml:space="preserve">AIRLINE BAG VINTAGE WORLD CHAMPION </t>
  </si>
  <si>
    <t>ROUND SNACK BOXES SET OF 4 SKULLS</t>
  </si>
  <si>
    <t>VINTAGE BILLBOARD DRINK ME MUG</t>
  </si>
  <si>
    <t>CLASSIC METAL BIRDCAGE PLANT HOLDER</t>
  </si>
  <si>
    <t>SAVE THE PLANET COTTON TOTE BAG</t>
  </si>
  <si>
    <t>RAINY LADIES BIRTHDAY CARD</t>
  </si>
  <si>
    <t xml:space="preserve">CARD DOLLY GIRL </t>
  </si>
  <si>
    <t>POLKADOT PEN</t>
  </si>
  <si>
    <t>PENS ASSORTED FUNNY FACE</t>
  </si>
  <si>
    <t>85184C</t>
  </si>
  <si>
    <t>S/4 VALENTINE DECOUPAGE HEART BOX</t>
  </si>
  <si>
    <t>ENAMEL FIRE BUCKET CREAM</t>
  </si>
  <si>
    <t>FOLDING UMBRELLA PINKWHITE POLKADOT</t>
  </si>
  <si>
    <t>FOLDING UMBRELLA RED/WHITE POLKADOT</t>
  </si>
  <si>
    <t>RETRO COFFEE MUGS ASSORTED</t>
  </si>
  <si>
    <t xml:space="preserve">WRAP COWBOYS  </t>
  </si>
  <si>
    <t>CARD BIRTHDAY COWBOY</t>
  </si>
  <si>
    <t>WHITE LOVEBIRD LANTERN</t>
  </si>
  <si>
    <t>SMALL CHINESE STYLE SCISSOR</t>
  </si>
  <si>
    <t>PLACE SETTING WHITE STAR</t>
  </si>
  <si>
    <t>TRAY, BREAKFAST IN BED</t>
  </si>
  <si>
    <t>METAL SIGN EMPIRE TEA</t>
  </si>
  <si>
    <t xml:space="preserve">FELT EGG COSY WHITE RABBIT </t>
  </si>
  <si>
    <t>FELT EGG COSY CHICKEN</t>
  </si>
  <si>
    <t>BIRD DECORATION RED RETROSPOT</t>
  </si>
  <si>
    <t>TOADSTOOL MONEY BOX</t>
  </si>
  <si>
    <t>PAPER BUNTING COLOURED LACE</t>
  </si>
  <si>
    <t>85049D</t>
  </si>
  <si>
    <t xml:space="preserve">BRIGHT BLUES RIBBONS </t>
  </si>
  <si>
    <t>AIRLINE LOUNGE,METAL SIGN</t>
  </si>
  <si>
    <t>OFFICE MUG WARMER POLKADOT</t>
  </si>
  <si>
    <t xml:space="preserve">MINI JIGSAW BAKE A CAKE </t>
  </si>
  <si>
    <t>GUMBALL MONOCHROME COAT RACK</t>
  </si>
  <si>
    <t>PACK OF 6 HANDBAG GIFT BOXES</t>
  </si>
  <si>
    <t>84849B</t>
  </si>
  <si>
    <t>FAIRY SOAP SOAP HOLDER</t>
  </si>
  <si>
    <t>85169B</t>
  </si>
  <si>
    <t>BLACK LOVE BIRD CANDLE</t>
  </si>
  <si>
    <t>FOLDING UMBRELLA CREAM POLKADOT</t>
  </si>
  <si>
    <t xml:space="preserve">RETROSPOT CIGAR BOX MATCHES </t>
  </si>
  <si>
    <t>RED FLOWER CROCHET FOOD COVER</t>
  </si>
  <si>
    <t>17164B</t>
  </si>
  <si>
    <t>ASS COL SMALL SAND GECKO P'WEIGHT</t>
  </si>
  <si>
    <t>71406C</t>
  </si>
  <si>
    <t>BLACK ORANGE SQUEEZER</t>
  </si>
  <si>
    <t>VINTAGE SEASIDE JIGSAW PUZZLES</t>
  </si>
  <si>
    <t>POLKA DOT RAFFIA FOOD COVER</t>
  </si>
  <si>
    <t>90200C</t>
  </si>
  <si>
    <t>BLUE SWEETHEART BRACELET</t>
  </si>
  <si>
    <t>90200B</t>
  </si>
  <si>
    <t>BLACK SWEETHEART BRACELET</t>
  </si>
  <si>
    <t>TOY TIDY DOLLY GIRL DESIGN</t>
  </si>
  <si>
    <t>SKULLS STORAGE BOX SMALL</t>
  </si>
  <si>
    <t>85071C</t>
  </si>
  <si>
    <t>CHARLIE+LOLA"EXTREMELY BUSY" SIGN</t>
  </si>
  <si>
    <t>T-LIGHT HOLDER HANGING LACE</t>
  </si>
  <si>
    <t xml:space="preserve">SMALL REGAL  SILVER CANDLEPOT </t>
  </si>
  <si>
    <t>PACK OF 12 SPACEBOY TISSUES</t>
  </si>
  <si>
    <t xml:space="preserve">LARGE ROUND WICKER PLATTER </t>
  </si>
  <si>
    <t>85019A</t>
  </si>
  <si>
    <t>ROMANTIC IMAGES NOTEBOOK SET</t>
  </si>
  <si>
    <t>HANGING GLASS ETCHED TEALIGHT</t>
  </si>
  <si>
    <t xml:space="preserve">GIN &amp; TONIC DIET GREETING CARD </t>
  </si>
  <si>
    <t>GLASS JAR ENGLISH CONFECTIONERY</t>
  </si>
  <si>
    <t>37444A</t>
  </si>
  <si>
    <t>YELLOW BREAKFAST CUP AND SAUCER</t>
  </si>
  <si>
    <t>KINGS CHOICE GIANT TUBE MATCHES</t>
  </si>
  <si>
    <t xml:space="preserve">POLKADOT MUG PINK </t>
  </si>
  <si>
    <t>CARAVAN SQUARE TISSUE BOX</t>
  </si>
  <si>
    <t>SWALLOW SQUARE TISSUE BOX</t>
  </si>
  <si>
    <t>SILK PURSE BABUSHKA RED</t>
  </si>
  <si>
    <t>SET OF 6 KASHMIR FOLKART BAUBLES</t>
  </si>
  <si>
    <t>PARTY CONES CARNIVAL ASSORTED</t>
  </si>
  <si>
    <t xml:space="preserve">CHRISTMAS CRAFT WHITE FAIRY </t>
  </si>
  <si>
    <t>84985A</t>
  </si>
  <si>
    <t>SET OF 72 GREEN PAPER DOILIES</t>
  </si>
  <si>
    <t>RUSTIC  SEVENTEEN DRAWER SIDEBOARD</t>
  </si>
  <si>
    <t>47570B</t>
  </si>
  <si>
    <t>TEA TIME TABLE CLOTH</t>
  </si>
  <si>
    <t>VICTORIAN SEWING BOX MEDIUM</t>
  </si>
  <si>
    <t>85114C</t>
  </si>
  <si>
    <t>RED ENCHANTED FOREST PLACEMAT</t>
  </si>
  <si>
    <t xml:space="preserve">WHITE BELL HONEYCOMB PAPER </t>
  </si>
  <si>
    <t>SET 12 LAVENDER  BOTANICAL T-LIGHTS</t>
  </si>
  <si>
    <t>GIRLY PINK TOOL SET</t>
  </si>
  <si>
    <t>PINK HEART SHAPE EGG FRYING PAN</t>
  </si>
  <si>
    <t>GARDEN PATH JOURNAL</t>
  </si>
  <si>
    <t>BLUE ROSE FABRIC MIRROR</t>
  </si>
  <si>
    <t>HI TEC ALPINE HAND WARMER</t>
  </si>
  <si>
    <t>AGED GLASS SILVER T-LIGHT HOLDER</t>
  </si>
  <si>
    <t>85183B</t>
  </si>
  <si>
    <t>CHARLIE &amp; LOLA WASTEPAPER BIN FLORA</t>
  </si>
  <si>
    <t>PIZZA PLATE IN BOX</t>
  </si>
  <si>
    <t>SKULLS SQUARE TISSUE BOX</t>
  </si>
  <si>
    <t>12 DAISY PEGS IN WOOD BOX</t>
  </si>
  <si>
    <t>PARTY TIME PENCIL ERASERS</t>
  </si>
  <si>
    <t>MEASURING TAPE BABUSHKA BLUE</t>
  </si>
  <si>
    <t>CHRISTMAS TREE T-LIGHT HOLDER</t>
  </si>
  <si>
    <t>84625A</t>
  </si>
  <si>
    <t>PINK NEW BAROQUECANDLESTICK CANDLE</t>
  </si>
  <si>
    <t>85071A</t>
  </si>
  <si>
    <t>BLUE CHARLIE+LOLA PERSONAL DOORSIGN</t>
  </si>
  <si>
    <t>COSMETIC BAG VINTAGE ROSE PAISLEY</t>
  </si>
  <si>
    <t>FLOWERS  STICKERS</t>
  </si>
  <si>
    <t>47504H</t>
  </si>
  <si>
    <t xml:space="preserve">ENGLISH ROSE SPIRIT LEVEL </t>
  </si>
  <si>
    <t>16258A</t>
  </si>
  <si>
    <t>SWIRLY CIRCULAR RUBBERS IN BAG</t>
  </si>
  <si>
    <t>BLACK KITCHEN SCALES</t>
  </si>
  <si>
    <t>37444C</t>
  </si>
  <si>
    <t xml:space="preserve">PINK BREAKFAST CUP AND SAUCER </t>
  </si>
  <si>
    <t>CLASSICAL ROSE SMALL VASE</t>
  </si>
  <si>
    <t>SET 6 FOOTBALL CELEBRATION CANDLES</t>
  </si>
  <si>
    <t>17091A</t>
  </si>
  <si>
    <t>LAVENDER INCENSE IN TIN</t>
  </si>
  <si>
    <t>SET/4 MODERN VINTAGE COTTON NAPKINS</t>
  </si>
  <si>
    <t>PARTY INVITES JAZZ HEARTS</t>
  </si>
  <si>
    <t>PARTY INVITES FOOTBALL</t>
  </si>
  <si>
    <t>PAPER BUNTING WHITE LACE</t>
  </si>
  <si>
    <t>CERAMIC STRAWBERRY DESIGN MUG</t>
  </si>
  <si>
    <t>STRING OF STARS CARD HOLDER</t>
  </si>
  <si>
    <t>CHRYSANTHEMUM NOTEBOOK</t>
  </si>
  <si>
    <t>BLACK TEA TOWEL CLASSIC DESIGN</t>
  </si>
  <si>
    <t>84596E</t>
  </si>
  <si>
    <t>SMALL LICORICE DES PINK BOWL</t>
  </si>
  <si>
    <t xml:space="preserve">CARD I LOVE LONDON </t>
  </si>
  <si>
    <t>CHRISTMAS DECOUPAGE CANDLE</t>
  </si>
  <si>
    <t>84519A</t>
  </si>
  <si>
    <t>TOMATO CHARLIE+LOLA COASTER SET</t>
  </si>
  <si>
    <t>BIRTHDAY CARD, RETRO SPOT</t>
  </si>
  <si>
    <t>CLASSIC FRENCH STYLE BASKET NATURAL</t>
  </si>
  <si>
    <t>84709B</t>
  </si>
  <si>
    <t>PINK OVAL JEWELLED MIRROR</t>
  </si>
  <si>
    <t>LARGE CHINESE STYLE SCISSOR</t>
  </si>
  <si>
    <t>BLACK CANDELABRA T-LIGHT HOLDER</t>
  </si>
  <si>
    <t>SET OF 2 TINS JARDIN DE PROVENCE</t>
  </si>
  <si>
    <t>MULTICOLOUR  CONFETTI IN TUBE</t>
  </si>
  <si>
    <t>RED RETROSPOT TISSUE BOX</t>
  </si>
  <si>
    <t>BLUE PAISLEY TISSUE BOX</t>
  </si>
  <si>
    <t>MIRRORED WALL ART GENTS</t>
  </si>
  <si>
    <t>LETS GO SHOPPING COTTON TOTE BAG</t>
  </si>
  <si>
    <t>85071B</t>
  </si>
  <si>
    <t>RED CHARLIE+LOLA PERSONAL DOORSIGN</t>
  </si>
  <si>
    <t>WASHROOM METAL SIGN</t>
  </si>
  <si>
    <t>PHOTO CLIP LINE</t>
  </si>
  <si>
    <t>15044B</t>
  </si>
  <si>
    <t xml:space="preserve">BLUE PAPER PARASOL </t>
  </si>
  <si>
    <t>SILVER LOOKING MIRROR</t>
  </si>
  <si>
    <t>85019C</t>
  </si>
  <si>
    <t>CURIOUS  IMAGES NOTEBOOK SET</t>
  </si>
  <si>
    <t>PARTY INVITES SPACEMAN</t>
  </si>
  <si>
    <t>84625C</t>
  </si>
  <si>
    <t>BLUE NEW BAROQUE CANDLESTICK CANDLE</t>
  </si>
  <si>
    <t>NAMASTE SWAGAT INCENSE</t>
  </si>
  <si>
    <t>BATH BUILDING BLOCK WORD</t>
  </si>
  <si>
    <t xml:space="preserve">MILK BOTTLE WITH GLASS STOPPER </t>
  </si>
  <si>
    <t>SILVER GLASS T-LIGHT SET</t>
  </si>
  <si>
    <t>GREEN FERN NOTEBOOK</t>
  </si>
  <si>
    <t>PINK UNION JACK  LUGGAGE TAG</t>
  </si>
  <si>
    <t>PINK HEARTS PAPER GARLAND</t>
  </si>
  <si>
    <t>PARTY CONES CANDY ASSORTED</t>
  </si>
  <si>
    <t>90199C</t>
  </si>
  <si>
    <t>5 STRAND GLASS NECKLACE CRYSTAL</t>
  </si>
  <si>
    <t>VINTAGE KEEPSAKE BOX PARIS DAYS</t>
  </si>
  <si>
    <t>VINTAGE GLASS COFFEE CADDY</t>
  </si>
  <si>
    <t>90129F</t>
  </si>
  <si>
    <t>RED GLASS TASSLE BAG CHARM</t>
  </si>
  <si>
    <t>SET OF 6 GIRLS CELEBRATION CANDLES</t>
  </si>
  <si>
    <t xml:space="preserve">PINK PAISLEY SQUARE TISSUE BOX </t>
  </si>
  <si>
    <t>BLUE BIRDHOUSE DECORATION</t>
  </si>
  <si>
    <t>SET OF 20 KIDS COOKIE CUTTERS</t>
  </si>
  <si>
    <t xml:space="preserve">BOOZE &amp; WOMEN GREETING CARD </t>
  </si>
  <si>
    <t>STRAWBERRY RAFFIA FOOD COVER</t>
  </si>
  <si>
    <t>BOOM BOX SPEAKER GIRLS</t>
  </si>
  <si>
    <t>MIRRORED WALL ART FOXY</t>
  </si>
  <si>
    <t>90210B</t>
  </si>
  <si>
    <t>CLEAR ACRYLIC FACETED BANGLE</t>
  </si>
  <si>
    <t>PINK B'FLY C/COVER W BOBBLES</t>
  </si>
  <si>
    <t>PAISLEY PATTERN  STICKERS</t>
  </si>
  <si>
    <t>90185C</t>
  </si>
  <si>
    <t>BLACK DIAMANTE EXPANDABLE RING</t>
  </si>
  <si>
    <t>S/6 SEW ON CROCHET FLOWERS</t>
  </si>
  <si>
    <t>CRAZY DAISY HEART DECORATION</t>
  </si>
  <si>
    <t>84563A</t>
  </si>
  <si>
    <t>PINK &amp; WHITE BREAKFAST TRAY</t>
  </si>
  <si>
    <t>90059B</t>
  </si>
  <si>
    <t>DIAMANTE HAIR GRIP PACK/2 BLACK DIA</t>
  </si>
  <si>
    <t>90059C</t>
  </si>
  <si>
    <t>DIAMANTE HAIR GRIP PACK/2 MONTANA</t>
  </si>
  <si>
    <t xml:space="preserve">WOODEN ROUNDERS GARDEN SET </t>
  </si>
  <si>
    <t>35591T</t>
  </si>
  <si>
    <t xml:space="preserve">TURQUOISE CHRISTMAS TREE </t>
  </si>
  <si>
    <t>ASSORTED COLOUR LIZARD SUCTION HOOK</t>
  </si>
  <si>
    <t>RETROSPOT BABUSHKA DOORSTOP</t>
  </si>
  <si>
    <t>GLASS CLOCHE SMALL</t>
  </si>
  <si>
    <t xml:space="preserve">CLOTHES PEGS RETROSPOT PACK 24 </t>
  </si>
  <si>
    <t xml:space="preserve">IVORY EMBROIDERED QUILT </t>
  </si>
  <si>
    <t>36 FOIL HEART CAKE CASES</t>
  </si>
  <si>
    <t>90059E</t>
  </si>
  <si>
    <t>DIAMANTE HAIR GRIP PACK/2 RUBY</t>
  </si>
  <si>
    <t xml:space="preserve">36 FOIL STAR CAKE CASES </t>
  </si>
  <si>
    <t>FRENCH BLUE METAL DOOR SIGN 5</t>
  </si>
  <si>
    <t>RIDGED GLASS FINGER BOWL</t>
  </si>
  <si>
    <t>SWEETHEART WIRE WALL TIDY</t>
  </si>
  <si>
    <t>GINGERBREAD MAN COOKIE CUTTER</t>
  </si>
  <si>
    <t>SQUARECUSHION COVER PINK UNION FLAG</t>
  </si>
  <si>
    <t>CHRISTMAS CRAFT TREE TOP ANGEL</t>
  </si>
  <si>
    <t>CHRISTMAS CRAFT LITTLE FRIENDS</t>
  </si>
  <si>
    <t>FOLDING UMBRELLA WHITE/RED POLKADOT</t>
  </si>
  <si>
    <t>BLUE COAT RACK PARIS FASHION</t>
  </si>
  <si>
    <t>RED COAT RACK PARIS FASHION</t>
  </si>
  <si>
    <t>YELLOW COAT RACK PARIS FASHION</t>
  </si>
  <si>
    <t>FRIDGE MAGNETS LES ENFANTS ASSORTED</t>
  </si>
  <si>
    <t>IVORY GIANT GARDEN THERMOMETER</t>
  </si>
  <si>
    <t>FRIDGE MAGNETS US DINER ASSORTED</t>
  </si>
  <si>
    <t xml:space="preserve">ASSORTED BOTTLE TOP  MAGNETS </t>
  </si>
  <si>
    <t>3 PIECE SPACEBOY COOKIE CUTTER SET</t>
  </si>
  <si>
    <t>HOMEMADE JAM SCENTED CANDLES</t>
  </si>
  <si>
    <t>BLUE GIANT GARDEN THERMOMETER</t>
  </si>
  <si>
    <t>GREEN GIANT GARDEN THERMOMETER</t>
  </si>
  <si>
    <t>HERB MARKER ROSEMARY</t>
  </si>
  <si>
    <t xml:space="preserve">HERB MARKER CHIVES </t>
  </si>
  <si>
    <t>HERB MARKER BASIL</t>
  </si>
  <si>
    <t>HERB MARKER THYME</t>
  </si>
  <si>
    <t>HERB MARKER PARSLEY</t>
  </si>
  <si>
    <t>CARD BILLBOARD FONT</t>
  </si>
  <si>
    <t>HERB MARKER MINT</t>
  </si>
  <si>
    <t xml:space="preserve">SOLDIERS EGG CUP </t>
  </si>
  <si>
    <t>CHILDREN'S SPACEBOY MUG</t>
  </si>
  <si>
    <t>CHILDREN'S CIRCUS PARADE MUG</t>
  </si>
  <si>
    <t>CHILDRENS DOLLY GIRL MUG</t>
  </si>
  <si>
    <t>SPACEBOY CHILDRENS EGG CUP</t>
  </si>
  <si>
    <t>JAM MAKING SET PRINTED</t>
  </si>
  <si>
    <t>JAM JAR WITH PINK LID</t>
  </si>
  <si>
    <t>JAM JAR WITH GREEN LID</t>
  </si>
  <si>
    <t>JAM MAKING SET WITH JARS</t>
  </si>
  <si>
    <t>C536379</t>
  </si>
  <si>
    <t>C536383</t>
  </si>
  <si>
    <t>THREE CANVAS LUGGAGE TAGS</t>
  </si>
  <si>
    <t>C536543</t>
  </si>
  <si>
    <t>C536391</t>
  </si>
  <si>
    <t>C536506</t>
  </si>
  <si>
    <t>Customer ID</t>
    <phoneticPr fontId="1" type="noConversion"/>
  </si>
  <si>
    <t>Product name</t>
  </si>
  <si>
    <t>Product_Id</t>
  </si>
  <si>
    <t>Invoice#</t>
  </si>
  <si>
    <t>Order_id</t>
  </si>
  <si>
    <t xml:space="preserve">Order status </t>
  </si>
  <si>
    <t>Order_Date</t>
  </si>
  <si>
    <t>Acevedo</t>
  </si>
  <si>
    <t>Estes</t>
  </si>
  <si>
    <t>Ivette</t>
  </si>
  <si>
    <t>Lamb</t>
  </si>
  <si>
    <t>Lezlie</t>
  </si>
  <si>
    <t>Cline</t>
  </si>
  <si>
    <t>Cassie</t>
  </si>
  <si>
    <t>Morrison</t>
  </si>
  <si>
    <t>Jamaal</t>
  </si>
  <si>
    <t>Rollins</t>
  </si>
  <si>
    <t>Ernest</t>
  </si>
  <si>
    <t>Little</t>
  </si>
  <si>
    <t>Florrie</t>
  </si>
  <si>
    <t>Dunn</t>
  </si>
  <si>
    <t>Lee</t>
  </si>
  <si>
    <t>Warner</t>
  </si>
  <si>
    <t>Son</t>
  </si>
  <si>
    <t>Ayers</t>
  </si>
  <si>
    <t>Macie</t>
  </si>
  <si>
    <t>Fowler</t>
  </si>
  <si>
    <t>Merrie</t>
  </si>
  <si>
    <t>Miles</t>
  </si>
  <si>
    <t>Elana</t>
  </si>
  <si>
    <t>Knight</t>
  </si>
  <si>
    <t>Nicola</t>
  </si>
  <si>
    <t>Cameron</t>
  </si>
  <si>
    <t>Zona</t>
  </si>
  <si>
    <t>Benton</t>
  </si>
  <si>
    <t>Mark</t>
  </si>
  <si>
    <t>Wade</t>
  </si>
  <si>
    <t>Tayna</t>
  </si>
  <si>
    <t>Justice</t>
  </si>
  <si>
    <t>Lorrie</t>
  </si>
  <si>
    <t>Johns</t>
  </si>
  <si>
    <t>Carola</t>
  </si>
  <si>
    <t>Wilkerson</t>
  </si>
  <si>
    <t>Mikel</t>
  </si>
  <si>
    <t>Gould</t>
  </si>
  <si>
    <t>Londa</t>
  </si>
  <si>
    <t>Jenkins</t>
  </si>
  <si>
    <t>Justina</t>
  </si>
  <si>
    <t>Cole</t>
  </si>
  <si>
    <t>Lashunda</t>
  </si>
  <si>
    <t>Cervantes</t>
  </si>
  <si>
    <t>Dollie</t>
  </si>
  <si>
    <t>Jacobson</t>
  </si>
  <si>
    <t>Tempie</t>
  </si>
  <si>
    <t>Barrett</t>
  </si>
  <si>
    <t>Edris</t>
  </si>
  <si>
    <t>Noble</t>
  </si>
  <si>
    <t>Kelsey</t>
  </si>
  <si>
    <t>Cotton</t>
  </si>
  <si>
    <t>Lurlene</t>
  </si>
  <si>
    <t>Best</t>
  </si>
  <si>
    <t>Penni</t>
  </si>
  <si>
    <t>Castro</t>
  </si>
  <si>
    <t>Jasper</t>
  </si>
  <si>
    <t>Kennedy</t>
  </si>
  <si>
    <t>Miranda</t>
  </si>
  <si>
    <t>O'connor</t>
  </si>
  <si>
    <t>Harold</t>
  </si>
  <si>
    <t>Walls</t>
  </si>
  <si>
    <t>Sonja</t>
  </si>
  <si>
    <t>Decker</t>
  </si>
  <si>
    <t>Ophelia</t>
  </si>
  <si>
    <t>Hunter</t>
  </si>
  <si>
    <t>Adrien</t>
  </si>
  <si>
    <t>Stevenson</t>
  </si>
  <si>
    <t>Shanda</t>
  </si>
  <si>
    <t>Finch</t>
  </si>
  <si>
    <t>Bush</t>
  </si>
  <si>
    <t>Lamar</t>
  </si>
  <si>
    <t>Mendez</t>
  </si>
  <si>
    <t>Eleanor</t>
  </si>
  <si>
    <t>Craft</t>
  </si>
  <si>
    <t>Hugh</t>
  </si>
  <si>
    <t>Orr</t>
  </si>
  <si>
    <t>Farrah</t>
  </si>
  <si>
    <t>Figueroa</t>
  </si>
  <si>
    <t>Thanh</t>
  </si>
  <si>
    <t>Conway</t>
  </si>
  <si>
    <t>Loyce</t>
  </si>
  <si>
    <t>Moody</t>
  </si>
  <si>
    <t>Mila</t>
  </si>
  <si>
    <t>Alvarado</t>
  </si>
  <si>
    <t>Sandee</t>
  </si>
  <si>
    <t>Murphy</t>
  </si>
  <si>
    <t>Willetta</t>
  </si>
  <si>
    <t>Hart</t>
  </si>
  <si>
    <t>Shayla</t>
  </si>
  <si>
    <t>Perry</t>
  </si>
  <si>
    <t>Angelika</t>
  </si>
  <si>
    <t>Hood</t>
  </si>
  <si>
    <t>Nevada</t>
  </si>
  <si>
    <t>Herring</t>
  </si>
  <si>
    <t>Dewayne</t>
  </si>
  <si>
    <t>Bailey</t>
  </si>
  <si>
    <t>Delma</t>
  </si>
  <si>
    <t>Eliseo</t>
  </si>
  <si>
    <t>Fields</t>
  </si>
  <si>
    <t>Genny</t>
  </si>
  <si>
    <t>Deleon</t>
  </si>
  <si>
    <t>Vivian</t>
  </si>
  <si>
    <t>Lambert</t>
  </si>
  <si>
    <t>Trista</t>
  </si>
  <si>
    <t>Chase</t>
  </si>
  <si>
    <t>Sheryl</t>
  </si>
  <si>
    <t>Lloyd</t>
  </si>
  <si>
    <t>Genoveva</t>
  </si>
  <si>
    <t>Chan</t>
  </si>
  <si>
    <t>Ulrike</t>
  </si>
  <si>
    <t>Harris</t>
  </si>
  <si>
    <t>Nanette</t>
  </si>
  <si>
    <t>Stout</t>
  </si>
  <si>
    <t>Phylicia</t>
  </si>
  <si>
    <t>Wilkins</t>
  </si>
  <si>
    <t>Cesar</t>
  </si>
  <si>
    <t>Hughes</t>
  </si>
  <si>
    <t>Kenton</t>
  </si>
  <si>
    <t>Sweeney</t>
  </si>
  <si>
    <t>Elmo</t>
  </si>
  <si>
    <t>Mcgowan</t>
  </si>
  <si>
    <t>Desire</t>
  </si>
  <si>
    <t>Douglas</t>
  </si>
  <si>
    <t>Wynona</t>
  </si>
  <si>
    <t>Brooks</t>
  </si>
  <si>
    <t>Mercedez</t>
  </si>
  <si>
    <t>Lynch</t>
  </si>
  <si>
    <t>Eliz</t>
  </si>
  <si>
    <t>Thornton</t>
  </si>
  <si>
    <t>Dorine</t>
  </si>
  <si>
    <t>Rosario</t>
  </si>
  <si>
    <t>Enoch</t>
  </si>
  <si>
    <t>Johana</t>
  </si>
  <si>
    <t>Reynolds</t>
  </si>
  <si>
    <t>Kimberley</t>
  </si>
  <si>
    <t>Salinas</t>
  </si>
  <si>
    <t>Carlena</t>
  </si>
  <si>
    <t>Dillard</t>
  </si>
  <si>
    <t>Juliane</t>
  </si>
  <si>
    <t>Robbins</t>
  </si>
  <si>
    <t>Lanora</t>
  </si>
  <si>
    <t>Williams</t>
  </si>
  <si>
    <t>Renna</t>
  </si>
  <si>
    <t>Pandora</t>
  </si>
  <si>
    <t>Rojas</t>
  </si>
  <si>
    <t>Rona</t>
  </si>
  <si>
    <t>Schneider</t>
  </si>
  <si>
    <t>Starr</t>
  </si>
  <si>
    <t>Fulton</t>
  </si>
  <si>
    <t>Veronique</t>
  </si>
  <si>
    <t>Manning</t>
  </si>
  <si>
    <t>Lucile</t>
  </si>
  <si>
    <t>Rogers</t>
  </si>
  <si>
    <t>Trena</t>
  </si>
  <si>
    <t>Espinoza</t>
  </si>
  <si>
    <t>Shenna</t>
  </si>
  <si>
    <t>Maynard</t>
  </si>
  <si>
    <t>Grisel</t>
  </si>
  <si>
    <t>Haynes</t>
  </si>
  <si>
    <t>Nestor</t>
  </si>
  <si>
    <t>Gross</t>
  </si>
  <si>
    <t>Christiana</t>
  </si>
  <si>
    <t>Goodman</t>
  </si>
  <si>
    <t>Destiny</t>
  </si>
  <si>
    <t>Travis</t>
  </si>
  <si>
    <t>Latashia</t>
  </si>
  <si>
    <t>Donaldson</t>
  </si>
  <si>
    <t>Octavia</t>
  </si>
  <si>
    <t>Glover</t>
  </si>
  <si>
    <t>Karren</t>
  </si>
  <si>
    <t>Jennings</t>
  </si>
  <si>
    <t>Inger</t>
  </si>
  <si>
    <t>Gilliam</t>
  </si>
  <si>
    <t>Thad</t>
  </si>
  <si>
    <t>Zamora</t>
  </si>
  <si>
    <t>Alexandria</t>
  </si>
  <si>
    <t>Daniels</t>
  </si>
  <si>
    <t>Agatha</t>
  </si>
  <si>
    <t>Dorothea</t>
  </si>
  <si>
    <t>Hardy</t>
  </si>
  <si>
    <t>Carman</t>
  </si>
  <si>
    <t>Rush</t>
  </si>
  <si>
    <t>Annett</t>
  </si>
  <si>
    <t>Rios</t>
  </si>
  <si>
    <t>Kami</t>
  </si>
  <si>
    <t>Guerrero</t>
  </si>
  <si>
    <t>Yvone</t>
  </si>
  <si>
    <t>Barber</t>
  </si>
  <si>
    <t>Kate</t>
  </si>
  <si>
    <t>Webster</t>
  </si>
  <si>
    <t>Sanora</t>
  </si>
  <si>
    <t>Arie</t>
  </si>
  <si>
    <t>Tucker</t>
  </si>
  <si>
    <t>Eloisa</t>
  </si>
  <si>
    <t>Rodriquez</t>
  </si>
  <si>
    <t>Jama</t>
  </si>
  <si>
    <t>Pope</t>
  </si>
  <si>
    <t>Lekisha</t>
  </si>
  <si>
    <t>Reyes</t>
  </si>
  <si>
    <t>Rozanne</t>
  </si>
  <si>
    <t>Velasquez</t>
  </si>
  <si>
    <t>Tona</t>
  </si>
  <si>
    <t>King</t>
  </si>
  <si>
    <t>Neida</t>
  </si>
  <si>
    <t>Snider</t>
  </si>
  <si>
    <t>Inez</t>
  </si>
  <si>
    <t>Summers</t>
  </si>
  <si>
    <t>Bernetta</t>
  </si>
  <si>
    <t>Melton</t>
  </si>
  <si>
    <t>Joe</t>
  </si>
  <si>
    <t>Corina</t>
  </si>
  <si>
    <t>Ashleigh</t>
  </si>
  <si>
    <t>Huff</t>
  </si>
  <si>
    <t>Omega</t>
  </si>
  <si>
    <t>Ross</t>
  </si>
  <si>
    <t>Novella</t>
  </si>
  <si>
    <t>Reeves</t>
  </si>
  <si>
    <t>Divina</t>
  </si>
  <si>
    <t>Brewer</t>
  </si>
  <si>
    <t>Sharyn</t>
  </si>
  <si>
    <t>Franklin</t>
  </si>
  <si>
    <t>Cindie</t>
  </si>
  <si>
    <t>Romero</t>
  </si>
  <si>
    <t>Consuela</t>
  </si>
  <si>
    <t>Tarra</t>
  </si>
  <si>
    <t>Sherman</t>
  </si>
  <si>
    <t>Magdalena</t>
  </si>
  <si>
    <t>Ellis</t>
  </si>
  <si>
    <t>Arla</t>
  </si>
  <si>
    <t>Ebony</t>
  </si>
  <si>
    <t>Forbes</t>
  </si>
  <si>
    <t>Ai</t>
  </si>
  <si>
    <t>Gregory</t>
  </si>
  <si>
    <t>Shantel</t>
  </si>
  <si>
    <t>Obdulia</t>
  </si>
  <si>
    <t>Santiago</t>
  </si>
  <si>
    <t>Claris</t>
  </si>
  <si>
    <t>Petty</t>
  </si>
  <si>
    <t>Tisha</t>
  </si>
  <si>
    <t>Wells</t>
  </si>
  <si>
    <t>Glady</t>
  </si>
  <si>
    <t>Mueller</t>
  </si>
  <si>
    <t>Conrad</t>
  </si>
  <si>
    <t>Johnston</t>
  </si>
  <si>
    <t>Garrison</t>
  </si>
  <si>
    <t>Joeann</t>
  </si>
  <si>
    <t>Grimes</t>
  </si>
  <si>
    <t>Dante</t>
  </si>
  <si>
    <t>Bird</t>
  </si>
  <si>
    <t>Tereasa</t>
  </si>
  <si>
    <t>Cannon</t>
  </si>
  <si>
    <t>Whitley</t>
  </si>
  <si>
    <t>Mckee</t>
  </si>
  <si>
    <t>Emanuel</t>
  </si>
  <si>
    <t>Kimberli</t>
  </si>
  <si>
    <t>Howell</t>
  </si>
  <si>
    <t>Shea</t>
  </si>
  <si>
    <t>Rocha</t>
  </si>
  <si>
    <t>Cinda</t>
  </si>
  <si>
    <t>Swanson</t>
  </si>
  <si>
    <t>America</t>
  </si>
  <si>
    <t>Carson</t>
  </si>
  <si>
    <t>Dalia</t>
  </si>
  <si>
    <t>Berg</t>
  </si>
  <si>
    <t>Tama</t>
  </si>
  <si>
    <t>Atkins</t>
  </si>
  <si>
    <t>Renay</t>
  </si>
  <si>
    <t>Gilbert</t>
  </si>
  <si>
    <t>Verda</t>
  </si>
  <si>
    <t>Curtis</t>
  </si>
  <si>
    <t>Raven</t>
  </si>
  <si>
    <t>Donovan</t>
  </si>
  <si>
    <t>Clorinda</t>
  </si>
  <si>
    <t>Edwards</t>
  </si>
  <si>
    <t>Shauna</t>
  </si>
  <si>
    <t>Riddle</t>
  </si>
  <si>
    <t>Trudy</t>
  </si>
  <si>
    <t>West</t>
  </si>
  <si>
    <t>Vanessa</t>
  </si>
  <si>
    <t>Beasley</t>
  </si>
  <si>
    <t>Alline</t>
  </si>
  <si>
    <t>Davenport</t>
  </si>
  <si>
    <t>Edith</t>
  </si>
  <si>
    <t>Kinney</t>
  </si>
  <si>
    <t>Sally</t>
  </si>
  <si>
    <t>Oliver</t>
  </si>
  <si>
    <t>Lakenya</t>
  </si>
  <si>
    <t>Bates</t>
  </si>
  <si>
    <t>Shiloh</t>
  </si>
  <si>
    <t>Compton</t>
  </si>
  <si>
    <t>Minnie</t>
  </si>
  <si>
    <t>Anderson</t>
  </si>
  <si>
    <t>Shanelle</t>
  </si>
  <si>
    <t>Conley</t>
  </si>
  <si>
    <t>Allie</t>
  </si>
  <si>
    <t>Pittman</t>
  </si>
  <si>
    <t>Victor</t>
  </si>
  <si>
    <t>Pratt</t>
  </si>
  <si>
    <t>Dione</t>
  </si>
  <si>
    <t>Garth</t>
  </si>
  <si>
    <t>Spears</t>
  </si>
  <si>
    <t>Shanice</t>
  </si>
  <si>
    <t>Barry</t>
  </si>
  <si>
    <t>Mica</t>
  </si>
  <si>
    <t>Mack</t>
  </si>
  <si>
    <t>Alexis</t>
  </si>
  <si>
    <t>Dawson</t>
  </si>
  <si>
    <t>Marlen</t>
  </si>
  <si>
    <t>Colon</t>
  </si>
  <si>
    <t>Jackeline</t>
  </si>
  <si>
    <t>Saunders</t>
  </si>
  <si>
    <t>Stan</t>
  </si>
  <si>
    <t>Graham</t>
  </si>
  <si>
    <t>Loan</t>
  </si>
  <si>
    <t>Irwin</t>
  </si>
  <si>
    <t>Piedad</t>
  </si>
  <si>
    <t>Mcmillan</t>
  </si>
  <si>
    <t>Shona</t>
  </si>
  <si>
    <t>Bonner</t>
  </si>
  <si>
    <t>Lenita</t>
  </si>
  <si>
    <t>Moses</t>
  </si>
  <si>
    <t>Odette</t>
  </si>
  <si>
    <t>Hale</t>
  </si>
  <si>
    <t>Cheree</t>
  </si>
  <si>
    <t>Vasquez</t>
  </si>
  <si>
    <t>Houston</t>
  </si>
  <si>
    <t>Roy</t>
  </si>
  <si>
    <t>Webb</t>
  </si>
  <si>
    <t>Ciera</t>
  </si>
  <si>
    <t>Gamble</t>
  </si>
  <si>
    <t>Gustavo</t>
  </si>
  <si>
    <t>Chambers</t>
  </si>
  <si>
    <t>Sung</t>
  </si>
  <si>
    <t>Gordon</t>
  </si>
  <si>
    <t>Earline</t>
  </si>
  <si>
    <t>Gay</t>
  </si>
  <si>
    <t>Myrl</t>
  </si>
  <si>
    <t>Marshall</t>
  </si>
  <si>
    <t>Bonita</t>
  </si>
  <si>
    <t>Velazquez</t>
  </si>
  <si>
    <t>Devin</t>
  </si>
  <si>
    <t>Chandler</t>
  </si>
  <si>
    <t>Rufina</t>
  </si>
  <si>
    <t>Hays</t>
  </si>
  <si>
    <t>Brianne</t>
  </si>
  <si>
    <t>Hancock</t>
  </si>
  <si>
    <t>Adelaida</t>
  </si>
  <si>
    <t>Wolf</t>
  </si>
  <si>
    <t>Phuong</t>
  </si>
  <si>
    <t>Nieves</t>
  </si>
  <si>
    <t>Kimbery</t>
  </si>
  <si>
    <t>Waters</t>
  </si>
  <si>
    <t>Todd</t>
  </si>
  <si>
    <t>Meyer</t>
  </si>
  <si>
    <t>Rosamaria</t>
  </si>
  <si>
    <t>Nubia</t>
  </si>
  <si>
    <t>Stone</t>
  </si>
  <si>
    <t>Ben</t>
  </si>
  <si>
    <t>Reid</t>
  </si>
  <si>
    <t>Dung</t>
  </si>
  <si>
    <t>Susannah</t>
  </si>
  <si>
    <t>Adriene</t>
  </si>
  <si>
    <t>Roman</t>
  </si>
  <si>
    <t>Daugherty</t>
  </si>
  <si>
    <t>Neoma</t>
  </si>
  <si>
    <t>Dickerson</t>
  </si>
  <si>
    <t>Barbra</t>
  </si>
  <si>
    <t>Bethany</t>
  </si>
  <si>
    <t>Cherry</t>
  </si>
  <si>
    <t>Tammie</t>
  </si>
  <si>
    <t>Rasmussen</t>
  </si>
  <si>
    <t>Dale</t>
  </si>
  <si>
    <t>Warren</t>
  </si>
  <si>
    <t>Gabriela</t>
  </si>
  <si>
    <t>Hardin</t>
  </si>
  <si>
    <t>Trang</t>
  </si>
  <si>
    <t>Reed</t>
  </si>
  <si>
    <t>Heide</t>
  </si>
  <si>
    <t>Chauncey</t>
  </si>
  <si>
    <t>Davidson</t>
  </si>
  <si>
    <t>Nathaniel</t>
  </si>
  <si>
    <t>Perez</t>
  </si>
  <si>
    <t>Bella</t>
  </si>
  <si>
    <t>Tara</t>
  </si>
  <si>
    <t>Quinn</t>
  </si>
  <si>
    <t>Edgar</t>
  </si>
  <si>
    <t>Kramer</t>
  </si>
  <si>
    <t>Luke</t>
  </si>
  <si>
    <t>Velez</t>
  </si>
  <si>
    <t>Rudolph</t>
  </si>
  <si>
    <t>Gonzales</t>
  </si>
  <si>
    <t>Georgina</t>
  </si>
  <si>
    <t>Joshua</t>
  </si>
  <si>
    <t>Hebert</t>
  </si>
  <si>
    <t>Lise</t>
  </si>
  <si>
    <t>Guthrie</t>
  </si>
  <si>
    <t>Jong</t>
  </si>
  <si>
    <t>Vega</t>
  </si>
  <si>
    <t>Selene</t>
  </si>
  <si>
    <t>Burch</t>
  </si>
  <si>
    <t>Jesus</t>
  </si>
  <si>
    <t>Carina</t>
  </si>
  <si>
    <t>Clemons</t>
  </si>
  <si>
    <t>Zulema</t>
  </si>
  <si>
    <t>Dixon</t>
  </si>
  <si>
    <t>Magali</t>
  </si>
  <si>
    <t>Jackson</t>
  </si>
  <si>
    <t>Qiana</t>
  </si>
  <si>
    <t>Griffin</t>
  </si>
  <si>
    <t>Mellisa</t>
  </si>
  <si>
    <t>Copeland</t>
  </si>
  <si>
    <t>Abram</t>
  </si>
  <si>
    <t>Vargas</t>
  </si>
  <si>
    <t>Bronwyn</t>
  </si>
  <si>
    <t>O'donnell</t>
  </si>
  <si>
    <t>Geraldine</t>
  </si>
  <si>
    <t>Underwood</t>
  </si>
  <si>
    <t>Joy</t>
  </si>
  <si>
    <t>Cross</t>
  </si>
  <si>
    <t>Carissa</t>
  </si>
  <si>
    <t>Atkinson</t>
  </si>
  <si>
    <t>Alden</t>
  </si>
  <si>
    <t>Cantrell</t>
  </si>
  <si>
    <t>Terrell</t>
  </si>
  <si>
    <t>Carlie</t>
  </si>
  <si>
    <t>Gates</t>
  </si>
  <si>
    <t>Elvina</t>
  </si>
  <si>
    <t>Stephens</t>
  </si>
  <si>
    <t>Karl</t>
  </si>
  <si>
    <t>Sharp</t>
  </si>
  <si>
    <t>Brigid</t>
  </si>
  <si>
    <t>Giles</t>
  </si>
  <si>
    <t>Yang</t>
  </si>
  <si>
    <t>Cummings</t>
  </si>
  <si>
    <t>Jaqueline</t>
  </si>
  <si>
    <t>Whitaker</t>
  </si>
  <si>
    <t>Brenton</t>
  </si>
  <si>
    <t>Frank</t>
  </si>
  <si>
    <t>Shawnna</t>
  </si>
  <si>
    <t>Cox</t>
  </si>
  <si>
    <t>Deandrea</t>
  </si>
  <si>
    <t>Barr</t>
  </si>
  <si>
    <t>Leila</t>
  </si>
  <si>
    <t>Crosby</t>
  </si>
  <si>
    <t>Jenell</t>
  </si>
  <si>
    <t>Brown</t>
  </si>
  <si>
    <t>Mercy</t>
  </si>
  <si>
    <t>Huber</t>
  </si>
  <si>
    <t>Emmaline</t>
  </si>
  <si>
    <t>Higgins</t>
  </si>
  <si>
    <t>Leslie</t>
  </si>
  <si>
    <t>Georgeann</t>
  </si>
  <si>
    <t>Emerson</t>
  </si>
  <si>
    <t>Carmina</t>
  </si>
  <si>
    <t>Guy</t>
  </si>
  <si>
    <t>Nita</t>
  </si>
  <si>
    <t>Durham</t>
  </si>
  <si>
    <t>Aubrey</t>
  </si>
  <si>
    <t>Collier</t>
  </si>
  <si>
    <t>Snyder</t>
  </si>
  <si>
    <t>Cheryll</t>
  </si>
  <si>
    <t>Clay</t>
  </si>
  <si>
    <t>Nakisha</t>
  </si>
  <si>
    <t>Holt</t>
  </si>
  <si>
    <t>Ileana</t>
  </si>
  <si>
    <t>Bridges</t>
  </si>
  <si>
    <t>Chantell</t>
  </si>
  <si>
    <t>Leticia</t>
  </si>
  <si>
    <t>Soto</t>
  </si>
  <si>
    <t>Phebe</t>
  </si>
  <si>
    <t>Owens</t>
  </si>
  <si>
    <t>Gena</t>
  </si>
  <si>
    <t>Fisher</t>
  </si>
  <si>
    <t>Tam</t>
  </si>
  <si>
    <t>Steele</t>
  </si>
  <si>
    <t>Romeo</t>
  </si>
  <si>
    <t>Sheila</t>
  </si>
  <si>
    <t>Marcene</t>
  </si>
  <si>
    <t>Mason</t>
  </si>
  <si>
    <t>Kenyetta</t>
  </si>
  <si>
    <t>Bond</t>
  </si>
  <si>
    <t>Kiesha</t>
  </si>
  <si>
    <t>Stuart</t>
  </si>
  <si>
    <t>Corine</t>
  </si>
  <si>
    <t>Annabelle</t>
  </si>
  <si>
    <t>Clark</t>
  </si>
  <si>
    <t>Kim</t>
  </si>
  <si>
    <t>Chapman</t>
  </si>
  <si>
    <t>Trinidad</t>
  </si>
  <si>
    <t>Lawrence</t>
  </si>
  <si>
    <t>Agustina</t>
  </si>
  <si>
    <t>Gardner</t>
  </si>
  <si>
    <t>Myrtle</t>
  </si>
  <si>
    <t>Banks</t>
  </si>
  <si>
    <t>Vernetta</t>
  </si>
  <si>
    <t>Nash</t>
  </si>
  <si>
    <t>Wendie</t>
  </si>
  <si>
    <t>Charlesetta</t>
  </si>
  <si>
    <t>Blanchard</t>
  </si>
  <si>
    <t>Sheree</t>
  </si>
  <si>
    <t>Sindy</t>
  </si>
  <si>
    <t>Knapp</t>
  </si>
  <si>
    <t>Aaron</t>
  </si>
  <si>
    <t>May</t>
  </si>
  <si>
    <t>Chanel</t>
  </si>
  <si>
    <t>Katherin</t>
  </si>
  <si>
    <t>Pena</t>
  </si>
  <si>
    <t>Earlean</t>
  </si>
  <si>
    <t>Mechelle</t>
  </si>
  <si>
    <t>Joyner</t>
  </si>
  <si>
    <t>Beatris</t>
  </si>
  <si>
    <t>Benjamin</t>
  </si>
  <si>
    <t>Almeta</t>
  </si>
  <si>
    <t>Carter</t>
  </si>
  <si>
    <t>Ryan</t>
  </si>
  <si>
    <t>Reese</t>
  </si>
  <si>
    <t>Junita</t>
  </si>
  <si>
    <t>Morrow</t>
  </si>
  <si>
    <t>Rikki</t>
  </si>
  <si>
    <t>Tanner</t>
  </si>
  <si>
    <t>Patrina</t>
  </si>
  <si>
    <t>Carmela</t>
  </si>
  <si>
    <t>Sellers</t>
  </si>
  <si>
    <t>Carmelina</t>
  </si>
  <si>
    <t>Larson</t>
  </si>
  <si>
    <t>Santa</t>
  </si>
  <si>
    <t>Whitfield</t>
  </si>
  <si>
    <t>Efren</t>
  </si>
  <si>
    <t>Norris</t>
  </si>
  <si>
    <t>Charlene</t>
  </si>
  <si>
    <t>Pickett</t>
  </si>
  <si>
    <t>Vito</t>
  </si>
  <si>
    <t>Barton</t>
  </si>
  <si>
    <t>Anton</t>
  </si>
  <si>
    <t>Han</t>
  </si>
  <si>
    <t>Verdell</t>
  </si>
  <si>
    <t>Albert</t>
  </si>
  <si>
    <t>Vazquez</t>
  </si>
  <si>
    <t>Ara</t>
  </si>
  <si>
    <t>Rosa</t>
  </si>
  <si>
    <t>Tuyet</t>
  </si>
  <si>
    <t>Herminia</t>
  </si>
  <si>
    <t>Keturah</t>
  </si>
  <si>
    <t>Drucilla</t>
  </si>
  <si>
    <t>Valdez</t>
  </si>
  <si>
    <t>Lenore</t>
  </si>
  <si>
    <t>Kandace</t>
  </si>
  <si>
    <t>Charlsie</t>
  </si>
  <si>
    <t>Sparks</t>
  </si>
  <si>
    <t>Jewel</t>
  </si>
  <si>
    <t>Hopkins</t>
  </si>
  <si>
    <t>Sommer</t>
  </si>
  <si>
    <t>Schroeder</t>
  </si>
  <si>
    <t>Britteny</t>
  </si>
  <si>
    <t>Osborn</t>
  </si>
  <si>
    <t>Mallie</t>
  </si>
  <si>
    <t>Hall</t>
  </si>
  <si>
    <t>Penney</t>
  </si>
  <si>
    <t>Jones</t>
  </si>
  <si>
    <t>Gabriella</t>
  </si>
  <si>
    <t>Hubert</t>
  </si>
  <si>
    <t>Roberts</t>
  </si>
  <si>
    <t>Dottie</t>
  </si>
  <si>
    <t>Kallie</t>
  </si>
  <si>
    <t>Alisia</t>
  </si>
  <si>
    <t>Sherril</t>
  </si>
  <si>
    <t>Holman</t>
  </si>
  <si>
    <t>Parthenia</t>
  </si>
  <si>
    <t>Rose</t>
  </si>
  <si>
    <t>Desmond</t>
  </si>
  <si>
    <t>Bender</t>
  </si>
  <si>
    <t>Benny</t>
  </si>
  <si>
    <t>Sanders</t>
  </si>
  <si>
    <t>Gilberto</t>
  </si>
  <si>
    <t>Kane</t>
  </si>
  <si>
    <t>Bea</t>
  </si>
  <si>
    <t>Waldo</t>
  </si>
  <si>
    <t>Levy</t>
  </si>
  <si>
    <t>Elmira</t>
  </si>
  <si>
    <t>England</t>
  </si>
  <si>
    <t>Caleb</t>
  </si>
  <si>
    <t>Reilly</t>
  </si>
  <si>
    <t>O'neil</t>
  </si>
  <si>
    <t>Raphael</t>
  </si>
  <si>
    <t>Cicely</t>
  </si>
  <si>
    <t>Combs</t>
  </si>
  <si>
    <t>Shasta</t>
  </si>
  <si>
    <t>Alvarez</t>
  </si>
  <si>
    <t>Karole</t>
  </si>
  <si>
    <t>Dunlap</t>
  </si>
  <si>
    <t>Tora</t>
  </si>
  <si>
    <t>Ja</t>
  </si>
  <si>
    <t>Hill</t>
  </si>
  <si>
    <t>Jeffrey</t>
  </si>
  <si>
    <t>Harper</t>
  </si>
  <si>
    <t>Patria</t>
  </si>
  <si>
    <t>Meadows</t>
  </si>
  <si>
    <t>Lina</t>
  </si>
  <si>
    <t>Blankenship</t>
  </si>
  <si>
    <t>Douglass</t>
  </si>
  <si>
    <t>Harrington</t>
  </si>
  <si>
    <t>Kendra</t>
  </si>
  <si>
    <t>Hollis</t>
  </si>
  <si>
    <t>Caroline</t>
  </si>
  <si>
    <t>Shirely</t>
  </si>
  <si>
    <t>Harding</t>
  </si>
  <si>
    <t>Gussie</t>
  </si>
  <si>
    <t>Bao</t>
  </si>
  <si>
    <t>Newman</t>
  </si>
  <si>
    <t>Lynda</t>
  </si>
  <si>
    <t>Henry</t>
  </si>
  <si>
    <t>Jerri</t>
  </si>
  <si>
    <t>Black</t>
  </si>
  <si>
    <t>Armando</t>
  </si>
  <si>
    <t>Robertson</t>
  </si>
  <si>
    <t>Khalilah</t>
  </si>
  <si>
    <t>Cooley</t>
  </si>
  <si>
    <t>Ardelia</t>
  </si>
  <si>
    <t>Wagner</t>
  </si>
  <si>
    <t>Henrietta</t>
  </si>
  <si>
    <t>Flowers</t>
  </si>
  <si>
    <t>Louise</t>
  </si>
  <si>
    <t>Penny</t>
  </si>
  <si>
    <t>Jewell</t>
  </si>
  <si>
    <t>Treasa</t>
  </si>
  <si>
    <t>Dennis</t>
  </si>
  <si>
    <t>Collen</t>
  </si>
  <si>
    <t>Tonda</t>
  </si>
  <si>
    <t>Corene</t>
  </si>
  <si>
    <t>Keitha</t>
  </si>
  <si>
    <t>Hodges</t>
  </si>
  <si>
    <t>Alejandrina</t>
  </si>
  <si>
    <t>Lavinia</t>
  </si>
  <si>
    <t>Gallagher</t>
  </si>
  <si>
    <t>Risa</t>
  </si>
  <si>
    <t>Erickson</t>
  </si>
  <si>
    <t>Ira</t>
  </si>
  <si>
    <t>Mcfadden</t>
  </si>
  <si>
    <t>Chere</t>
  </si>
  <si>
    <t>Henderson</t>
  </si>
  <si>
    <t>Jane</t>
  </si>
  <si>
    <t>Willow</t>
  </si>
  <si>
    <t>Schwartz</t>
  </si>
  <si>
    <t>Cori</t>
  </si>
  <si>
    <t>Adam</t>
  </si>
  <si>
    <t>Odom</t>
  </si>
  <si>
    <t>Regine</t>
  </si>
  <si>
    <t>Alston</t>
  </si>
  <si>
    <t>Cher</t>
  </si>
  <si>
    <t>Madden</t>
  </si>
  <si>
    <t>Macias</t>
  </si>
  <si>
    <t>Duffy</t>
  </si>
  <si>
    <t>Mirella</t>
  </si>
  <si>
    <t>Cindi</t>
  </si>
  <si>
    <t>Barron</t>
  </si>
  <si>
    <t>Theresia</t>
  </si>
  <si>
    <t>Heather</t>
  </si>
  <si>
    <t>Mercer</t>
  </si>
  <si>
    <t>Sherise</t>
  </si>
  <si>
    <t>Dann</t>
  </si>
  <si>
    <t>Guerra</t>
  </si>
  <si>
    <t>Lanelle</t>
  </si>
  <si>
    <t>Leeanne</t>
  </si>
  <si>
    <t>Maryalice</t>
  </si>
  <si>
    <t>Lyons</t>
  </si>
  <si>
    <t>Shemeka</t>
  </si>
  <si>
    <t>Mays</t>
  </si>
  <si>
    <t>Olimpia</t>
  </si>
  <si>
    <t>Buck</t>
  </si>
  <si>
    <t>Rodolfo</t>
  </si>
  <si>
    <t>Kaufman</t>
  </si>
  <si>
    <t>Doris</t>
  </si>
  <si>
    <t>Gillespie</t>
  </si>
  <si>
    <t>Lillia</t>
  </si>
  <si>
    <t>Duncan</t>
  </si>
  <si>
    <t>Raeann</t>
  </si>
  <si>
    <t>Branch</t>
  </si>
  <si>
    <t>Desiree</t>
  </si>
  <si>
    <t>Russo</t>
  </si>
  <si>
    <t>Patsy</t>
  </si>
  <si>
    <t>Austin</t>
  </si>
  <si>
    <t>Tammy</t>
  </si>
  <si>
    <t>Alanna</t>
  </si>
  <si>
    <t>Tommie</t>
  </si>
  <si>
    <t>Harvey</t>
  </si>
  <si>
    <t>Season</t>
  </si>
  <si>
    <t>Woods</t>
  </si>
  <si>
    <t>Aisha</t>
  </si>
  <si>
    <t>Boone</t>
  </si>
  <si>
    <t>Conchita</t>
  </si>
  <si>
    <t>Rebbecca</t>
  </si>
  <si>
    <t>Christensen</t>
  </si>
  <si>
    <t>Hildegarde</t>
  </si>
  <si>
    <t>Levine</t>
  </si>
  <si>
    <t>Arielle</t>
  </si>
  <si>
    <t>Ford</t>
  </si>
  <si>
    <t>Zora</t>
  </si>
  <si>
    <t>Tonisha</t>
  </si>
  <si>
    <t>Fitzgerald</t>
  </si>
  <si>
    <t>Rozella</t>
  </si>
  <si>
    <t>Mcbride</t>
  </si>
  <si>
    <t>Marcelino</t>
  </si>
  <si>
    <t>Burt</t>
  </si>
  <si>
    <t>Ji</t>
  </si>
  <si>
    <t>Baker</t>
  </si>
  <si>
    <t>Mcdaniel</t>
  </si>
  <si>
    <t>Dane</t>
  </si>
  <si>
    <t>Hogan</t>
  </si>
  <si>
    <t>Pasquale</t>
  </si>
  <si>
    <t>Bruce</t>
  </si>
  <si>
    <t>Zenia</t>
  </si>
  <si>
    <t>Diane</t>
  </si>
  <si>
    <t>Larissa</t>
  </si>
  <si>
    <t>Bettye</t>
  </si>
  <si>
    <t>Hammond</t>
  </si>
  <si>
    <t>Shantae</t>
  </si>
  <si>
    <t>Bee</t>
  </si>
  <si>
    <t>Juarez</t>
  </si>
  <si>
    <t>Garry</t>
  </si>
  <si>
    <t>Ashanti</t>
  </si>
  <si>
    <t>Lester</t>
  </si>
  <si>
    <t>Randee</t>
  </si>
  <si>
    <t>Hurley</t>
  </si>
  <si>
    <t>Tangela</t>
  </si>
  <si>
    <t>Salas</t>
  </si>
  <si>
    <t>Rico</t>
  </si>
  <si>
    <t>Skinner</t>
  </si>
  <si>
    <t>Jeannette</t>
  </si>
  <si>
    <t>Knowles</t>
  </si>
  <si>
    <t>Vernon</t>
  </si>
  <si>
    <t>Bean</t>
  </si>
  <si>
    <t>Tonja</t>
  </si>
  <si>
    <t>Saran</t>
  </si>
  <si>
    <t>Ping</t>
  </si>
  <si>
    <t>Shanna</t>
  </si>
  <si>
    <t>Wiley</t>
  </si>
  <si>
    <t>Shanita</t>
  </si>
  <si>
    <t>Jenine</t>
  </si>
  <si>
    <t>Willis</t>
  </si>
  <si>
    <t>Daphine</t>
  </si>
  <si>
    <t>Boyd</t>
  </si>
  <si>
    <t>Coleman</t>
  </si>
  <si>
    <t>Blake</t>
  </si>
  <si>
    <t>Adena</t>
  </si>
  <si>
    <t>Hye</t>
  </si>
  <si>
    <t>Carlson</t>
  </si>
  <si>
    <t>Nicolas</t>
  </si>
  <si>
    <t>Marks</t>
  </si>
  <si>
    <t>Lorraine</t>
  </si>
  <si>
    <t>Herrera</t>
  </si>
  <si>
    <t>Janie</t>
  </si>
  <si>
    <t>Carita</t>
  </si>
  <si>
    <t>Bryan</t>
  </si>
  <si>
    <t>Philip</t>
  </si>
  <si>
    <t>Nichelle</t>
  </si>
  <si>
    <t>Ling</t>
  </si>
  <si>
    <t>Peck</t>
  </si>
  <si>
    <t>Alma</t>
  </si>
  <si>
    <t>Josephine</t>
  </si>
  <si>
    <t>Sebrina</t>
  </si>
  <si>
    <t>Katia</t>
  </si>
  <si>
    <t>Deangelo</t>
  </si>
  <si>
    <t>Pollard</t>
  </si>
  <si>
    <t>Berneice</t>
  </si>
  <si>
    <t>Russell</t>
  </si>
  <si>
    <t>Jimmy</t>
  </si>
  <si>
    <t>Leonard</t>
  </si>
  <si>
    <t>Marjory</t>
  </si>
  <si>
    <t>Franco</t>
  </si>
  <si>
    <t>Ruthanne</t>
  </si>
  <si>
    <t>Blackwell</t>
  </si>
  <si>
    <t>Jerald</t>
  </si>
  <si>
    <t>Sharell</t>
  </si>
  <si>
    <t>Williamson</t>
  </si>
  <si>
    <t>Cami</t>
  </si>
  <si>
    <t>Latoya</t>
  </si>
  <si>
    <t>Chaney</t>
  </si>
  <si>
    <t>Mcclain</t>
  </si>
  <si>
    <t>Serafina</t>
  </si>
  <si>
    <t>Salazar</t>
  </si>
  <si>
    <t>Amina</t>
  </si>
  <si>
    <t>Demarcus</t>
  </si>
  <si>
    <t>Jefferson</t>
  </si>
  <si>
    <t>Giovanna</t>
  </si>
  <si>
    <t>Brigida</t>
  </si>
  <si>
    <t>Casimira</t>
  </si>
  <si>
    <t>Byers</t>
  </si>
  <si>
    <t>Loreen</t>
  </si>
  <si>
    <t>Holmes</t>
  </si>
  <si>
    <t>Vanda</t>
  </si>
  <si>
    <t>Powell</t>
  </si>
  <si>
    <t>Louis</t>
  </si>
  <si>
    <t>Lindsay</t>
  </si>
  <si>
    <t>Marcel</t>
  </si>
  <si>
    <t>Weber</t>
  </si>
  <si>
    <t>Milagros</t>
  </si>
  <si>
    <t>Berger</t>
  </si>
  <si>
    <t>Marguerite</t>
  </si>
  <si>
    <t>Orval</t>
  </si>
  <si>
    <t>Cardenas</t>
  </si>
  <si>
    <t>Christel</t>
  </si>
  <si>
    <t>Booth</t>
  </si>
  <si>
    <t>Ellison</t>
  </si>
  <si>
    <t>Ingeborg</t>
  </si>
  <si>
    <t>Diana</t>
  </si>
  <si>
    <t>Ayanna</t>
  </si>
  <si>
    <t>Sanchez</t>
  </si>
  <si>
    <t>Annis</t>
  </si>
  <si>
    <t>Marcell</t>
  </si>
  <si>
    <t>Clayton</t>
  </si>
  <si>
    <t>Margaretta</t>
  </si>
  <si>
    <t>Mills</t>
  </si>
  <si>
    <t>Damian</t>
  </si>
  <si>
    <t>Samual</t>
  </si>
  <si>
    <t>Horton</t>
  </si>
  <si>
    <t>Ruth</t>
  </si>
  <si>
    <t>Solis</t>
  </si>
  <si>
    <t>Jennell</t>
  </si>
  <si>
    <t>Jonna</t>
  </si>
  <si>
    <t>Laurette</t>
  </si>
  <si>
    <t>Patel</t>
  </si>
  <si>
    <t>Margit</t>
  </si>
  <si>
    <t>Calderon</t>
  </si>
  <si>
    <t>Brent</t>
  </si>
  <si>
    <t>Lang</t>
  </si>
  <si>
    <t>Anisha</t>
  </si>
  <si>
    <t>Maple</t>
  </si>
  <si>
    <t>Wilcox</t>
  </si>
  <si>
    <t>Iva</t>
  </si>
  <si>
    <t>Lawson</t>
  </si>
  <si>
    <t>Arline</t>
  </si>
  <si>
    <t>Koch</t>
  </si>
  <si>
    <t>Stephen</t>
  </si>
  <si>
    <t>Hewitt</t>
  </si>
  <si>
    <t>Venus</t>
  </si>
  <si>
    <t>Delfina</t>
  </si>
  <si>
    <t>Hassan</t>
  </si>
  <si>
    <t>Kattie</t>
  </si>
  <si>
    <t>Marquez</t>
  </si>
  <si>
    <t>Aileen</t>
  </si>
  <si>
    <t>Steve</t>
  </si>
  <si>
    <t>Verna</t>
  </si>
  <si>
    <t>Frost</t>
  </si>
  <si>
    <t>Venessa</t>
  </si>
  <si>
    <t>Siobhan</t>
  </si>
  <si>
    <t>Angele</t>
  </si>
  <si>
    <t>Angella</t>
  </si>
  <si>
    <t>Ochoa</t>
  </si>
  <si>
    <t>Krissy</t>
  </si>
  <si>
    <t>Mcmahon</t>
  </si>
  <si>
    <t>Lynn</t>
  </si>
  <si>
    <t>Long</t>
  </si>
  <si>
    <t>Davis</t>
  </si>
  <si>
    <t>Danyell</t>
  </si>
  <si>
    <t>Hinton</t>
  </si>
  <si>
    <t>Marina</t>
  </si>
  <si>
    <t>Hutchinson</t>
  </si>
  <si>
    <t>Maximina</t>
  </si>
  <si>
    <t>Emory</t>
  </si>
  <si>
    <t>Aida</t>
  </si>
  <si>
    <t>Sherilyn</t>
  </si>
  <si>
    <t>Genevie</t>
  </si>
  <si>
    <t>Slater</t>
  </si>
  <si>
    <t>Ocie</t>
  </si>
  <si>
    <t>Rivers</t>
  </si>
  <si>
    <t>Lurline</t>
  </si>
  <si>
    <t>Yvonne</t>
  </si>
  <si>
    <t>Bass</t>
  </si>
  <si>
    <t>Porter</t>
  </si>
  <si>
    <t>Delana</t>
  </si>
  <si>
    <t>Thurman</t>
  </si>
  <si>
    <t>Joann</t>
  </si>
  <si>
    <t>Guillermo</t>
  </si>
  <si>
    <t>Mcintosh</t>
  </si>
  <si>
    <t>Katina</t>
  </si>
  <si>
    <t>Monroe</t>
  </si>
  <si>
    <t>Bryce</t>
  </si>
  <si>
    <t>Lea</t>
  </si>
  <si>
    <t>Pitts</t>
  </si>
  <si>
    <t>Elvia</t>
  </si>
  <si>
    <t>Evelin</t>
  </si>
  <si>
    <t>Robles</t>
  </si>
  <si>
    <t>James</t>
  </si>
  <si>
    <t>Hoover</t>
  </si>
  <si>
    <t>Bullock</t>
  </si>
  <si>
    <t>Kristel</t>
  </si>
  <si>
    <t>Vernia</t>
  </si>
  <si>
    <t>Elliott</t>
  </si>
  <si>
    <t>Alishia</t>
  </si>
  <si>
    <t>Bennett</t>
  </si>
  <si>
    <t>Beryl</t>
  </si>
  <si>
    <t>Hortencia</t>
  </si>
  <si>
    <t>Kerr</t>
  </si>
  <si>
    <t>Liliana</t>
  </si>
  <si>
    <t>Key</t>
  </si>
  <si>
    <t>Inocencia</t>
  </si>
  <si>
    <t>Nikita</t>
  </si>
  <si>
    <t>William</t>
  </si>
  <si>
    <t>Elenore</t>
  </si>
  <si>
    <t>Alita</t>
  </si>
  <si>
    <t>Wise</t>
  </si>
  <si>
    <t>Delmar</t>
  </si>
  <si>
    <t>Sampson</t>
  </si>
  <si>
    <t>Daina</t>
  </si>
  <si>
    <t>Leblanc</t>
  </si>
  <si>
    <t>Erik</t>
  </si>
  <si>
    <t>Ramirez</t>
  </si>
  <si>
    <t>Hae</t>
  </si>
  <si>
    <t>Thomas</t>
  </si>
  <si>
    <t>Jana</t>
  </si>
  <si>
    <t>Maira</t>
  </si>
  <si>
    <t>Dejesus</t>
  </si>
  <si>
    <t>Elease</t>
  </si>
  <si>
    <t>Franks</t>
  </si>
  <si>
    <t>Lonna</t>
  </si>
  <si>
    <t>Jule</t>
  </si>
  <si>
    <t>Carpenter</t>
  </si>
  <si>
    <t>Carisa</t>
  </si>
  <si>
    <t>Crysta</t>
  </si>
  <si>
    <t>Acosta</t>
  </si>
  <si>
    <t>Bettyann</t>
  </si>
  <si>
    <t>Stefani</t>
  </si>
  <si>
    <t>Elaina</t>
  </si>
  <si>
    <t>Richard</t>
  </si>
  <si>
    <t>Cobb</t>
  </si>
  <si>
    <t>Letty</t>
  </si>
  <si>
    <t>Alissa</t>
  </si>
  <si>
    <t>Parrish</t>
  </si>
  <si>
    <t>Ashlie</t>
  </si>
  <si>
    <t>George</t>
  </si>
  <si>
    <t>Rosanne</t>
  </si>
  <si>
    <t>Lucilla</t>
  </si>
  <si>
    <t>Navarro</t>
  </si>
  <si>
    <t>Coleen</t>
  </si>
  <si>
    <t>Graig</t>
  </si>
  <si>
    <t>Letisha</t>
  </si>
  <si>
    <t>Hayden</t>
  </si>
  <si>
    <t>Janna</t>
  </si>
  <si>
    <t>Willian</t>
  </si>
  <si>
    <t>Duke</t>
  </si>
  <si>
    <t>Gilberte</t>
  </si>
  <si>
    <t>Hilda</t>
  </si>
  <si>
    <t>Chloe</t>
  </si>
  <si>
    <t>Turner</t>
  </si>
  <si>
    <t>Ray</t>
  </si>
  <si>
    <t>Ethelyn</t>
  </si>
  <si>
    <t>Melodie</t>
  </si>
  <si>
    <t>Janine</t>
  </si>
  <si>
    <t>Macdonald</t>
  </si>
  <si>
    <t>Onita</t>
  </si>
  <si>
    <t>Sawyer</t>
  </si>
  <si>
    <t>Tanesha</t>
  </si>
  <si>
    <t>Good</t>
  </si>
  <si>
    <t>Patience</t>
  </si>
  <si>
    <t>Tate</t>
  </si>
  <si>
    <t>Silas</t>
  </si>
  <si>
    <t>Humphrey</t>
  </si>
  <si>
    <t>Erlinda</t>
  </si>
  <si>
    <t>Dwain</t>
  </si>
  <si>
    <t>Rodrigo</t>
  </si>
  <si>
    <t>Casey</t>
  </si>
  <si>
    <t>Domingo</t>
  </si>
  <si>
    <t>Hamilton</t>
  </si>
  <si>
    <t>Rosalva</t>
  </si>
  <si>
    <t>Lynwood</t>
  </si>
  <si>
    <t>Julia</t>
  </si>
  <si>
    <t>Sykes</t>
  </si>
  <si>
    <t>Lore</t>
  </si>
  <si>
    <t>Preston</t>
  </si>
  <si>
    <t>Shonta</t>
  </si>
  <si>
    <t>Puckett</t>
  </si>
  <si>
    <t>Mellie</t>
  </si>
  <si>
    <t>Olympia</t>
  </si>
  <si>
    <t>Mullen</t>
  </si>
  <si>
    <t>Loni</t>
  </si>
  <si>
    <t>Shannon</t>
  </si>
  <si>
    <t>Julianne</t>
  </si>
  <si>
    <t>Klara</t>
  </si>
  <si>
    <t>Inga</t>
  </si>
  <si>
    <t>Lara</t>
  </si>
  <si>
    <t>Stark</t>
  </si>
  <si>
    <t>Lean</t>
  </si>
  <si>
    <t>Adkins</t>
  </si>
  <si>
    <t>Phylis</t>
  </si>
  <si>
    <t>Brittney</t>
  </si>
  <si>
    <t>Thompson</t>
  </si>
  <si>
    <t>Buckner</t>
  </si>
  <si>
    <t>Arlena</t>
  </si>
  <si>
    <t>Browning</t>
  </si>
  <si>
    <t>Stephanie</t>
  </si>
  <si>
    <t>Phyllis</t>
  </si>
  <si>
    <t>Ernestina</t>
  </si>
  <si>
    <t>Lizette</t>
  </si>
  <si>
    <t>Sylvester</t>
  </si>
  <si>
    <t>Kathyrn</t>
  </si>
  <si>
    <t>Munoz</t>
  </si>
  <si>
    <t>Felica</t>
  </si>
  <si>
    <t>Farmer</t>
  </si>
  <si>
    <t>Tessie</t>
  </si>
  <si>
    <t>Giselle</t>
  </si>
  <si>
    <t>Maxwell</t>
  </si>
  <si>
    <t>Manie</t>
  </si>
  <si>
    <t>Calhoun</t>
  </si>
  <si>
    <t>Carolann</t>
  </si>
  <si>
    <t>Sloan</t>
  </si>
  <si>
    <t>Erna</t>
  </si>
  <si>
    <t>Campbell</t>
  </si>
  <si>
    <t>Kellye</t>
  </si>
  <si>
    <t>Adams</t>
  </si>
  <si>
    <t>Corinna</t>
  </si>
  <si>
    <t>Roseanne</t>
  </si>
  <si>
    <t>Brain</t>
  </si>
  <si>
    <t>Leone</t>
  </si>
  <si>
    <t>Pamala</t>
  </si>
  <si>
    <t>Lory</t>
  </si>
  <si>
    <t>Gaines</t>
  </si>
  <si>
    <t>Edmund</t>
  </si>
  <si>
    <t>Rodriguez</t>
  </si>
  <si>
    <t>Marcy</t>
  </si>
  <si>
    <t>Morton</t>
  </si>
  <si>
    <t>Renato</t>
  </si>
  <si>
    <t>Stephenson</t>
  </si>
  <si>
    <t>Shay</t>
  </si>
  <si>
    <t>Byrd</t>
  </si>
  <si>
    <t>Veronika</t>
  </si>
  <si>
    <t>Tina</t>
  </si>
  <si>
    <t>Watkins</t>
  </si>
  <si>
    <t>Kristy</t>
  </si>
  <si>
    <t>Cassidy</t>
  </si>
  <si>
    <t>Sandy</t>
  </si>
  <si>
    <t>Yahaira</t>
  </si>
  <si>
    <t>Wynn</t>
  </si>
  <si>
    <t>Joel</t>
  </si>
  <si>
    <t>Zelda</t>
  </si>
  <si>
    <t>Johnson</t>
  </si>
  <si>
    <t>Leanna</t>
  </si>
  <si>
    <t>Ghislaine</t>
  </si>
  <si>
    <t>Neville</t>
  </si>
  <si>
    <t>Burgess</t>
  </si>
  <si>
    <t>Martha</t>
  </si>
  <si>
    <t>Shanti</t>
  </si>
  <si>
    <t>Nixon</t>
  </si>
  <si>
    <t>Ivelisse</t>
  </si>
  <si>
    <t>Simpson</t>
  </si>
  <si>
    <t>Elnora</t>
  </si>
  <si>
    <t>Vallie</t>
  </si>
  <si>
    <t>Nathalie</t>
  </si>
  <si>
    <t>Merritt</t>
  </si>
  <si>
    <t>Phillis</t>
  </si>
  <si>
    <t>Richards</t>
  </si>
  <si>
    <t>Cooper</t>
  </si>
  <si>
    <t>Bernardina</t>
  </si>
  <si>
    <t>Rodgers</t>
  </si>
  <si>
    <t>Cris</t>
  </si>
  <si>
    <t>India</t>
  </si>
  <si>
    <t>Alyse</t>
  </si>
  <si>
    <t>Cathey</t>
  </si>
  <si>
    <t>Coffey</t>
  </si>
  <si>
    <t>Rosalie</t>
  </si>
  <si>
    <t>Mariam</t>
  </si>
  <si>
    <t>Mccarthy</t>
  </si>
  <si>
    <t>Donette</t>
  </si>
  <si>
    <t>Chantay</t>
  </si>
  <si>
    <t>Horn</t>
  </si>
  <si>
    <t>Nelson</t>
  </si>
  <si>
    <t>Yun</t>
  </si>
  <si>
    <t>Gallegos</t>
  </si>
  <si>
    <t>Petronila</t>
  </si>
  <si>
    <t>Tad</t>
  </si>
  <si>
    <t>Nolan</t>
  </si>
  <si>
    <t>Lilliam</t>
  </si>
  <si>
    <t>Mitchell</t>
  </si>
  <si>
    <t>Malisa</t>
  </si>
  <si>
    <t>Lane</t>
  </si>
  <si>
    <t>Wallace</t>
  </si>
  <si>
    <t>Kandis</t>
  </si>
  <si>
    <t>Debbra</t>
  </si>
  <si>
    <t>Kent</t>
  </si>
  <si>
    <t>Celestine</t>
  </si>
  <si>
    <t>Ricki</t>
  </si>
  <si>
    <t>Tajuana</t>
  </si>
  <si>
    <t>Ouida</t>
  </si>
  <si>
    <t>Merrill</t>
  </si>
  <si>
    <t>Major</t>
  </si>
  <si>
    <t>Corrinne</t>
  </si>
  <si>
    <t>Roberson</t>
  </si>
  <si>
    <t>Ilda</t>
  </si>
  <si>
    <t>Angelique</t>
  </si>
  <si>
    <t>Hyde</t>
  </si>
  <si>
    <t>Kermit</t>
  </si>
  <si>
    <t>Mooney</t>
  </si>
  <si>
    <t>Nenita</t>
  </si>
  <si>
    <t>Yolando</t>
  </si>
  <si>
    <t>Lindsey</t>
  </si>
  <si>
    <t>Latricia</t>
  </si>
  <si>
    <t>Sims</t>
  </si>
  <si>
    <t>Agnes</t>
  </si>
  <si>
    <t>Lavonda</t>
  </si>
  <si>
    <t>Yates</t>
  </si>
  <si>
    <t>Arnold</t>
  </si>
  <si>
    <t>Twana</t>
  </si>
  <si>
    <t>Lecia</t>
  </si>
  <si>
    <t>Hayes</t>
  </si>
  <si>
    <t>Spring</t>
  </si>
  <si>
    <t>Mathis</t>
  </si>
  <si>
    <t>Quyen</t>
  </si>
  <si>
    <t>Hatfield</t>
  </si>
  <si>
    <t>Rod</t>
  </si>
  <si>
    <t>Marisa</t>
  </si>
  <si>
    <t>Downs</t>
  </si>
  <si>
    <t>Cira</t>
  </si>
  <si>
    <t>Garcia</t>
  </si>
  <si>
    <t>Raymonde</t>
  </si>
  <si>
    <t>Greer</t>
  </si>
  <si>
    <t>Roth</t>
  </si>
  <si>
    <t>Wilder</t>
  </si>
  <si>
    <t>Tomika</t>
  </si>
  <si>
    <t>Hue</t>
  </si>
  <si>
    <t>Gibbs</t>
  </si>
  <si>
    <t>Mandi</t>
  </si>
  <si>
    <t>Mckay</t>
  </si>
  <si>
    <t>Hermila</t>
  </si>
  <si>
    <t>Romaine</t>
  </si>
  <si>
    <t>Farley</t>
  </si>
  <si>
    <t>Oralia</t>
  </si>
  <si>
    <t>Oliva</t>
  </si>
  <si>
    <t>Barnett</t>
  </si>
  <si>
    <t>Margret</t>
  </si>
  <si>
    <t>Eldridge</t>
  </si>
  <si>
    <t>Carolyne</t>
  </si>
  <si>
    <t>Schultz</t>
  </si>
  <si>
    <t>Laurel</t>
  </si>
  <si>
    <t>Tania</t>
  </si>
  <si>
    <t>Evelina</t>
  </si>
  <si>
    <t>Laci</t>
  </si>
  <si>
    <t>Gwenn</t>
  </si>
  <si>
    <t>Bobbi</t>
  </si>
  <si>
    <t>Fannie</t>
  </si>
  <si>
    <t>Dominguez</t>
  </si>
  <si>
    <t>Melita</t>
  </si>
  <si>
    <t>Hensley</t>
  </si>
  <si>
    <t>Aide</t>
  </si>
  <si>
    <t>Mcleod</t>
  </si>
  <si>
    <t>Alina</t>
  </si>
  <si>
    <t>Doreatha</t>
  </si>
  <si>
    <t>Lavona</t>
  </si>
  <si>
    <t>Savage</t>
  </si>
  <si>
    <t>Hilary</t>
  </si>
  <si>
    <t>Andria</t>
  </si>
  <si>
    <t>Dalton</t>
  </si>
  <si>
    <t>Viva</t>
  </si>
  <si>
    <t>Sullivan</t>
  </si>
  <si>
    <t>Kasha</t>
  </si>
  <si>
    <t>Rochell</t>
  </si>
  <si>
    <t>Mcpherson</t>
  </si>
  <si>
    <t>Lois</t>
  </si>
  <si>
    <t>Wiggins</t>
  </si>
  <si>
    <t>Vicki</t>
  </si>
  <si>
    <t>Carroll</t>
  </si>
  <si>
    <t>Camila</t>
  </si>
  <si>
    <t>Osborne</t>
  </si>
  <si>
    <t>Shaffer</t>
  </si>
  <si>
    <t>Fry</t>
  </si>
  <si>
    <t>Nicki</t>
  </si>
  <si>
    <t>Mcgee</t>
  </si>
  <si>
    <t>Luciana</t>
  </si>
  <si>
    <t>Craig</t>
  </si>
  <si>
    <t>Kristofer</t>
  </si>
  <si>
    <t>Carney</t>
  </si>
  <si>
    <t>Larae</t>
  </si>
  <si>
    <t>Senaida</t>
  </si>
  <si>
    <t>Ilona</t>
  </si>
  <si>
    <t>Olsen</t>
  </si>
  <si>
    <t>Kecia</t>
  </si>
  <si>
    <t>Bishop</t>
  </si>
  <si>
    <t>Jovita</t>
  </si>
  <si>
    <t>Silva</t>
  </si>
  <si>
    <t>Ezra</t>
  </si>
  <si>
    <t>Vinnie</t>
  </si>
  <si>
    <t>Majorie</t>
  </si>
  <si>
    <t>Briggs</t>
  </si>
  <si>
    <t>Terese</t>
  </si>
  <si>
    <t>O'neill</t>
  </si>
  <si>
    <t>Lolita</t>
  </si>
  <si>
    <t>Camille</t>
  </si>
  <si>
    <t>Sharie</t>
  </si>
  <si>
    <t>Nicholson</t>
  </si>
  <si>
    <t>Alysia</t>
  </si>
  <si>
    <t>Knox</t>
  </si>
  <si>
    <t>Collene</t>
  </si>
  <si>
    <t>Fernandez</t>
  </si>
  <si>
    <t>Zella</t>
  </si>
  <si>
    <t>Charleen</t>
  </si>
  <si>
    <t>Mccarty</t>
  </si>
  <si>
    <t>Alane</t>
  </si>
  <si>
    <t>Huffman</t>
  </si>
  <si>
    <t>Norine</t>
  </si>
  <si>
    <t>Christoper</t>
  </si>
  <si>
    <t>Lanie</t>
  </si>
  <si>
    <t>Foreman</t>
  </si>
  <si>
    <t>Merlin</t>
  </si>
  <si>
    <t>Chang</t>
  </si>
  <si>
    <t>Ladawn</t>
  </si>
  <si>
    <t>Yevette</t>
  </si>
  <si>
    <t>Deirdre</t>
  </si>
  <si>
    <t>Cochran</t>
  </si>
  <si>
    <t>Pearlie</t>
  </si>
  <si>
    <t>Camacho</t>
  </si>
  <si>
    <t>Cecilia</t>
  </si>
  <si>
    <t>Harmon</t>
  </si>
  <si>
    <t>Darcel</t>
  </si>
  <si>
    <t>Laverne</t>
  </si>
  <si>
    <t>Bell</t>
  </si>
  <si>
    <t>Jenny</t>
  </si>
  <si>
    <t>Burks</t>
  </si>
  <si>
    <t>Amparo</t>
  </si>
  <si>
    <t>Arnita</t>
  </si>
  <si>
    <t>Reatha</t>
  </si>
  <si>
    <t>Pennington</t>
  </si>
  <si>
    <t>Mathilda</t>
  </si>
  <si>
    <t>Wolfe</t>
  </si>
  <si>
    <t>Tuan</t>
  </si>
  <si>
    <t>Myron</t>
  </si>
  <si>
    <t>Hull</t>
  </si>
  <si>
    <t>Launa</t>
  </si>
  <si>
    <t>Wilkinson</t>
  </si>
  <si>
    <t>Gayle</t>
  </si>
  <si>
    <t>Bowman</t>
  </si>
  <si>
    <t>Moore</t>
  </si>
  <si>
    <t>Molina</t>
  </si>
  <si>
    <t>Elma</t>
  </si>
  <si>
    <t>Jennette</t>
  </si>
  <si>
    <t>Shawnda</t>
  </si>
  <si>
    <t>Randolph</t>
  </si>
  <si>
    <t>Stanton</t>
  </si>
  <si>
    <t>Calandra</t>
  </si>
  <si>
    <t>Etsuko</t>
  </si>
  <si>
    <t>Green</t>
  </si>
  <si>
    <t>Brittni</t>
  </si>
  <si>
    <t>Stacie</t>
  </si>
  <si>
    <t>Schmidt</t>
  </si>
  <si>
    <t>Augustus</t>
  </si>
  <si>
    <t>Loraine</t>
  </si>
  <si>
    <t>Hudson</t>
  </si>
  <si>
    <t>Shara</t>
  </si>
  <si>
    <t>Antonetta</t>
  </si>
  <si>
    <t>Sam</t>
  </si>
  <si>
    <t>Barnes</t>
  </si>
  <si>
    <t>Romana</t>
  </si>
  <si>
    <t>Marylyn</t>
  </si>
  <si>
    <t>Eun</t>
  </si>
  <si>
    <t>Florencio</t>
  </si>
  <si>
    <t>Tilda</t>
  </si>
  <si>
    <t>Laure</t>
  </si>
  <si>
    <t>Rita</t>
  </si>
  <si>
    <t>Contreras</t>
  </si>
  <si>
    <t>Eli</t>
  </si>
  <si>
    <t>Hicks</t>
  </si>
  <si>
    <t>Catrice</t>
  </si>
  <si>
    <t>Maldonado</t>
  </si>
  <si>
    <t>Janelle</t>
  </si>
  <si>
    <t>Heath</t>
  </si>
  <si>
    <t>Ann</t>
  </si>
  <si>
    <t>Garner</t>
  </si>
  <si>
    <t>Lewis</t>
  </si>
  <si>
    <t>Mclaughlin</t>
  </si>
  <si>
    <t>Valentin</t>
  </si>
  <si>
    <t>Melba</t>
  </si>
  <si>
    <t>Derrick</t>
  </si>
  <si>
    <t>Allison</t>
  </si>
  <si>
    <t>Parsons</t>
  </si>
  <si>
    <t>Ronald</t>
  </si>
  <si>
    <t>Tomeka</t>
  </si>
  <si>
    <t>Kara</t>
  </si>
  <si>
    <t>Lott</t>
  </si>
  <si>
    <t>Ashton</t>
  </si>
  <si>
    <t>Myrtie</t>
  </si>
  <si>
    <t>Taylor</t>
  </si>
  <si>
    <t>Kiara</t>
  </si>
  <si>
    <t>Yvette</t>
  </si>
  <si>
    <t>Weiss</t>
  </si>
  <si>
    <t>Tressa</t>
  </si>
  <si>
    <t>Ehtel</t>
  </si>
  <si>
    <t>Deloris</t>
  </si>
  <si>
    <t>Burke</t>
  </si>
  <si>
    <t>Leigh</t>
  </si>
  <si>
    <t>Henson</t>
  </si>
  <si>
    <t>Donnetta</t>
  </si>
  <si>
    <t>Sharika</t>
  </si>
  <si>
    <t>Cayla</t>
  </si>
  <si>
    <t>Gabriel</t>
  </si>
  <si>
    <t>Ballard</t>
  </si>
  <si>
    <t>Basil</t>
  </si>
  <si>
    <t>Eric</t>
  </si>
  <si>
    <t>Palmer</t>
  </si>
  <si>
    <t>Ana</t>
  </si>
  <si>
    <t>Skye</t>
  </si>
  <si>
    <t>Jenna</t>
  </si>
  <si>
    <t>Shery</t>
  </si>
  <si>
    <t>Jamika</t>
  </si>
  <si>
    <t>Toshia</t>
  </si>
  <si>
    <t>Eaton</t>
  </si>
  <si>
    <t>Margene</t>
  </si>
  <si>
    <t>Dorsey</t>
  </si>
  <si>
    <t>Leonore</t>
  </si>
  <si>
    <t>Eliana</t>
  </si>
  <si>
    <t>Vang</t>
  </si>
  <si>
    <t>Taisha</t>
  </si>
  <si>
    <t>Paul</t>
  </si>
  <si>
    <t>Kirkland</t>
  </si>
  <si>
    <t>Sarah</t>
  </si>
  <si>
    <t>Renita</t>
  </si>
  <si>
    <t>Dickson</t>
  </si>
  <si>
    <t>Kylee</t>
  </si>
  <si>
    <t>Genevieve</t>
  </si>
  <si>
    <t>Delaine</t>
  </si>
  <si>
    <t>Mcdowell</t>
  </si>
  <si>
    <t>Leland</t>
  </si>
  <si>
    <t>Joi</t>
  </si>
  <si>
    <t>Rivas</t>
  </si>
  <si>
    <t>Jonell</t>
  </si>
  <si>
    <t>Hendrix</t>
  </si>
  <si>
    <t>Benito</t>
  </si>
  <si>
    <t>Moran</t>
  </si>
  <si>
    <t>Rudolf</t>
  </si>
  <si>
    <t>Emelda</t>
  </si>
  <si>
    <t>Frederica</t>
  </si>
  <si>
    <t>Deanne</t>
  </si>
  <si>
    <t>Antony</t>
  </si>
  <si>
    <t>Joni</t>
  </si>
  <si>
    <t>Danilo</t>
  </si>
  <si>
    <t>Dyer</t>
  </si>
  <si>
    <t>Cyndi</t>
  </si>
  <si>
    <t>Church</t>
  </si>
  <si>
    <t>Jeffry</t>
  </si>
  <si>
    <t>Cherelle</t>
  </si>
  <si>
    <t>Lopez</t>
  </si>
  <si>
    <t>Euna</t>
  </si>
  <si>
    <t>Ulysses</t>
  </si>
  <si>
    <t>Chasidy</t>
  </si>
  <si>
    <t>Lynne</t>
  </si>
  <si>
    <t>Lashandra</t>
  </si>
  <si>
    <t>Soledad</t>
  </si>
  <si>
    <t>Vonda</t>
  </si>
  <si>
    <t>Matilda</t>
  </si>
  <si>
    <t>Day</t>
  </si>
  <si>
    <t>Salena</t>
  </si>
  <si>
    <t>Mcfarland</t>
  </si>
  <si>
    <t>Danille</t>
  </si>
  <si>
    <t>Stanley</t>
  </si>
  <si>
    <t>Christian</t>
  </si>
  <si>
    <t>Laurence</t>
  </si>
  <si>
    <t>Rivera</t>
  </si>
  <si>
    <t>Mccall</t>
  </si>
  <si>
    <t>Rubye</t>
  </si>
  <si>
    <t>Wm</t>
  </si>
  <si>
    <t>Kaley</t>
  </si>
  <si>
    <t>Marissa</t>
  </si>
  <si>
    <t>Lucas</t>
  </si>
  <si>
    <t>Vinson</t>
  </si>
  <si>
    <t>Arcelia</t>
  </si>
  <si>
    <t>Poole</t>
  </si>
  <si>
    <t>Cinthia</t>
  </si>
  <si>
    <t>Owen</t>
  </si>
  <si>
    <t>Dagny</t>
  </si>
  <si>
    <t>Pierce</t>
  </si>
  <si>
    <t>Bettie</t>
  </si>
  <si>
    <t>Rodney</t>
  </si>
  <si>
    <t>Norman</t>
  </si>
  <si>
    <t>Alejandro</t>
  </si>
  <si>
    <t>Tricia</t>
  </si>
  <si>
    <t>Basilia</t>
  </si>
  <si>
    <t>Kelly</t>
  </si>
  <si>
    <t>Cook</t>
  </si>
  <si>
    <t>Erlene</t>
  </si>
  <si>
    <t>Goff</t>
  </si>
  <si>
    <t>Vernell</t>
  </si>
  <si>
    <t>Marry</t>
  </si>
  <si>
    <t>Hilde</t>
  </si>
  <si>
    <t>Rory</t>
  </si>
  <si>
    <t>Crane</t>
  </si>
  <si>
    <t>Golden</t>
  </si>
  <si>
    <t>Felicidad</t>
  </si>
  <si>
    <t>Dori</t>
  </si>
  <si>
    <t>Tena</t>
  </si>
  <si>
    <t>Catarina</t>
  </si>
  <si>
    <t>Young</t>
  </si>
  <si>
    <t>Jasmin</t>
  </si>
  <si>
    <t>Timothy</t>
  </si>
  <si>
    <t>Burton</t>
  </si>
  <si>
    <t>Lanita</t>
  </si>
  <si>
    <t>Ayala</t>
  </si>
  <si>
    <t>Sherie</t>
  </si>
  <si>
    <t>Bentley</t>
  </si>
  <si>
    <t>Bradford</t>
  </si>
  <si>
    <t>Christiane</t>
  </si>
  <si>
    <t>Inge</t>
  </si>
  <si>
    <t>Haney</t>
  </si>
  <si>
    <t>Garret</t>
  </si>
  <si>
    <t>Delgado</t>
  </si>
  <si>
    <t>Mia</t>
  </si>
  <si>
    <t>Bowen</t>
  </si>
  <si>
    <t>Kimberely</t>
  </si>
  <si>
    <t>Clements</t>
  </si>
  <si>
    <t>Ellena</t>
  </si>
  <si>
    <t>Afton</t>
  </si>
  <si>
    <t>Lazaro</t>
  </si>
  <si>
    <t>Mayer</t>
  </si>
  <si>
    <t>Andreas</t>
  </si>
  <si>
    <t>Larraine</t>
  </si>
  <si>
    <t>Fischer</t>
  </si>
  <si>
    <t>Tammera</t>
  </si>
  <si>
    <t>Charles</t>
  </si>
  <si>
    <t>Max</t>
  </si>
  <si>
    <t>Herman</t>
  </si>
  <si>
    <t>Powers</t>
  </si>
  <si>
    <t>Homer</t>
  </si>
  <si>
    <t>Buford</t>
  </si>
  <si>
    <t>Reita</t>
  </si>
  <si>
    <t>Curry</t>
  </si>
  <si>
    <t>Clarita</t>
  </si>
  <si>
    <t>Cash</t>
  </si>
  <si>
    <t>Whitney</t>
  </si>
  <si>
    <t>Hee</t>
  </si>
  <si>
    <t>Julienne</t>
  </si>
  <si>
    <t>Delacruz</t>
  </si>
  <si>
    <t>Faustino</t>
  </si>
  <si>
    <t>Terra</t>
  </si>
  <si>
    <t>Vance</t>
  </si>
  <si>
    <t>Irving</t>
  </si>
  <si>
    <t>Petersen</t>
  </si>
  <si>
    <t>Wilda</t>
  </si>
  <si>
    <t>Tiana</t>
  </si>
  <si>
    <t>Marlo</t>
  </si>
  <si>
    <t>Baxter</t>
  </si>
  <si>
    <t>Malinda</t>
  </si>
  <si>
    <t>Tony</t>
  </si>
  <si>
    <t>Moira</t>
  </si>
  <si>
    <t>Ashley</t>
  </si>
  <si>
    <t>Lidia</t>
  </si>
  <si>
    <t>Edda</t>
  </si>
  <si>
    <t>Shu</t>
  </si>
  <si>
    <t>Fox</t>
  </si>
  <si>
    <t>Pearl</t>
  </si>
  <si>
    <t>Justa</t>
  </si>
  <si>
    <t>Jacobs</t>
  </si>
  <si>
    <t>Mcdonald</t>
  </si>
  <si>
    <t>Yu</t>
  </si>
  <si>
    <t>Kirstie</t>
  </si>
  <si>
    <t>Hawkins</t>
  </si>
  <si>
    <t>Joaquin</t>
  </si>
  <si>
    <t>Grace</t>
  </si>
  <si>
    <t>Valeri</t>
  </si>
  <si>
    <t>Catherine</t>
  </si>
  <si>
    <t>Chelsey</t>
  </si>
  <si>
    <t>Gayla</t>
  </si>
  <si>
    <t>Narcisa</t>
  </si>
  <si>
    <t>Rutledge</t>
  </si>
  <si>
    <t>Jayson</t>
  </si>
  <si>
    <t>Weaver</t>
  </si>
  <si>
    <t>Garland</t>
  </si>
  <si>
    <t>Mejia</t>
  </si>
  <si>
    <t>Gertha</t>
  </si>
  <si>
    <t>Hahn</t>
  </si>
  <si>
    <t>Emmett</t>
  </si>
  <si>
    <t>Arminda</t>
  </si>
  <si>
    <t>Richardson</t>
  </si>
  <si>
    <t>Christopher</t>
  </si>
  <si>
    <t>Alec</t>
  </si>
  <si>
    <t>Lavern</t>
  </si>
  <si>
    <t>Lashawna</t>
  </si>
  <si>
    <t>Ruiz</t>
  </si>
  <si>
    <t>Burma</t>
  </si>
  <si>
    <t>Walker</t>
  </si>
  <si>
    <t>Loise</t>
  </si>
  <si>
    <t>Micki</t>
  </si>
  <si>
    <t>Jeanett</t>
  </si>
  <si>
    <t>Neal</t>
  </si>
  <si>
    <t>Clare</t>
  </si>
  <si>
    <t>Birdie</t>
  </si>
  <si>
    <t>Bess</t>
  </si>
  <si>
    <t>Jerlene</t>
  </si>
  <si>
    <t>Effie</t>
  </si>
  <si>
    <t>Myers</t>
  </si>
  <si>
    <t>Romelia</t>
  </si>
  <si>
    <t>Latosha</t>
  </si>
  <si>
    <t>Everett</t>
  </si>
  <si>
    <t>Jeni</t>
  </si>
  <si>
    <t>Serina</t>
  </si>
  <si>
    <t>Sherita</t>
  </si>
  <si>
    <t>Wyatt</t>
  </si>
  <si>
    <t>Courtney</t>
  </si>
  <si>
    <t>Nichols</t>
  </si>
  <si>
    <t>Cassandra</t>
  </si>
  <si>
    <t>Wooten</t>
  </si>
  <si>
    <t>Michael</t>
  </si>
  <si>
    <t>Ellsworth</t>
  </si>
  <si>
    <t>Josie</t>
  </si>
  <si>
    <t>Bright</t>
  </si>
  <si>
    <t>Janella</t>
  </si>
  <si>
    <t>Tran</t>
  </si>
  <si>
    <t>Bradley</t>
  </si>
  <si>
    <t>Nathanael</t>
  </si>
  <si>
    <t>Caridad</t>
  </si>
  <si>
    <t>Keith</t>
  </si>
  <si>
    <t>Ayana</t>
  </si>
  <si>
    <t>Dorthea</t>
  </si>
  <si>
    <t>Sunshine</t>
  </si>
  <si>
    <t>Katharine</t>
  </si>
  <si>
    <t>Laureen</t>
  </si>
  <si>
    <t>Honey</t>
  </si>
  <si>
    <t>Hobbs</t>
  </si>
  <si>
    <t>Izola</t>
  </si>
  <si>
    <t>Holly</t>
  </si>
  <si>
    <t>Julius</t>
  </si>
  <si>
    <t>Marsh</t>
  </si>
  <si>
    <t>Luciano</t>
  </si>
  <si>
    <t>Mcneil</t>
  </si>
  <si>
    <t>Kandi</t>
  </si>
  <si>
    <t>Padilla</t>
  </si>
  <si>
    <t>Hipolito</t>
  </si>
  <si>
    <t>Latonya</t>
  </si>
  <si>
    <t>Ward</t>
  </si>
  <si>
    <t>Daisy</t>
  </si>
  <si>
    <t>Augustina</t>
  </si>
  <si>
    <t>Hurst</t>
  </si>
  <si>
    <t>Johna</t>
  </si>
  <si>
    <t>Valery</t>
  </si>
  <si>
    <t>Iola</t>
  </si>
  <si>
    <t>Vince</t>
  </si>
  <si>
    <t>Krystin</t>
  </si>
  <si>
    <t>Georgeanna</t>
  </si>
  <si>
    <t>Patton</t>
  </si>
  <si>
    <t>Zoraida</t>
  </si>
  <si>
    <t>Fuller</t>
  </si>
  <si>
    <t>Miller</t>
  </si>
  <si>
    <t>Gwendolyn</t>
  </si>
  <si>
    <t>Haley</t>
  </si>
  <si>
    <t>Ginette</t>
  </si>
  <si>
    <t>Dexter</t>
  </si>
  <si>
    <t>Case</t>
  </si>
  <si>
    <t>Conception</t>
  </si>
  <si>
    <t>Bolton</t>
  </si>
  <si>
    <t>Jerome</t>
  </si>
  <si>
    <t>Edra</t>
  </si>
  <si>
    <t>Dannette</t>
  </si>
  <si>
    <t>Kerrie</t>
  </si>
  <si>
    <t>Page</t>
  </si>
  <si>
    <t>Greta</t>
  </si>
  <si>
    <t>Elouise</t>
  </si>
  <si>
    <t>Shaunda</t>
  </si>
  <si>
    <t>Dodson</t>
  </si>
  <si>
    <t>Alfredo</t>
  </si>
  <si>
    <t>Hess</t>
  </si>
  <si>
    <t>Bart</t>
  </si>
  <si>
    <t>Mercado</t>
  </si>
  <si>
    <t>Suellen</t>
  </si>
  <si>
    <t>Jeannie</t>
  </si>
  <si>
    <t>Hernandez</t>
  </si>
  <si>
    <t>Laverna</t>
  </si>
  <si>
    <t>Robinson</t>
  </si>
  <si>
    <t>Fairy</t>
  </si>
  <si>
    <t>Virgen</t>
  </si>
  <si>
    <t>Terry</t>
  </si>
  <si>
    <t>Gertrude</t>
  </si>
  <si>
    <t>Ball</t>
  </si>
  <si>
    <t>Vernita</t>
  </si>
  <si>
    <t>Short</t>
  </si>
  <si>
    <t>Leif</t>
  </si>
  <si>
    <t>Aleta</t>
  </si>
  <si>
    <t>Walters</t>
  </si>
  <si>
    <t>Kaila</t>
  </si>
  <si>
    <t>Beck</t>
  </si>
  <si>
    <t>Nelle</t>
  </si>
  <si>
    <t>Rochelle</t>
  </si>
  <si>
    <t>Aimee</t>
  </si>
  <si>
    <t>Ashlee</t>
  </si>
  <si>
    <t>Collin</t>
  </si>
  <si>
    <t>Kristen</t>
  </si>
  <si>
    <t>Horne</t>
  </si>
  <si>
    <t>Alesia</t>
  </si>
  <si>
    <t>Carrillo</t>
  </si>
  <si>
    <t>Mina</t>
  </si>
  <si>
    <t>O'neal</t>
  </si>
  <si>
    <t>Rosalba</t>
  </si>
  <si>
    <t>Mosley</t>
  </si>
  <si>
    <t>Patrick</t>
  </si>
  <si>
    <t>Elanor</t>
  </si>
  <si>
    <t>Trevino</t>
  </si>
  <si>
    <t>Yan</t>
  </si>
  <si>
    <t>Candelaria</t>
  </si>
  <si>
    <t>Mariette</t>
  </si>
  <si>
    <t>Jina</t>
  </si>
  <si>
    <t>Singleton</t>
  </si>
  <si>
    <t>Mary</t>
  </si>
  <si>
    <t>Alysha</t>
  </si>
  <si>
    <t>Hooper</t>
  </si>
  <si>
    <t>Blanca</t>
  </si>
  <si>
    <t>Lavonne</t>
  </si>
  <si>
    <t>Rodger</t>
  </si>
  <si>
    <t>Bev</t>
  </si>
  <si>
    <t>Kaci</t>
  </si>
  <si>
    <t>Noel</t>
  </si>
  <si>
    <t>Olevia</t>
  </si>
  <si>
    <t>Virgina</t>
  </si>
  <si>
    <t>Peters</t>
  </si>
  <si>
    <t>Van</t>
  </si>
  <si>
    <t>Angie</t>
  </si>
  <si>
    <t>Sheri</t>
  </si>
  <si>
    <t>Vashti</t>
  </si>
  <si>
    <t>Arvilla</t>
  </si>
  <si>
    <t>Armstrong</t>
  </si>
  <si>
    <t>Tisa</t>
  </si>
  <si>
    <t>Josef</t>
  </si>
  <si>
    <t>Margorie</t>
  </si>
  <si>
    <t>Mable</t>
  </si>
  <si>
    <t>Witt</t>
  </si>
  <si>
    <t>Darren</t>
  </si>
  <si>
    <t>Kanesha</t>
  </si>
  <si>
    <t>Jacalyn</t>
  </si>
  <si>
    <t>Gray</t>
  </si>
  <si>
    <t>Mi</t>
  </si>
  <si>
    <t>Herta</t>
  </si>
  <si>
    <t>Jesica</t>
  </si>
  <si>
    <t>Pruitt</t>
  </si>
  <si>
    <t>Cassondra</t>
  </si>
  <si>
    <t>Scott</t>
  </si>
  <si>
    <t>Bradshaw</t>
  </si>
  <si>
    <t>Yanira</t>
  </si>
  <si>
    <t>Harrell</t>
  </si>
  <si>
    <t>Tamela</t>
  </si>
  <si>
    <t>Pugh</t>
  </si>
  <si>
    <t>Abbey</t>
  </si>
  <si>
    <t>Trisha</t>
  </si>
  <si>
    <t>Scarlet</t>
  </si>
  <si>
    <t>Jordan</t>
  </si>
  <si>
    <t>Somer</t>
  </si>
  <si>
    <t>Ami</t>
  </si>
  <si>
    <t>Reena</t>
  </si>
  <si>
    <t>Sheba</t>
  </si>
  <si>
    <t>Marilyn</t>
  </si>
  <si>
    <t>Shiela</t>
  </si>
  <si>
    <t>Berna</t>
  </si>
  <si>
    <t>Jeniffer</t>
  </si>
  <si>
    <t>Merideth</t>
  </si>
  <si>
    <t>Aron</t>
  </si>
  <si>
    <t>Newton</t>
  </si>
  <si>
    <t>Justin</t>
  </si>
  <si>
    <t>Christia</t>
  </si>
  <si>
    <t>Javier</t>
  </si>
  <si>
    <t>Jarvis</t>
  </si>
  <si>
    <t>Melani</t>
  </si>
  <si>
    <t>Charise</t>
  </si>
  <si>
    <t>Martin</t>
  </si>
  <si>
    <t>Mazie</t>
  </si>
  <si>
    <t>Fransisca</t>
  </si>
  <si>
    <t>Vikki</t>
  </si>
  <si>
    <t>Hope</t>
  </si>
  <si>
    <t>Jayme</t>
  </si>
  <si>
    <t>Larsen</t>
  </si>
  <si>
    <t>Rolanda</t>
  </si>
  <si>
    <t>Garrett</t>
  </si>
  <si>
    <t>Simon</t>
  </si>
  <si>
    <t>Rayford</t>
  </si>
  <si>
    <t>Riggs</t>
  </si>
  <si>
    <t>Jame</t>
  </si>
  <si>
    <t>Middleton</t>
  </si>
  <si>
    <t>Jennie</t>
  </si>
  <si>
    <t>Sophia</t>
  </si>
  <si>
    <t>Danny</t>
  </si>
  <si>
    <t>Sargent</t>
  </si>
  <si>
    <t>Clementina</t>
  </si>
  <si>
    <t>French</t>
  </si>
  <si>
    <t>Tiny</t>
  </si>
  <si>
    <t>Monty</t>
  </si>
  <si>
    <t>Boyce</t>
  </si>
  <si>
    <t>Charmain</t>
  </si>
  <si>
    <t>Massey</t>
  </si>
  <si>
    <t>Mireille</t>
  </si>
  <si>
    <t>Virgil</t>
  </si>
  <si>
    <t>Leola</t>
  </si>
  <si>
    <t>Susann</t>
  </si>
  <si>
    <t>Jaimee</t>
  </si>
  <si>
    <t>Rayna</t>
  </si>
  <si>
    <t>Brenda</t>
  </si>
  <si>
    <t>Myesha</t>
  </si>
  <si>
    <t>Wright</t>
  </si>
  <si>
    <t>Lavette</t>
  </si>
  <si>
    <t>Pinkie</t>
  </si>
  <si>
    <t>Shaw</t>
  </si>
  <si>
    <t>Josh</t>
  </si>
  <si>
    <t>Queenie</t>
  </si>
  <si>
    <t>Deja</t>
  </si>
  <si>
    <t>Katheleen</t>
  </si>
  <si>
    <t>Claudio</t>
  </si>
  <si>
    <t>Trinity</t>
  </si>
  <si>
    <t>Angelina</t>
  </si>
  <si>
    <t>Myung</t>
  </si>
  <si>
    <t>Mariela</t>
  </si>
  <si>
    <t>Dortha</t>
  </si>
  <si>
    <t>Rubin</t>
  </si>
  <si>
    <t>Kline</t>
  </si>
  <si>
    <t>Ferne</t>
  </si>
  <si>
    <t>Shelton</t>
  </si>
  <si>
    <t>Rodrick</t>
  </si>
  <si>
    <t>Johnathan</t>
  </si>
  <si>
    <t>Maribel</t>
  </si>
  <si>
    <t>Earl</t>
  </si>
  <si>
    <t>Erma</t>
  </si>
  <si>
    <t>Holder</t>
  </si>
  <si>
    <t>Flossie</t>
  </si>
  <si>
    <t>Cristobal</t>
  </si>
  <si>
    <t>Norton</t>
  </si>
  <si>
    <t>Maurice</t>
  </si>
  <si>
    <t>Eleni</t>
  </si>
  <si>
    <t>Kasie</t>
  </si>
  <si>
    <t>Ivonne</t>
  </si>
  <si>
    <t>Magda</t>
  </si>
  <si>
    <t>Gill</t>
  </si>
  <si>
    <t>Cecelia</t>
  </si>
  <si>
    <t>Muriel</t>
  </si>
  <si>
    <t>Dionne</t>
  </si>
  <si>
    <t>Delila</t>
  </si>
  <si>
    <t>Bray</t>
  </si>
  <si>
    <t>Jessika</t>
  </si>
  <si>
    <t>Rowland</t>
  </si>
  <si>
    <t>Natosha</t>
  </si>
  <si>
    <t>Rutha</t>
  </si>
  <si>
    <t>Le</t>
  </si>
  <si>
    <t>Guzman</t>
  </si>
  <si>
    <t>Felice</t>
  </si>
  <si>
    <t>Elvera</t>
  </si>
  <si>
    <t>Verona</t>
  </si>
  <si>
    <t>Jeromy</t>
  </si>
  <si>
    <t>Winfred</t>
  </si>
  <si>
    <t>Strong</t>
  </si>
  <si>
    <t>Mariana</t>
  </si>
  <si>
    <t>Freddie</t>
  </si>
  <si>
    <t>Jenee</t>
  </si>
  <si>
    <t>Langley</t>
  </si>
  <si>
    <t>Molly</t>
  </si>
  <si>
    <t>Danielle</t>
  </si>
  <si>
    <t>Kiana</t>
  </si>
  <si>
    <t>Barbera</t>
  </si>
  <si>
    <t>Anya</t>
  </si>
  <si>
    <t>Clementine</t>
  </si>
  <si>
    <t>Lucio</t>
  </si>
  <si>
    <t>Morgan</t>
  </si>
  <si>
    <t>Darcie</t>
  </si>
  <si>
    <t>Carline</t>
  </si>
  <si>
    <t>Wai</t>
  </si>
  <si>
    <t>Finley</t>
  </si>
  <si>
    <t>Judith</t>
  </si>
  <si>
    <t>Gilma</t>
  </si>
  <si>
    <t>Priscilla</t>
  </si>
  <si>
    <t>Jutta</t>
  </si>
  <si>
    <t>Logan</t>
  </si>
  <si>
    <t>Denis</t>
  </si>
  <si>
    <t>Michel</t>
  </si>
  <si>
    <t>Stephaine</t>
  </si>
  <si>
    <t>Alpha</t>
  </si>
  <si>
    <t>Minerva</t>
  </si>
  <si>
    <t>Marni</t>
  </si>
  <si>
    <t>Candis</t>
  </si>
  <si>
    <t>Ashely</t>
  </si>
  <si>
    <t>Workman</t>
  </si>
  <si>
    <t>Clelia</t>
  </si>
  <si>
    <t>Tyler</t>
  </si>
  <si>
    <t>Luis</t>
  </si>
  <si>
    <t>Andy</t>
  </si>
  <si>
    <t>Valencia</t>
  </si>
  <si>
    <t>Edythe</t>
  </si>
  <si>
    <t>Addie</t>
  </si>
  <si>
    <t>Rhodes</t>
  </si>
  <si>
    <t>Bong</t>
  </si>
  <si>
    <t>Graciela</t>
  </si>
  <si>
    <t>Toya</t>
  </si>
  <si>
    <t>Flynn</t>
  </si>
  <si>
    <t>Sharla</t>
  </si>
  <si>
    <t>Hedwig</t>
  </si>
  <si>
    <t>Ken</t>
  </si>
  <si>
    <t>Ratliff</t>
  </si>
  <si>
    <t>Jenniffer</t>
  </si>
  <si>
    <t>Karey</t>
  </si>
  <si>
    <t>Sears</t>
  </si>
  <si>
    <t>Deane</t>
  </si>
  <si>
    <t>Carley</t>
  </si>
  <si>
    <t>Nova</t>
  </si>
  <si>
    <t>Babara</t>
  </si>
  <si>
    <t>Marquerite</t>
  </si>
  <si>
    <t>Jeanie</t>
  </si>
  <si>
    <t>Miriam</t>
  </si>
  <si>
    <t>Kirk</t>
  </si>
  <si>
    <t>Karla</t>
  </si>
  <si>
    <t>Nettie</t>
  </si>
  <si>
    <t>Loreta</t>
  </si>
  <si>
    <t>Lena</t>
  </si>
  <si>
    <t>Stevens</t>
  </si>
  <si>
    <t>Margert</t>
  </si>
  <si>
    <t>Kam</t>
  </si>
  <si>
    <t>Crystle</t>
  </si>
  <si>
    <t>Estrada</t>
  </si>
  <si>
    <t>Omer</t>
  </si>
  <si>
    <t>Burns</t>
  </si>
  <si>
    <t>Regina</t>
  </si>
  <si>
    <t>Charlyn</t>
  </si>
  <si>
    <t>Jenise</t>
  </si>
  <si>
    <t>Laraine</t>
  </si>
  <si>
    <t>Katherina</t>
  </si>
  <si>
    <t>Joesph</t>
  </si>
  <si>
    <t>Weldon</t>
  </si>
  <si>
    <t>Meredith</t>
  </si>
  <si>
    <t>Woodard</t>
  </si>
  <si>
    <t>Julee</t>
  </si>
  <si>
    <t>Potter</t>
  </si>
  <si>
    <t>Stefany</t>
  </si>
  <si>
    <t>Miquel</t>
  </si>
  <si>
    <t>Hans</t>
  </si>
  <si>
    <t>Doyle</t>
  </si>
  <si>
    <t>Janae</t>
  </si>
  <si>
    <t>Nicholas</t>
  </si>
  <si>
    <t>Ramiro</t>
  </si>
  <si>
    <t>Cleopatra</t>
  </si>
  <si>
    <t>Wanita</t>
  </si>
  <si>
    <t>Bernard</t>
  </si>
  <si>
    <t>Jone</t>
  </si>
  <si>
    <t>Parks</t>
  </si>
  <si>
    <t>Sarita</t>
  </si>
  <si>
    <t>Dorthey</t>
  </si>
  <si>
    <t>Moss</t>
  </si>
  <si>
    <t>Brianna</t>
  </si>
  <si>
    <t>Delbert</t>
  </si>
  <si>
    <t>Hampton</t>
  </si>
  <si>
    <t>Wes</t>
  </si>
  <si>
    <t>Walton</t>
  </si>
  <si>
    <t>Terrance</t>
  </si>
  <si>
    <t>Nielsen</t>
  </si>
  <si>
    <t>Lavina</t>
  </si>
  <si>
    <t>Herlinda</t>
  </si>
  <si>
    <t>Booker</t>
  </si>
  <si>
    <t>Robena</t>
  </si>
  <si>
    <t>Shena</t>
  </si>
  <si>
    <t>Lucy</t>
  </si>
  <si>
    <t>House</t>
  </si>
  <si>
    <t>Luz</t>
  </si>
  <si>
    <t>Thalia</t>
  </si>
  <si>
    <t>Wood</t>
  </si>
  <si>
    <t>Dacia</t>
  </si>
  <si>
    <t>Merlene</t>
  </si>
  <si>
    <t>Rey</t>
  </si>
  <si>
    <t>Yuk</t>
  </si>
  <si>
    <t>White</t>
  </si>
  <si>
    <t>Shila</t>
  </si>
  <si>
    <t>Zimmerman</t>
  </si>
  <si>
    <t>Ollie</t>
  </si>
  <si>
    <t>Monica</t>
  </si>
  <si>
    <t>Hickman</t>
  </si>
  <si>
    <t>Shae</t>
  </si>
  <si>
    <t>Hopper</t>
  </si>
  <si>
    <t>Cecil</t>
  </si>
  <si>
    <t>Melendez</t>
  </si>
  <si>
    <t>Raul</t>
  </si>
  <si>
    <t>Hodge</t>
  </si>
  <si>
    <t>Marget</t>
  </si>
  <si>
    <t>Katharina</t>
  </si>
  <si>
    <t>Sylvie</t>
  </si>
  <si>
    <t>Marisol</t>
  </si>
  <si>
    <t>Kellie</t>
  </si>
  <si>
    <t>Kidd</t>
  </si>
  <si>
    <t>Carie</t>
  </si>
  <si>
    <t>Valenzuela</t>
  </si>
  <si>
    <t>Violet</t>
  </si>
  <si>
    <t>Louanne</t>
  </si>
  <si>
    <t>Floretta</t>
  </si>
  <si>
    <t>Letitia</t>
  </si>
  <si>
    <t>Corrina</t>
  </si>
  <si>
    <t>Cruz</t>
  </si>
  <si>
    <t>Mullins</t>
  </si>
  <si>
    <t>Marvin</t>
  </si>
  <si>
    <t>Marjorie</t>
  </si>
  <si>
    <t>Titus</t>
  </si>
  <si>
    <t>Lissa</t>
  </si>
  <si>
    <t>Teofila</t>
  </si>
  <si>
    <t>Whitehead</t>
  </si>
  <si>
    <t>Armand</t>
  </si>
  <si>
    <t>Daniel</t>
  </si>
  <si>
    <t>Tiesha</t>
  </si>
  <si>
    <t>Lizzie</t>
  </si>
  <si>
    <t>Zina</t>
  </si>
  <si>
    <t>Sarai</t>
  </si>
  <si>
    <t>Chi</t>
  </si>
  <si>
    <t>Keri</t>
  </si>
  <si>
    <t>Prince</t>
  </si>
  <si>
    <t>Parker</t>
  </si>
  <si>
    <t>Abby</t>
  </si>
  <si>
    <t>Waller</t>
  </si>
  <si>
    <t>Melanie</t>
  </si>
  <si>
    <t>Takako</t>
  </si>
  <si>
    <t>Tomasa</t>
  </si>
  <si>
    <t>Katelin</t>
  </si>
  <si>
    <t>Jayne</t>
  </si>
  <si>
    <t>Becker</t>
  </si>
  <si>
    <t>Foster</t>
  </si>
  <si>
    <t>Bobbie</t>
  </si>
  <si>
    <t>Tenisha</t>
  </si>
  <si>
    <t>Alica</t>
  </si>
  <si>
    <t>Aguilar</t>
  </si>
  <si>
    <t>Elinore</t>
  </si>
  <si>
    <t>Neil</t>
  </si>
  <si>
    <t>Latasha</t>
  </si>
  <si>
    <t>Damien</t>
  </si>
  <si>
    <t>Fran</t>
  </si>
  <si>
    <t>Saturnina</t>
  </si>
  <si>
    <t>Tu</t>
  </si>
  <si>
    <t>Gertrud</t>
  </si>
  <si>
    <t>Cleotilde</t>
  </si>
  <si>
    <t>Caroll</t>
  </si>
  <si>
    <t>Bridgette</t>
  </si>
  <si>
    <t>Monika</t>
  </si>
  <si>
    <t>Mozelle</t>
  </si>
  <si>
    <t>Freeman</t>
  </si>
  <si>
    <t>Kathie</t>
  </si>
  <si>
    <t>Butler</t>
  </si>
  <si>
    <t>Ronna</t>
  </si>
  <si>
    <t>Aguirre</t>
  </si>
  <si>
    <t>Janetta</t>
  </si>
  <si>
    <t>Zelma</t>
  </si>
  <si>
    <t>Brady</t>
  </si>
  <si>
    <t>Melia</t>
  </si>
  <si>
    <t>Bernita</t>
  </si>
  <si>
    <t>Guillermina</t>
  </si>
  <si>
    <t>Woodward</t>
  </si>
  <si>
    <t>Araceli</t>
  </si>
  <si>
    <t>Holloway</t>
  </si>
  <si>
    <t>Williemae</t>
  </si>
  <si>
    <t>Hendricks</t>
  </si>
  <si>
    <t>Syreeta</t>
  </si>
  <si>
    <t>Jeanice</t>
  </si>
  <si>
    <t>Santos</t>
  </si>
  <si>
    <t>Theo</t>
  </si>
  <si>
    <t>Vaughan</t>
  </si>
  <si>
    <t>Regenia</t>
  </si>
  <si>
    <t>Wall</t>
  </si>
  <si>
    <t>English</t>
  </si>
  <si>
    <t>Kaylee</t>
  </si>
  <si>
    <t>Adelle</t>
  </si>
  <si>
    <t>Tobie</t>
  </si>
  <si>
    <t>Shepard</t>
  </si>
  <si>
    <t>Stein</t>
  </si>
  <si>
    <t>Lizzette</t>
  </si>
  <si>
    <t>Georgetta</t>
  </si>
  <si>
    <t>Caren</t>
  </si>
  <si>
    <t>Emmitt</t>
  </si>
  <si>
    <t>Linnie</t>
  </si>
  <si>
    <t>Ortiz</t>
  </si>
  <si>
    <t>Lashawn</t>
  </si>
  <si>
    <t>Robby</t>
  </si>
  <si>
    <t>Mendoza</t>
  </si>
  <si>
    <t>Deshawn</t>
  </si>
  <si>
    <t>Pamelia</t>
  </si>
  <si>
    <t>Baldwin</t>
  </si>
  <si>
    <t>Jacquline</t>
  </si>
  <si>
    <t>Lyndsey</t>
  </si>
  <si>
    <t>Rice</t>
  </si>
  <si>
    <t>Charolette</t>
  </si>
  <si>
    <t>Spence</t>
  </si>
  <si>
    <t>Daryl</t>
  </si>
  <si>
    <t>Tameka</t>
  </si>
  <si>
    <t>Debra</t>
  </si>
  <si>
    <t>last_name</t>
  </si>
  <si>
    <t>first_name</t>
  </si>
  <si>
    <t>email</t>
  </si>
  <si>
    <t>NULL</t>
  </si>
  <si>
    <t>debra.burks@yahoo.com</t>
  </si>
  <si>
    <t>kasha.todd@yahoo.com</t>
  </si>
  <si>
    <t>tameka.fisher@aol.com</t>
  </si>
  <si>
    <t>daryl.spence@aol.com</t>
  </si>
  <si>
    <t>(916) 381-6003</t>
  </si>
  <si>
    <t>charolette.rice@msn.com</t>
  </si>
  <si>
    <t>lyndsey.bean@hotmail.com</t>
  </si>
  <si>
    <t>(716) 986-3359</t>
  </si>
  <si>
    <t>latasha.hays@hotmail.com</t>
  </si>
  <si>
    <t>jacquline.duncan@yahoo.com</t>
  </si>
  <si>
    <t>genoveva.baldwin@msn.com</t>
  </si>
  <si>
    <t>pamelia.newman@gmail.com</t>
  </si>
  <si>
    <t>deshawn.mendoza@yahoo.com</t>
  </si>
  <si>
    <t>(516) 583-7761</t>
  </si>
  <si>
    <t>robby.sykes@hotmail.com</t>
  </si>
  <si>
    <t>lashawn.ortiz@msn.com</t>
  </si>
  <si>
    <t>garry.espinoza@hotmail.com</t>
  </si>
  <si>
    <t>linnie.branch@gmail.com</t>
  </si>
  <si>
    <t>(212) 945-8823</t>
  </si>
  <si>
    <t>emmitt.sanchez@hotmail.com</t>
  </si>
  <si>
    <t>caren.stephens@msn.com</t>
  </si>
  <si>
    <t>georgetta.hardin@aol.com</t>
  </si>
  <si>
    <t>lizzette.stein@yahoo.com</t>
  </si>
  <si>
    <t>aleta.shepard@aol.com</t>
  </si>
  <si>
    <t>tobie.little@gmail.com</t>
  </si>
  <si>
    <t>adelle.larsen@gmail.com</t>
  </si>
  <si>
    <t>kaylee.english@msn.com</t>
  </si>
  <si>
    <t>corene.wall@msn.com</t>
  </si>
  <si>
    <t>regenia.vaughan@gmail.com</t>
  </si>
  <si>
    <t>(562) 215-2907</t>
  </si>
  <si>
    <t>theo.reese@gmail.com</t>
  </si>
  <si>
    <t>santos.valencia@yahoo.com</t>
  </si>
  <si>
    <t>jeanice.frost@hotmail.com</t>
  </si>
  <si>
    <t>syreeta.hendricks@msn.com</t>
  </si>
  <si>
    <t>jamaal.albert@gmail.com</t>
  </si>
  <si>
    <t>(510) 246-8375</t>
  </si>
  <si>
    <t>williemae.holloway@msn.com</t>
  </si>
  <si>
    <t>araceli.golden@msn.com</t>
  </si>
  <si>
    <t>deloris.burke@hotmail.com</t>
  </si>
  <si>
    <t>brittney.woodward@aol.com</t>
  </si>
  <si>
    <t>guillermina.noble@msn.com</t>
  </si>
  <si>
    <t>bernita.mcdaniel@hotmail.com</t>
  </si>
  <si>
    <t>melia.brady@gmail.com</t>
  </si>
  <si>
    <t>zelma.browning@aol.com</t>
  </si>
  <si>
    <t>(717) 670-2634</t>
  </si>
  <si>
    <t>janetta.aguirre@aol.com</t>
  </si>
  <si>
    <t>ronna.butler@gmail.com</t>
  </si>
  <si>
    <t>kathie.freeman@msn.com</t>
  </si>
  <si>
    <t>tangela.quinn@aol.com</t>
  </si>
  <si>
    <t>(281) 489-9656</t>
  </si>
  <si>
    <t>mozelle.carter@aol.com</t>
  </si>
  <si>
    <t>onita.johns@msn.com</t>
  </si>
  <si>
    <t>bennett.armstrong@aol.com</t>
  </si>
  <si>
    <t>monika.berg@gmail.com</t>
  </si>
  <si>
    <t>bridgette.guerra@hotmail.com</t>
  </si>
  <si>
    <t>cesar.jackson@gmail.com</t>
  </si>
  <si>
    <t>caroll.hays@yahoo.com</t>
  </si>
  <si>
    <t>cleotilde.booth@gmail.com</t>
  </si>
  <si>
    <t>gertrud.rhodes@aol.com</t>
  </si>
  <si>
    <t>tu.ramirez@hotmail.com</t>
  </si>
  <si>
    <t>saturnina.garner@gmail.com</t>
  </si>
  <si>
    <t>fran.yang@hotmail.com</t>
  </si>
  <si>
    <t>diana.guerra@hotmail.com</t>
  </si>
  <si>
    <t>(281) 363-3309</t>
  </si>
  <si>
    <t>lolita.mosley@hotmail.com</t>
  </si>
  <si>
    <t>pamala.henry@aol.com</t>
  </si>
  <si>
    <t>damien.dorsey@yahoo.com</t>
  </si>
  <si>
    <t>latasha.stanley@gmail.com</t>
  </si>
  <si>
    <t>neil.mccall@gmail.com</t>
  </si>
  <si>
    <t>elinore.aguilar@msn.com</t>
  </si>
  <si>
    <t>alica.hunter@hotmail.com</t>
  </si>
  <si>
    <t>tenisha.lyons@aol.com</t>
  </si>
  <si>
    <t>bobbie.foster@yahoo.com</t>
  </si>
  <si>
    <t>kanesha.vega@gmail.com</t>
  </si>
  <si>
    <t>lorrie.becker@yahoo.com</t>
  </si>
  <si>
    <t>(916) 802-2952</t>
  </si>
  <si>
    <t>tommie.melton@gmail.com</t>
  </si>
  <si>
    <t>jayne.kirkland@hotmail.com</t>
  </si>
  <si>
    <t>katelin.kennedy@gmail.com</t>
  </si>
  <si>
    <t>tomasa.carson@aol.com</t>
  </si>
  <si>
    <t>takako.casey@aol.com</t>
  </si>
  <si>
    <t>petronila.norris@aol.com</t>
  </si>
  <si>
    <t>melanie.hayes@msn.com</t>
  </si>
  <si>
    <t>georgeann.waller@yahoo.com</t>
  </si>
  <si>
    <t>abby.gamble@aol.com</t>
  </si>
  <si>
    <t>parker.prince@hotmail.com</t>
  </si>
  <si>
    <t>keri.bridges@gmail.com</t>
  </si>
  <si>
    <t>chi.goff@aol.com</t>
  </si>
  <si>
    <t>ashanti.parks@hotmail.com</t>
  </si>
  <si>
    <t>(716) 912-8110</t>
  </si>
  <si>
    <t>sarai.mckee@msn.com</t>
  </si>
  <si>
    <t>zina.bonner@hotmail.com</t>
  </si>
  <si>
    <t>lizzie.joyner@msn.com</t>
  </si>
  <si>
    <t>tiesha.daniel@yahoo.com</t>
  </si>
  <si>
    <t>armand.whitehead@hotmail.com</t>
  </si>
  <si>
    <t>teofila.fischer@aol.com</t>
  </si>
  <si>
    <t>lissa.vargas@yahoo.com</t>
  </si>
  <si>
    <t>yan.mcgowan@msn.com</t>
  </si>
  <si>
    <t>titus.bullock@gmail.com</t>
  </si>
  <si>
    <t>arvilla.osborn@gmail.com</t>
  </si>
  <si>
    <t>marjorie.logan@msn.com</t>
  </si>
  <si>
    <t>(619) 635-2027</t>
  </si>
  <si>
    <t>marvin.mullins@aol.com</t>
  </si>
  <si>
    <t>tena.cruz@yahoo.com</t>
  </si>
  <si>
    <t>(248) 370-1364</t>
  </si>
  <si>
    <t>corrina.sawyer@yahoo.com</t>
  </si>
  <si>
    <t>sharyn.hopkins@hotmail.com</t>
  </si>
  <si>
    <t>letitia.franco@aol.com</t>
  </si>
  <si>
    <t>floretta.higgins@hotmail.com</t>
  </si>
  <si>
    <t>louanne.martin@hotmail.com</t>
  </si>
  <si>
    <t>violet.valenzuela@msn.com</t>
  </si>
  <si>
    <t>carie.kidd@yahoo.com</t>
  </si>
  <si>
    <t>kellie.franco@yahoo.com</t>
  </si>
  <si>
    <t>nichelle.howell@aol.com</t>
  </si>
  <si>
    <t>marisol.goodman@gmail.com</t>
  </si>
  <si>
    <t>sylvie.wilkerson@yahoo.com</t>
  </si>
  <si>
    <t>katharina.bates@gmail.com</t>
  </si>
  <si>
    <t>marget.hodge@msn.com</t>
  </si>
  <si>
    <t>raul.melendez@hotmail.com</t>
  </si>
  <si>
    <t>cecil.hopper@yahoo.com</t>
  </si>
  <si>
    <t>shae.hickman@hotmail.com</t>
  </si>
  <si>
    <t>(408) 704-8863</t>
  </si>
  <si>
    <t>monica.sears@aol.com</t>
  </si>
  <si>
    <t>(657) 648-2863</t>
  </si>
  <si>
    <t>ollie.zimmerman@yahoo.com</t>
  </si>
  <si>
    <t>shila.white@msn.com</t>
  </si>
  <si>
    <t>yuk.vega@yahoo.com</t>
  </si>
  <si>
    <t>eliana.silva@gmail.com</t>
  </si>
  <si>
    <t>thalia.horne@yahoo.com</t>
  </si>
  <si>
    <t>rey.lindsay@gmail.com</t>
  </si>
  <si>
    <t>merlene.vinson@gmail.com</t>
  </si>
  <si>
    <t>dacia.william@msn.com</t>
  </si>
  <si>
    <t>le.wood@yahoo.com</t>
  </si>
  <si>
    <t>thalia.dillard@yahoo.com</t>
  </si>
  <si>
    <t>(559) 114-2580</t>
  </si>
  <si>
    <t>luz.house@gmail.com</t>
  </si>
  <si>
    <t>lucy.woods@gmail.com</t>
  </si>
  <si>
    <t>shena.carter@yahoo.com</t>
  </si>
  <si>
    <t>(361) 598-4414</t>
  </si>
  <si>
    <t>robena.hill@hotmail.com</t>
  </si>
  <si>
    <t>jeni.booker@gmail.com</t>
  </si>
  <si>
    <t>herlinda.stone@msn.com</t>
  </si>
  <si>
    <t>lavina.dejesus@msn.com</t>
  </si>
  <si>
    <t>erlinda.nielsen@aol.com</t>
  </si>
  <si>
    <t>terrance.lynn@yahoo.com</t>
  </si>
  <si>
    <t>walton.dejesus@yahoo.com</t>
  </si>
  <si>
    <t>(248) 247-5074</t>
  </si>
  <si>
    <t>wes.stanton@msn.com</t>
  </si>
  <si>
    <t>tanesha.hampton@hotmail.com</t>
  </si>
  <si>
    <t>boyd.irwin@hotmail.com</t>
  </si>
  <si>
    <t>delbert.wilkins@aol.com</t>
  </si>
  <si>
    <t>(516) 156-8031</t>
  </si>
  <si>
    <t>brianna.moss@msn.com</t>
  </si>
  <si>
    <t>(281) 926-8010</t>
  </si>
  <si>
    <t>dorthey.jackson@msn.com</t>
  </si>
  <si>
    <t>sarita.parks@msn.com</t>
  </si>
  <si>
    <t>shonta.mercer@aol.com</t>
  </si>
  <si>
    <t>(657) 536-5165</t>
  </si>
  <si>
    <t>jone.bernard@hotmail.com</t>
  </si>
  <si>
    <t>wanita.davenport@aol.com</t>
  </si>
  <si>
    <t>cleopatra.tate@aol.com</t>
  </si>
  <si>
    <t>ramiro.byers@gmail.com</t>
  </si>
  <si>
    <t>nicholas.vazquez@hotmail.com</t>
  </si>
  <si>
    <t>janae.doyle@gmail.com</t>
  </si>
  <si>
    <t>hans.price@hotmail.com</t>
  </si>
  <si>
    <t>miquel.neal@hotmail.com</t>
  </si>
  <si>
    <t>stefany.potter@gmail.com</t>
  </si>
  <si>
    <t>bernetta.marquez@hotmail.com</t>
  </si>
  <si>
    <t>julee.woodard@yahoo.com</t>
  </si>
  <si>
    <t>meredith.bryan@hotmail.com</t>
  </si>
  <si>
    <t>weldon.michael@hotmail.com</t>
  </si>
  <si>
    <t>joesph.delacruz@aol.com</t>
  </si>
  <si>
    <t>katherina.odom@yahoo.com</t>
  </si>
  <si>
    <t>laraine.robbins@yahoo.com</t>
  </si>
  <si>
    <t>jenise.preston@yahoo.com</t>
  </si>
  <si>
    <t>lory.page@hotmail.com</t>
  </si>
  <si>
    <t>charlyn.cantrell@yahoo.com</t>
  </si>
  <si>
    <t>carola.rodriquez@hotmail.com</t>
  </si>
  <si>
    <t>alane.kennedy@yahoo.com</t>
  </si>
  <si>
    <t>regina.burns@aol.com</t>
  </si>
  <si>
    <t>omer.estrada@gmail.com</t>
  </si>
  <si>
    <t>crystle.gilliam@yahoo.com</t>
  </si>
  <si>
    <t>kam.wilder@hotmail.com</t>
  </si>
  <si>
    <t>margert.stevens@aol.com</t>
  </si>
  <si>
    <t>tomika.larson@yahoo.com</t>
  </si>
  <si>
    <t>(408) 955-8238</t>
  </si>
  <si>
    <t>jeromy.burch@msn.com</t>
  </si>
  <si>
    <t>lena.mills@yahoo.com</t>
  </si>
  <si>
    <t>loreta.johnston@yahoo.com</t>
  </si>
  <si>
    <t>nettie.mcdaniel@hotmail.com</t>
  </si>
  <si>
    <t>karla.kirk@yahoo.com</t>
  </si>
  <si>
    <t>(805) 763-4045</t>
  </si>
  <si>
    <t>regine.gonzales@gmail.com</t>
  </si>
  <si>
    <t>miriam.baker@hotmail.com</t>
  </si>
  <si>
    <t>jeanie.kirkland@aol.com</t>
  </si>
  <si>
    <t>marquerite.dawson@gmail.com</t>
  </si>
  <si>
    <t>babara.ochoa@aol.com</t>
  </si>
  <si>
    <t>nova.hess@msn.com</t>
  </si>
  <si>
    <t>carley.reynolds@gmail.com</t>
  </si>
  <si>
    <t>carissa.foreman@msn.com</t>
  </si>
  <si>
    <t>(212) 152-6381</t>
  </si>
  <si>
    <t>genoveva.tyler@gmail.com</t>
  </si>
  <si>
    <t>deane.sears@hotmail.com</t>
  </si>
  <si>
    <t>karey.steele@gmail.com</t>
  </si>
  <si>
    <t>olevia.pitts@gmail.com</t>
  </si>
  <si>
    <t>jenniffer.bullock@msn.com</t>
  </si>
  <si>
    <t>jeniffer.ratliff@gmail.com</t>
  </si>
  <si>
    <t>klara.stanley@aol.com</t>
  </si>
  <si>
    <t>morton.lee@yahoo.com</t>
  </si>
  <si>
    <t>ken.charles@msn.com</t>
  </si>
  <si>
    <t>hedwig.paul@msn.com</t>
  </si>
  <si>
    <t>(805) 478-7724</t>
  </si>
  <si>
    <t>sharla.flynn@hotmail.com</t>
  </si>
  <si>
    <t>damian.dawson@hotmail.com</t>
  </si>
  <si>
    <t>(562) 218-6405</t>
  </si>
  <si>
    <t>toya.pratt@yahoo.com</t>
  </si>
  <si>
    <t>(805) 656-6987</t>
  </si>
  <si>
    <t>graciela.barber@hotmail.com</t>
  </si>
  <si>
    <t>bong.hebert@gmail.com</t>
  </si>
  <si>
    <t>ayanna.rhodes@msn.com</t>
  </si>
  <si>
    <t>dorine.roberson@msn.com</t>
  </si>
  <si>
    <t>addie.hahn@hotmail.com</t>
  </si>
  <si>
    <t>edythe.valencia@yahoo.com</t>
  </si>
  <si>
    <t>andy.o'neill@msn.com</t>
  </si>
  <si>
    <t>luis.tyler@gmail.com</t>
  </si>
  <si>
    <t>clelia.workman@yahoo.com</t>
  </si>
  <si>
    <t>ashely.holmes@aol.com</t>
  </si>
  <si>
    <t>candis.harding@gmail.com</t>
  </si>
  <si>
    <t>(717) 670-6268</t>
  </si>
  <si>
    <t>marni.bolton@msn.com</t>
  </si>
  <si>
    <t>(281) 271-6390</t>
  </si>
  <si>
    <t>minerva.decker@yahoo.com</t>
  </si>
  <si>
    <t>alpha.king@hotmail.com</t>
  </si>
  <si>
    <t>harris.pittman@yahoo.com</t>
  </si>
  <si>
    <t>stephaine.riddle@hotmail.com</t>
  </si>
  <si>
    <t>michel.blankenship@msn.com</t>
  </si>
  <si>
    <t>denis.logan@msn.com</t>
  </si>
  <si>
    <t>jutta.everett@gmail.com</t>
  </si>
  <si>
    <t>(229) 322-2269</t>
  </si>
  <si>
    <t>priscilla.wilkins@aol.com</t>
  </si>
  <si>
    <t>gilma.dejesus@yahoo.com</t>
  </si>
  <si>
    <t>(248) 604-7346</t>
  </si>
  <si>
    <t>buford.bridges@msn.com</t>
  </si>
  <si>
    <t>elenore.hensley@hotmail.com</t>
  </si>
  <si>
    <t>ross.pugh@msn.com</t>
  </si>
  <si>
    <t>judith.finley@hotmail.com</t>
  </si>
  <si>
    <t>wai.soto@msn.com</t>
  </si>
  <si>
    <t>(559) 810-6070</t>
  </si>
  <si>
    <t>carline.collier@msn.com</t>
  </si>
  <si>
    <t>casey.gill@gmail.com</t>
  </si>
  <si>
    <t>(442) 618-7068</t>
  </si>
  <si>
    <t>darcie.morgan@aol.com</t>
  </si>
  <si>
    <t>lucio.sherman@gmail.com</t>
  </si>
  <si>
    <t>clementine.mooney@yahoo.com</t>
  </si>
  <si>
    <t>anya.contreras@msn.com</t>
  </si>
  <si>
    <t>scarlet.yates@hotmail.com</t>
  </si>
  <si>
    <t>moses.pope@yahoo.com</t>
  </si>
  <si>
    <t>barbera.riggs@aol.com</t>
  </si>
  <si>
    <t>kiana.rivera@gmail.com</t>
  </si>
  <si>
    <t>danielle.bond@msn.com</t>
  </si>
  <si>
    <t>(631) 315-4020</t>
  </si>
  <si>
    <t>whitney.estes@gmail.com</t>
  </si>
  <si>
    <t>molly.langley@aol.com</t>
  </si>
  <si>
    <t>chelsey.hardin@hotmail.com</t>
  </si>
  <si>
    <t>(916) 219-1774</t>
  </si>
  <si>
    <t>jenee.rasmussen@hotmail.com</t>
  </si>
  <si>
    <t>freddie.mathis@hotmail.com</t>
  </si>
  <si>
    <t>mariana.strong@msn.com</t>
  </si>
  <si>
    <t>winfred.harris@msn.com</t>
  </si>
  <si>
    <t>jeromy.elliott@gmail.com</t>
  </si>
  <si>
    <t>verona.o'neill@hotmail.com</t>
  </si>
  <si>
    <t>elvera.peck@yahoo.com</t>
  </si>
  <si>
    <t>cindi.larson@msn.com</t>
  </si>
  <si>
    <t>felice.guzman@hotmail.com</t>
  </si>
  <si>
    <t>le.deleon@msn.com</t>
  </si>
  <si>
    <t>manie.sanchez@hotmail.com</t>
  </si>
  <si>
    <t>rutha.howell@gmail.com</t>
  </si>
  <si>
    <t>natosha.rowland@aol.com</t>
  </si>
  <si>
    <t>jessika.bray@yahoo.com</t>
  </si>
  <si>
    <t>delila.hamilton@yahoo.com</t>
  </si>
  <si>
    <t>dionne.norris@yahoo.com</t>
  </si>
  <si>
    <t>muriel.juarez@gmail.com</t>
  </si>
  <si>
    <t>cecelia.gill@aol.com</t>
  </si>
  <si>
    <t>magda.eaton@aol.com</t>
  </si>
  <si>
    <t>(915) 181-1950</t>
  </si>
  <si>
    <t>ivonne.yang@gmail.com</t>
  </si>
  <si>
    <t>kasie.rodriquez@aol.com</t>
  </si>
  <si>
    <t>eleni.gordon@hotmail.com</t>
  </si>
  <si>
    <t>maurice.norton@hotmail.com</t>
  </si>
  <si>
    <t>cristobal.hutchinson@gmail.com</t>
  </si>
  <si>
    <t>flossie.holder@msn.com</t>
  </si>
  <si>
    <t>erma.salinas@gmail.com</t>
  </si>
  <si>
    <t>earl.stanley@gmail.com</t>
  </si>
  <si>
    <t>maribel.william@aol.com</t>
  </si>
  <si>
    <t>johnathan.velazquez@hotmail.com</t>
  </si>
  <si>
    <t>rodrick.shelton@hotmail.com</t>
  </si>
  <si>
    <t>ferne.kline@hotmail.com</t>
  </si>
  <si>
    <t>(716) 950-9835</t>
  </si>
  <si>
    <t>rubin.decker@gmail.com</t>
  </si>
  <si>
    <t>(442) 919-8256</t>
  </si>
  <si>
    <t>dortha.jarvis@yahoo.com</t>
  </si>
  <si>
    <t>mariela.huffman@gmail.com</t>
  </si>
  <si>
    <t>mellisa.farley@yahoo.com</t>
  </si>
  <si>
    <t>myung.hooper@gmail.com</t>
  </si>
  <si>
    <t>angelina.lloyd@yahoo.com</t>
  </si>
  <si>
    <t>trinity.riddle@aol.com</t>
  </si>
  <si>
    <t>barton.crosby@msn.com</t>
  </si>
  <si>
    <t>claudio.wise@hotmail.com</t>
  </si>
  <si>
    <t>katheleen.marks@yahoo.com</t>
  </si>
  <si>
    <t>deja.chaney@hotmail.com</t>
  </si>
  <si>
    <t>queenie.vance@gmail.com</t>
  </si>
  <si>
    <t>josh.shaw@gmail.com</t>
  </si>
  <si>
    <t>pinkie.kirkland@yahoo.com</t>
  </si>
  <si>
    <t>lavette.wright@msn.com</t>
  </si>
  <si>
    <t>mark.garrett@msn.com</t>
  </si>
  <si>
    <t>myesha.burgess@gmail.com</t>
  </si>
  <si>
    <t>justina.long@aol.com</t>
  </si>
  <si>
    <t>brenda.tate@msn.com</t>
  </si>
  <si>
    <t>rayna.perry@hotmail.com</t>
  </si>
  <si>
    <t>randolph.chase@yahoo.com</t>
  </si>
  <si>
    <t>jaimee.day@aol.com</t>
  </si>
  <si>
    <t>susann.bass@msn.com</t>
  </si>
  <si>
    <t>leola.gould@gmail.com</t>
  </si>
  <si>
    <t>virgil.frost@gmail.com</t>
  </si>
  <si>
    <t>(805) 961-9909</t>
  </si>
  <si>
    <t>mireille.puckett@hotmail.com</t>
  </si>
  <si>
    <t>keturah.massey@msn.com</t>
  </si>
  <si>
    <t>charmain.webster@hotmail.com</t>
  </si>
  <si>
    <t>barry.buckner@gmail.com</t>
  </si>
  <si>
    <t>boyce.burks@gmail.com</t>
  </si>
  <si>
    <t>(516) 460-5396</t>
  </si>
  <si>
    <t>monty.frost@aol.com</t>
  </si>
  <si>
    <t>tiny.french@hotmail.com</t>
  </si>
  <si>
    <t>clementina.sargent@hotmail.com</t>
  </si>
  <si>
    <t>danny.kim@msn.com</t>
  </si>
  <si>
    <t>sophia.mcmillan@msn.com</t>
  </si>
  <si>
    <t>christia.carson@gmail.com</t>
  </si>
  <si>
    <t>jennie.middleton@gmail.com</t>
  </si>
  <si>
    <t>jame.riggs@hotmail.com</t>
  </si>
  <si>
    <t>rayford.simon@msn.com</t>
  </si>
  <si>
    <t>annett.garrett@yahoo.com</t>
  </si>
  <si>
    <t>hayden.cross@gmail.com</t>
  </si>
  <si>
    <t>rolanda.larsen@yahoo.com</t>
  </si>
  <si>
    <t>jayme.zamora@gmail.com</t>
  </si>
  <si>
    <t>hope.cotton@aol.com</t>
  </si>
  <si>
    <t>vikki.erickson@yahoo.com</t>
  </si>
  <si>
    <t>fransisca.nicholson@aol.com</t>
  </si>
  <si>
    <t>mazie.fernandez@hotmail.com</t>
  </si>
  <si>
    <t>anderson.martin@hotmail.com</t>
  </si>
  <si>
    <t>gilberto.parsons@gmail.com</t>
  </si>
  <si>
    <t>(559) 888-2229</t>
  </si>
  <si>
    <t>charise.burt@aol.com</t>
  </si>
  <si>
    <t>cameron.carroll@yahoo.com</t>
  </si>
  <si>
    <t>melani.jarvis@hotmail.com</t>
  </si>
  <si>
    <t>javier.nichols@msn.com</t>
  </si>
  <si>
    <t>justina.jenkins@yahoo.com</t>
  </si>
  <si>
    <t>hortencia.graham@aol.com</t>
  </si>
  <si>
    <t>christia.wilkins@msn.com</t>
  </si>
  <si>
    <t>eliz.whitney@msn.com</t>
  </si>
  <si>
    <t>justin.newton@hotmail.com</t>
  </si>
  <si>
    <t>(442) 497-3353</t>
  </si>
  <si>
    <t>aron.wiggins@aol.com</t>
  </si>
  <si>
    <t>chere.hardin@yahoo.com</t>
  </si>
  <si>
    <t>merideth.preston@yahoo.com</t>
  </si>
  <si>
    <t>jeniffer.slater@aol.com</t>
  </si>
  <si>
    <t>laureen.paul@yahoo.com</t>
  </si>
  <si>
    <t>berna.moore@hotmail.com</t>
  </si>
  <si>
    <t>shiela.calderon@msn.com</t>
  </si>
  <si>
    <t>(212) 211-7621</t>
  </si>
  <si>
    <t>sharie.alvarez@msn.com</t>
  </si>
  <si>
    <t>bettie.glover@gmail.com</t>
  </si>
  <si>
    <t>marilyn.frank@aol.com</t>
  </si>
  <si>
    <t>sheba.knapp@aol.com</t>
  </si>
  <si>
    <t>aleta.mack@yahoo.com</t>
  </si>
  <si>
    <t>reena.higgins@gmail.com</t>
  </si>
  <si>
    <t>ami.mcmahon@aol.com</t>
  </si>
  <si>
    <t>somer.jordan@msn.com</t>
  </si>
  <si>
    <t>scarlet.reed@hotmail.com</t>
  </si>
  <si>
    <t>(717) 126-8787</t>
  </si>
  <si>
    <t>trisha.johnson@msn.com</t>
  </si>
  <si>
    <t>majorie.wyatt@yahoo.com</t>
  </si>
  <si>
    <t>abbey.pugh@gmail.com</t>
  </si>
  <si>
    <t>tamela.harrell@aol.com</t>
  </si>
  <si>
    <t>yanira.bradshaw@gmail.com</t>
  </si>
  <si>
    <t>delana.scott@yahoo.com</t>
  </si>
  <si>
    <t>cassondra.pruitt@aol.com</t>
  </si>
  <si>
    <t>jesica.fields@yahoo.com</t>
  </si>
  <si>
    <t>herta.rollins@msn.com</t>
  </si>
  <si>
    <t>(229) 813-2130</t>
  </si>
  <si>
    <t>mi.gray@aol.com</t>
  </si>
  <si>
    <t>jacalyn.barnett@gmail.com</t>
  </si>
  <si>
    <t>(510) 788-7298</t>
  </si>
  <si>
    <t>kanesha.hudson@gmail.com</t>
  </si>
  <si>
    <t>darren.witt@aol.com</t>
  </si>
  <si>
    <t>mable.pratt@gmail.com</t>
  </si>
  <si>
    <t>christoper.mccall@msn.com</t>
  </si>
  <si>
    <t>margorie.wynn@gmail.com</t>
  </si>
  <si>
    <t>josef.greer@gmail.com</t>
  </si>
  <si>
    <t>tisa.whitney@yahoo.com</t>
  </si>
  <si>
    <t>tonda.armstrong@aol.com</t>
  </si>
  <si>
    <t>arvilla.weiss@msn.com</t>
  </si>
  <si>
    <t>vashti.rosario@yahoo.com</t>
  </si>
  <si>
    <t>(408) 658-2285</t>
  </si>
  <si>
    <t>sheri.cole@aol.com</t>
  </si>
  <si>
    <t>kandace.giles@msn.com</t>
  </si>
  <si>
    <t>angie.powers@aol.com</t>
  </si>
  <si>
    <t>(281) 658-7772</t>
  </si>
  <si>
    <t>van.peters@yahoo.com</t>
  </si>
  <si>
    <t>virgina.berg@yahoo.com</t>
  </si>
  <si>
    <t>olevia.noel@yahoo.com</t>
  </si>
  <si>
    <t>kaci.gallegos@gmail.com</t>
  </si>
  <si>
    <t>bev.chang@yahoo.com</t>
  </si>
  <si>
    <t>rodger.rojas@yahoo.com</t>
  </si>
  <si>
    <t>lavonne.anderson@aol.com</t>
  </si>
  <si>
    <t>blanca.hooper@msn.com</t>
  </si>
  <si>
    <t>alysha.powers@msn.com</t>
  </si>
  <si>
    <t>mary.singleton@hotmail.com</t>
  </si>
  <si>
    <t>jina.cooper@aol.com</t>
  </si>
  <si>
    <t>loni.duncan@gmail.com</t>
  </si>
  <si>
    <t>collene.roman@aol.com</t>
  </si>
  <si>
    <t>mariette.trevino@aol.com</t>
  </si>
  <si>
    <t>candelaria.coffey@aol.com</t>
  </si>
  <si>
    <t>yan.trevino@gmail.com</t>
  </si>
  <si>
    <t>elanor.patrick@aol.com</t>
  </si>
  <si>
    <t>klara.mosley@gmail.com</t>
  </si>
  <si>
    <t>rosalba.o'neal@yahoo.com</t>
  </si>
  <si>
    <t>mina.carrillo@aol.com</t>
  </si>
  <si>
    <t>alesia.horne@aol.com</t>
  </si>
  <si>
    <t>kristen.alvarez@aol.com</t>
  </si>
  <si>
    <t>collin.webster@aol.com</t>
  </si>
  <si>
    <t>ashlee.pena@aol.com</t>
  </si>
  <si>
    <t>aimee.merritt@yahoo.com</t>
  </si>
  <si>
    <t>rochelle.ward@yahoo.com</t>
  </si>
  <si>
    <t>nelle.beck@aol.com</t>
  </si>
  <si>
    <t>kaila.walters@msn.com</t>
  </si>
  <si>
    <t>aleta.stone@aol.com</t>
  </si>
  <si>
    <t>leif.short@gmail.com</t>
  </si>
  <si>
    <t>lorrie.pollard@yahoo.com</t>
  </si>
  <si>
    <t>vernita.ball@gmail.com</t>
  </si>
  <si>
    <t>cyndi.bush@gmail.com</t>
  </si>
  <si>
    <t>gertrude.terry@hotmail.com</t>
  </si>
  <si>
    <t>virgen.clemons@gmail.com</t>
  </si>
  <si>
    <t>fairy.robinson@msn.com</t>
  </si>
  <si>
    <t>laverna.hernandez@hotmail.com</t>
  </si>
  <si>
    <t>jeannie.wilcox@yahoo.com</t>
  </si>
  <si>
    <t>suellen.mercado@yahoo.com</t>
  </si>
  <si>
    <t>bart.hess@aol.com</t>
  </si>
  <si>
    <t>alfredo.dodson@hotmail.com</t>
  </si>
  <si>
    <t>shaunda.barnett@gmail.com</t>
  </si>
  <si>
    <t>kerrie.morton@hotmail.com</t>
  </si>
  <si>
    <t>elouise.fry@aol.com</t>
  </si>
  <si>
    <t>augustus.steele@aol.com</t>
  </si>
  <si>
    <t>greta.page@hotmail.com</t>
  </si>
  <si>
    <t>kerrie.o'neill@gmail.com</t>
  </si>
  <si>
    <t>dannette.guerrero@gmail.com</t>
  </si>
  <si>
    <t>edra.fitzgerald@msn.com</t>
  </si>
  <si>
    <t>jerome.bolton@msn.com</t>
  </si>
  <si>
    <t>conception.slater@gmail.com</t>
  </si>
  <si>
    <t>(212) 171-1335</t>
  </si>
  <si>
    <t>octavia.case@aol.com</t>
  </si>
  <si>
    <t>dexter.roberts@gmail.com</t>
  </si>
  <si>
    <t>ginette.edwards@hotmail.com</t>
  </si>
  <si>
    <t>romaine.haley@aol.com</t>
  </si>
  <si>
    <t>gwendolyn.miller@msn.com</t>
  </si>
  <si>
    <t>(516) 363-2253</t>
  </si>
  <si>
    <t>luke.fuller@hotmail.com</t>
  </si>
  <si>
    <t>zoraida.patton@aol.com</t>
  </si>
  <si>
    <t>(805) 885-8830</t>
  </si>
  <si>
    <t>georgeanna.webster@msn.com</t>
  </si>
  <si>
    <t>krystin.marshall@hotmail.com</t>
  </si>
  <si>
    <t>vince.schneider@hotmail.com</t>
  </si>
  <si>
    <t>iola.rasmussen@yahoo.com</t>
  </si>
  <si>
    <t>valery.saunders@msn.com</t>
  </si>
  <si>
    <t>johna.powers@hotmail.com</t>
  </si>
  <si>
    <t>charleen.hurst@yahoo.com</t>
  </si>
  <si>
    <t>augustina.joyner@aol.com</t>
  </si>
  <si>
    <t>daisy.ward@msn.com</t>
  </si>
  <si>
    <t>latonya.dixon@hotmail.com</t>
  </si>
  <si>
    <t>hipolito.padilla@hotmail.com</t>
  </si>
  <si>
    <t>emmett.casey@yahoo.com</t>
  </si>
  <si>
    <t>kandi.mcneil@msn.com</t>
  </si>
  <si>
    <t>luciano.marsh@aol.com</t>
  </si>
  <si>
    <t>julius.holt@aol.com</t>
  </si>
  <si>
    <t>holly.nieves@aol.com</t>
  </si>
  <si>
    <t>douglass.little@hotmail.com</t>
  </si>
  <si>
    <t>izola.hobbs@gmail.com</t>
  </si>
  <si>
    <t>honey.camacho@gmail.com</t>
  </si>
  <si>
    <t>laureen.barry@yahoo.com</t>
  </si>
  <si>
    <t>katharine.herrera@hotmail.com</t>
  </si>
  <si>
    <t>sunshine.rosario@aol.com</t>
  </si>
  <si>
    <t>yevette.todd@aol.com</t>
  </si>
  <si>
    <t>dorthea.walker@aol.com</t>
  </si>
  <si>
    <t>(914) 706-7576</t>
  </si>
  <si>
    <t>alane.munoz@gmail.com</t>
  </si>
  <si>
    <t>(805) 230-2101</t>
  </si>
  <si>
    <t>ayana.keith@hotmail.com</t>
  </si>
  <si>
    <t>caridad.compton@aol.com</t>
  </si>
  <si>
    <t>earline.ballard@hotmail.com</t>
  </si>
  <si>
    <t>nathanael.bradley@aol.com</t>
  </si>
  <si>
    <t>chasidy.tran@msn.com</t>
  </si>
  <si>
    <t>(507) 616-2958</t>
  </si>
  <si>
    <t>janella.bright@aol.com</t>
  </si>
  <si>
    <t>josie.schultz@hotmail.com</t>
  </si>
  <si>
    <t>ellsworth.michael@yahoo.com</t>
  </si>
  <si>
    <t>jennette.wooten@msn.com</t>
  </si>
  <si>
    <t>cassandra.nichols@yahoo.com</t>
  </si>
  <si>
    <t>courtney.wyatt@gmail.com</t>
  </si>
  <si>
    <t>terese.palmer@hotmail.com</t>
  </si>
  <si>
    <t>sherita.cherry@gmail.com</t>
  </si>
  <si>
    <t>serina.hensley@yahoo.com</t>
  </si>
  <si>
    <t>jeni.farley@aol.com</t>
  </si>
  <si>
    <t>everett.vega@yahoo.com</t>
  </si>
  <si>
    <t>(661) 529-4501</t>
  </si>
  <si>
    <t>latosha.dalton@yahoo.com</t>
  </si>
  <si>
    <t>romelia.myers@msn.com</t>
  </si>
  <si>
    <t>(631) 477-1277</t>
  </si>
  <si>
    <t>effie.jenkins@msn.com</t>
  </si>
  <si>
    <t>efren.oliver@gmail.com</t>
  </si>
  <si>
    <t>jerlene.rios@yahoo.com</t>
  </si>
  <si>
    <t>bess.mcbride@yahoo.com</t>
  </si>
  <si>
    <t>(248) 725-2174</t>
  </si>
  <si>
    <t>birdie.kramer@hotmail.com</t>
  </si>
  <si>
    <t>collen.hayes@yahoo.com</t>
  </si>
  <si>
    <t>clare.neal@msn.com</t>
  </si>
  <si>
    <t>jeanett.herman@hotmail.com</t>
  </si>
  <si>
    <t>micki.rutledge@aol.com</t>
  </si>
  <si>
    <t>loise.walker@aol.com</t>
  </si>
  <si>
    <t>burma.summers@yahoo.com</t>
  </si>
  <si>
    <t>myron.ruiz@gmail.com</t>
  </si>
  <si>
    <t>lashawna.richardson@hotmail.com</t>
  </si>
  <si>
    <t>lavern.orr@hotmail.com</t>
  </si>
  <si>
    <t>alec.peck@hotmail.com</t>
  </si>
  <si>
    <t>christopher.richardson@gmail.com</t>
  </si>
  <si>
    <t>arminda.weber@yahoo.com</t>
  </si>
  <si>
    <t>emmett.hahn@hotmail.com</t>
  </si>
  <si>
    <t>gertha.mejia@yahoo.com</t>
  </si>
  <si>
    <t>garland.weaver@gmail.com</t>
  </si>
  <si>
    <t>jayson.rutledge@yahoo.com</t>
  </si>
  <si>
    <t>narcisa.knapp@aol.com</t>
  </si>
  <si>
    <t>gayla.sims@gmail.com</t>
  </si>
  <si>
    <t>chelsey.boyd@yahoo.com</t>
  </si>
  <si>
    <t>catherine.miles@msn.com</t>
  </si>
  <si>
    <t>valeri.marshall@hotmail.com</t>
  </si>
  <si>
    <t>grace.madden@gmail.com</t>
  </si>
  <si>
    <t>(657) 557-1746</t>
  </si>
  <si>
    <t>joaquin.hawkins@aol.com</t>
  </si>
  <si>
    <t>kirstie.vazquez@gmail.com</t>
  </si>
  <si>
    <t>yu.mcdonald@aol.com</t>
  </si>
  <si>
    <t>celestine.jacobs@gmail.com</t>
  </si>
  <si>
    <t>justa.thompson@aol.com</t>
  </si>
  <si>
    <t>lise.alvarado@gmail.com</t>
  </si>
  <si>
    <t>pearl.fox@yahoo.com</t>
  </si>
  <si>
    <t>travis.goodman@yahoo.com</t>
  </si>
  <si>
    <t>shu.mays@gmail.com</t>
  </si>
  <si>
    <t>ezra.fowler@hotmail.com</t>
  </si>
  <si>
    <t>edda.young@gmail.com</t>
  </si>
  <si>
    <t>lidia.ashley@hotmail.com</t>
  </si>
  <si>
    <t>moira.lester@msn.com</t>
  </si>
  <si>
    <t>(657) 260-6783</t>
  </si>
  <si>
    <t>tony.hicks@gmail.com</t>
  </si>
  <si>
    <t>malinda.baxter@yahoo.com</t>
  </si>
  <si>
    <t>marlo.jefferson@gmail.com</t>
  </si>
  <si>
    <t>tiana.henderson@aol.com</t>
  </si>
  <si>
    <t>wilda.petersen@aol.com</t>
  </si>
  <si>
    <t>irving.pitts@msn.com</t>
  </si>
  <si>
    <t>sheree.pena@yahoo.com</t>
  </si>
  <si>
    <t>(717) 218-5607</t>
  </si>
  <si>
    <t>vance.taylor@msn.com</t>
  </si>
  <si>
    <t>terra.pickett@aol.com</t>
  </si>
  <si>
    <t>faustino.delacruz@msn.com</t>
  </si>
  <si>
    <t>(682) 841-4643</t>
  </si>
  <si>
    <t>julienne.moody@hotmail.com</t>
  </si>
  <si>
    <t>hee.greer@hotmail.com</t>
  </si>
  <si>
    <t>whitney.cash@gmail.com</t>
  </si>
  <si>
    <t>clarita.curry@hotmail.com</t>
  </si>
  <si>
    <t>reita.dickson@hotmail.com</t>
  </si>
  <si>
    <t>rosa.kinney@yahoo.com</t>
  </si>
  <si>
    <t>buford.gilbert@yahoo.com</t>
  </si>
  <si>
    <t>homer.powers@msn.com</t>
  </si>
  <si>
    <t>rudolf.gilliam@aol.com</t>
  </si>
  <si>
    <t>andreas.herman@msn.com</t>
  </si>
  <si>
    <t>max.charles@gmail.com</t>
  </si>
  <si>
    <t>(510) 534-8845</t>
  </si>
  <si>
    <t>tammera.fischer@hotmail.com</t>
  </si>
  <si>
    <t>joshua.robertson@gmail.com</t>
  </si>
  <si>
    <t>larraine.horn@msn.com</t>
  </si>
  <si>
    <t>andreas.mayer@hotmail.com</t>
  </si>
  <si>
    <t>lazaro.moran@gmail.com</t>
  </si>
  <si>
    <t>afton.juarez@gmail.com</t>
  </si>
  <si>
    <t>(845) 804-6312</t>
  </si>
  <si>
    <t>angele.schroeder@yahoo.com</t>
  </si>
  <si>
    <t>ellena.clements@aol.com</t>
  </si>
  <si>
    <t>selene.austin@msn.com</t>
  </si>
  <si>
    <t>(248) 199-2582</t>
  </si>
  <si>
    <t>kimberely.bowen@hotmail.com</t>
  </si>
  <si>
    <t>mia.delgado@yahoo.com</t>
  </si>
  <si>
    <t>(361) 687-9477</t>
  </si>
  <si>
    <t>garret.clay@yahoo.com</t>
  </si>
  <si>
    <t>alejandro.haney@msn.com</t>
  </si>
  <si>
    <t>(562) 719-5041</t>
  </si>
  <si>
    <t>inge.olsen@msn.com</t>
  </si>
  <si>
    <t>christiane.bradford@gmail.com</t>
  </si>
  <si>
    <t>carter.bentley@yahoo.com</t>
  </si>
  <si>
    <t>sherie.ayala@msn.com</t>
  </si>
  <si>
    <t>jamika.acevedo@yahoo.com</t>
  </si>
  <si>
    <t>shery.randolph@hotmail.com</t>
  </si>
  <si>
    <t>lanita.burton@msn.com</t>
  </si>
  <si>
    <t>timothy.byers@msn.com</t>
  </si>
  <si>
    <t>jasmin.young@gmail.com</t>
  </si>
  <si>
    <t>catarina.mendez@hotmail.com</t>
  </si>
  <si>
    <t>tajuana.rollins@msn.com</t>
  </si>
  <si>
    <t>(631) 943-1407</t>
  </si>
  <si>
    <t>thad.castro@msn.com</t>
  </si>
  <si>
    <t>tena.huber@gmail.com</t>
  </si>
  <si>
    <t>dori.alvarez@msn.com</t>
  </si>
  <si>
    <t>(562) 841-9339</t>
  </si>
  <si>
    <t>elmo.arnold@aol.com</t>
  </si>
  <si>
    <t>felicidad.golden@yahoo.com</t>
  </si>
  <si>
    <t>(682) 183-6555</t>
  </si>
  <si>
    <t>jenine.crane@msn.com</t>
  </si>
  <si>
    <t>lea.key@yahoo.com</t>
  </si>
  <si>
    <t>rory.cooper@gmail.com</t>
  </si>
  <si>
    <t>hilde.nieves@gmail.com</t>
  </si>
  <si>
    <t>marry.benjamin@yahoo.com</t>
  </si>
  <si>
    <t>vernell.goff@msn.com</t>
  </si>
  <si>
    <t>erlene.cook@gmail.com</t>
  </si>
  <si>
    <t>carroll.kelly@yahoo.com</t>
  </si>
  <si>
    <t>(631) 592-9548</t>
  </si>
  <si>
    <t>basilia.thornton@hotmail.com</t>
  </si>
  <si>
    <t>tricia.daniels@gmail.com</t>
  </si>
  <si>
    <t>kandace.hughes@hotmail.com</t>
  </si>
  <si>
    <t>alejandro.norman@yahoo.com</t>
  </si>
  <si>
    <t>rodney.odom@yahoo.com</t>
  </si>
  <si>
    <t>bettie.pierce@gmail.com</t>
  </si>
  <si>
    <t>dagny.owen@hotmail.com</t>
  </si>
  <si>
    <t>cinthia.poole@aol.com</t>
  </si>
  <si>
    <t>sheila.travis@yahoo.com</t>
  </si>
  <si>
    <t>arcelia.vinson@gmail.com</t>
  </si>
  <si>
    <t>lucas.estes@yahoo.com</t>
  </si>
  <si>
    <t>marissa.summers@msn.com</t>
  </si>
  <si>
    <t>kaley.blanchard@msn.com</t>
  </si>
  <si>
    <t>wm.pope@msn.com</t>
  </si>
  <si>
    <t>(248) 764-3359</t>
  </si>
  <si>
    <t>rubye.mccall@hotmail.com</t>
  </si>
  <si>
    <t>adriene.rivera@hotmail.com</t>
  </si>
  <si>
    <t>laurence.christian@gmail.com</t>
  </si>
  <si>
    <t>(915) 437-6113</t>
  </si>
  <si>
    <t>shirely.stanley@gmail.com</t>
  </si>
  <si>
    <t>danille.mcfarland@msn.com</t>
  </si>
  <si>
    <t>salena.day@msn.com</t>
  </si>
  <si>
    <t>matilda.larson@hotmail.com</t>
  </si>
  <si>
    <t>(424) 151-6481</t>
  </si>
  <si>
    <t>mellisa.kim@aol.com</t>
  </si>
  <si>
    <t>vonda.berger@yahoo.com</t>
  </si>
  <si>
    <t>soledad.moses@yahoo.com</t>
  </si>
  <si>
    <t>(562) 327-9469</t>
  </si>
  <si>
    <t>lashandra.turner@hotmail.com</t>
  </si>
  <si>
    <t>(915) 789-6666</t>
  </si>
  <si>
    <t>lynne.anderson@msn.com</t>
  </si>
  <si>
    <t>chasidy.webster@msn.com</t>
  </si>
  <si>
    <t>ulysses.gaines@aol.com</t>
  </si>
  <si>
    <t>euna.lopez@gmail.com</t>
  </si>
  <si>
    <t>cherelle.key@msn.com</t>
  </si>
  <si>
    <t>jeffry.church@msn.com</t>
  </si>
  <si>
    <t>cyndi.dyer@msn.com</t>
  </si>
  <si>
    <t>danilo.holmes@gmail.com</t>
  </si>
  <si>
    <t>joni.lee@gmail.com</t>
  </si>
  <si>
    <t>antony.atkinson@msn.com</t>
  </si>
  <si>
    <t>deanne.parsons@aol.com</t>
  </si>
  <si>
    <t>frederica.rojas@yahoo.com</t>
  </si>
  <si>
    <t>emelda.dickerson@aol.com</t>
  </si>
  <si>
    <t>rudolf.moran@gmail.com</t>
  </si>
  <si>
    <t>benito.hendrix@gmail.com</t>
  </si>
  <si>
    <t>jonell.rivas@msn.com</t>
  </si>
  <si>
    <t>(619) 952-9613</t>
  </si>
  <si>
    <t>joi.reeves@msn.com</t>
  </si>
  <si>
    <t>leland.mcdowell@gmail.com</t>
  </si>
  <si>
    <t>delaine.estes@yahoo.com</t>
  </si>
  <si>
    <t>genevieve.juarez@gmail.com</t>
  </si>
  <si>
    <t>kylee.dickson@gmail.com</t>
  </si>
  <si>
    <t>renita.henry@msn.com</t>
  </si>
  <si>
    <t>sarah.kirkland@aol.com</t>
  </si>
  <si>
    <t>paul.lester@gmail.com</t>
  </si>
  <si>
    <t>taisha.vang@yahoo.com</t>
  </si>
  <si>
    <t>eliana.reese@hotmail.com</t>
  </si>
  <si>
    <t>leonore.dorsey@yahoo.com</t>
  </si>
  <si>
    <t>ashleigh.frank@gmail.com</t>
  </si>
  <si>
    <t>gabriel.wagner@msn.com</t>
  </si>
  <si>
    <t>margene.eaton@yahoo.com</t>
  </si>
  <si>
    <t>toshia.cardenas@gmail.com</t>
  </si>
  <si>
    <t>jamika.blanchard@gmail.com</t>
  </si>
  <si>
    <t>shery.acosta@yahoo.com</t>
  </si>
  <si>
    <t>jenna.saunders@aol.com</t>
  </si>
  <si>
    <t>skye.pope@yahoo.com</t>
  </si>
  <si>
    <t>(657) 323-8684</t>
  </si>
  <si>
    <t>ana.palmer@yahoo.com</t>
  </si>
  <si>
    <t>eric.hardin@gmail.com</t>
  </si>
  <si>
    <t>basil.ballard@yahoo.com</t>
  </si>
  <si>
    <t>gabriel.pitts@gmail.com</t>
  </si>
  <si>
    <t>cayla.johnson@msn.com</t>
  </si>
  <si>
    <t>(562) 452-6136</t>
  </si>
  <si>
    <t>sharika.colon@gmail.com</t>
  </si>
  <si>
    <t>donnetta.henson@hotmail.com</t>
  </si>
  <si>
    <t>leigh.burke@hotmail.com</t>
  </si>
  <si>
    <t>deloris.larson@aol.com</t>
  </si>
  <si>
    <t>ehtel.cobb@hotmail.com</t>
  </si>
  <si>
    <t>(716) 601-7704</t>
  </si>
  <si>
    <t>evelina.byrd@msn.com</t>
  </si>
  <si>
    <t>zulema.browning@gmail.com</t>
  </si>
  <si>
    <t>tressa.weiss@msn.com</t>
  </si>
  <si>
    <t>yvette.rogers@aol.com</t>
  </si>
  <si>
    <t>(657) 378-8011</t>
  </si>
  <si>
    <t>kiara.deleon@gmail.com</t>
  </si>
  <si>
    <t>taylor.cole@gmail.com</t>
  </si>
  <si>
    <t>myrtie.james@yahoo.com</t>
  </si>
  <si>
    <t>ashton.lott@hotmail.com</t>
  </si>
  <si>
    <t>kara.higgins@aol.com</t>
  </si>
  <si>
    <t>tomeka.higgins@msn.com</t>
  </si>
  <si>
    <t>ronald.parsons@msn.com</t>
  </si>
  <si>
    <t>(845) 276-5729</t>
  </si>
  <si>
    <t>allison.nolan@gmail.com</t>
  </si>
  <si>
    <t>derrick.marks@yahoo.com</t>
  </si>
  <si>
    <t>yang.roth@aol.com</t>
  </si>
  <si>
    <t>melba.wilkinson@gmail.com</t>
  </si>
  <si>
    <t>valentin.mclaughlin@hotmail.com</t>
  </si>
  <si>
    <t>(631) 871-2512</t>
  </si>
  <si>
    <t>lewis.garner@gmail.com</t>
  </si>
  <si>
    <t>ann.heath@msn.com</t>
  </si>
  <si>
    <t>janelle.maldonado@gmail.com</t>
  </si>
  <si>
    <t>catrice.hicks@yahoo.com</t>
  </si>
  <si>
    <t>eli.contreras@hotmail.com</t>
  </si>
  <si>
    <t>rita.bailey@hotmail.com</t>
  </si>
  <si>
    <t>laure.pena@yahoo.com</t>
  </si>
  <si>
    <t>(248) 767-4165</t>
  </si>
  <si>
    <t>tilda.melton@msn.com</t>
  </si>
  <si>
    <t>florencio.davenport@yahoo.com</t>
  </si>
  <si>
    <t>(619) 378-2432</t>
  </si>
  <si>
    <t>eun.harris@gmail.com</t>
  </si>
  <si>
    <t>marylyn.browning@msn.com</t>
  </si>
  <si>
    <t>romana.barnes@yahoo.com</t>
  </si>
  <si>
    <t>sam.lester@gmail.com</t>
  </si>
  <si>
    <t>nicki.larson@yahoo.com</t>
  </si>
  <si>
    <t>antonetta.rocha@yahoo.com</t>
  </si>
  <si>
    <t>shara.pope@msn.com</t>
  </si>
  <si>
    <t>trena.hudson@hotmail.com</t>
  </si>
  <si>
    <t>loraine.sykes@yahoo.com</t>
  </si>
  <si>
    <t>alissa.hood@gmail.com</t>
  </si>
  <si>
    <t>augustus.schmidt@msn.com</t>
  </si>
  <si>
    <t>(510) 194-5117</t>
  </si>
  <si>
    <t>stacie.sims@hotmail.com</t>
  </si>
  <si>
    <t>brittni.green@msn.com</t>
  </si>
  <si>
    <t>etsuko.garrison@yahoo.com</t>
  </si>
  <si>
    <t>calandra.stanton@aol.com</t>
  </si>
  <si>
    <t>willis.randolph@yahoo.com</t>
  </si>
  <si>
    <t>shawnda.glover@gmail.com</t>
  </si>
  <si>
    <t>jennette.baker@gmail.com</t>
  </si>
  <si>
    <t>elma.molina@msn.com</t>
  </si>
  <si>
    <t>adam.henderson@hotmail.com</t>
  </si>
  <si>
    <t>ira.moore@gmail.com</t>
  </si>
  <si>
    <t>(915) 996-5952</t>
  </si>
  <si>
    <t>kermit.bowman@gmail.com</t>
  </si>
  <si>
    <t>gayle.wilkinson@yahoo.com</t>
  </si>
  <si>
    <t>launa.hull@yahoo.com</t>
  </si>
  <si>
    <t>myron.johns@msn.com</t>
  </si>
  <si>
    <t>tuan.wolfe@aol.com</t>
  </si>
  <si>
    <t>(845) 407-9524</t>
  </si>
  <si>
    <t>mathilda.pennington@gmail.com</t>
  </si>
  <si>
    <t>reatha.perez@aol.com</t>
  </si>
  <si>
    <t>arnita.thomas@gmail.com</t>
  </si>
  <si>
    <t>amparo.burks@aol.com</t>
  </si>
  <si>
    <t>jenny.bell@hotmail.com</t>
  </si>
  <si>
    <t>laverne.craft@aol.com</t>
  </si>
  <si>
    <t>darcel.harmon@msn.com</t>
  </si>
  <si>
    <t>cecilia.camacho@yahoo.com</t>
  </si>
  <si>
    <t>pearlie.cochran@msn.com</t>
  </si>
  <si>
    <t>deirdre.ryan@yahoo.com</t>
  </si>
  <si>
    <t>yevette.elliott@aol.com</t>
  </si>
  <si>
    <t>(281) 165-2090</t>
  </si>
  <si>
    <t>ladawn.downs@yahoo.com</t>
  </si>
  <si>
    <t>dorothea.chang@gmail.com</t>
  </si>
  <si>
    <t>(516) 150-1321</t>
  </si>
  <si>
    <t>merlin.foreman@msn.com</t>
  </si>
  <si>
    <t>lanie.dunn@gmail.com</t>
  </si>
  <si>
    <t>christoper.gould@aol.com</t>
  </si>
  <si>
    <t>norine.huffman@aol.com</t>
  </si>
  <si>
    <t>(619) 377-8586</t>
  </si>
  <si>
    <t>alane.mccarty@hotmail.com</t>
  </si>
  <si>
    <t>charleen.joyner@aol.com</t>
  </si>
  <si>
    <t>zella.fernandez@yahoo.com</t>
  </si>
  <si>
    <t>(361) 760-1523</t>
  </si>
  <si>
    <t>collene.knox@msn.com</t>
  </si>
  <si>
    <t>(805) 493-7311</t>
  </si>
  <si>
    <t>alysia.nicholson@hotmail.com</t>
  </si>
  <si>
    <t>sharie.whitaker@hotmail.com</t>
  </si>
  <si>
    <t>diana.cobb@hotmail.com</t>
  </si>
  <si>
    <t>(661) 386-4884</t>
  </si>
  <si>
    <t>morton.barron@msn.com</t>
  </si>
  <si>
    <t>camille.harvey@hotmail.com</t>
  </si>
  <si>
    <t>lolita.o'neill@aol.com</t>
  </si>
  <si>
    <t>terese.briggs@msn.com</t>
  </si>
  <si>
    <t>majorie.glover@msn.com</t>
  </si>
  <si>
    <t>vinnie.chan@aol.com</t>
  </si>
  <si>
    <t>ezra.silva@msn.com</t>
  </si>
  <si>
    <t>jovita.bishop@aol.com</t>
  </si>
  <si>
    <t>kecia.olsen@msn.com</t>
  </si>
  <si>
    <t>ilona.spears@gmail.com</t>
  </si>
  <si>
    <t>senaida.thompson@msn.com</t>
  </si>
  <si>
    <t>larae.carney@msn.com</t>
  </si>
  <si>
    <t>sebrina.hart@yahoo.com</t>
  </si>
  <si>
    <t>kristofer.craig@yahoo.com</t>
  </si>
  <si>
    <t>luciana.mcgee@msn.com</t>
  </si>
  <si>
    <t>nicki.fry@hotmail.com</t>
  </si>
  <si>
    <t>(507) 557-2191</t>
  </si>
  <si>
    <t>devin.shaffer@gmail.com</t>
  </si>
  <si>
    <t>erlinda.osborne@yahoo.com</t>
  </si>
  <si>
    <t>(210) 436-8676</t>
  </si>
  <si>
    <t>camila.carroll@yahoo.com</t>
  </si>
  <si>
    <t>vicki.wiggins@hotmail.com</t>
  </si>
  <si>
    <t>lois.steele@yahoo.com</t>
  </si>
  <si>
    <t>carola.mcpherson@hotmail.com</t>
  </si>
  <si>
    <t>rochell.cantrell@yahoo.com</t>
  </si>
  <si>
    <t>kasha.sullivan@hotmail.com</t>
  </si>
  <si>
    <t>viva.dawson@yahoo.com</t>
  </si>
  <si>
    <t>hue.dalton@hotmail.com</t>
  </si>
  <si>
    <t>andria.rivers@aol.com</t>
  </si>
  <si>
    <t>(805) 753-6881</t>
  </si>
  <si>
    <t>hilary.savage@yahoo.com</t>
  </si>
  <si>
    <t>lavona.austin@yahoo.com</t>
  </si>
  <si>
    <t>doreatha.ford@yahoo.com</t>
  </si>
  <si>
    <t>alina.mcleod@msn.com</t>
  </si>
  <si>
    <t>aide.franco@msn.com</t>
  </si>
  <si>
    <t>genny.hensley@yahoo.com</t>
  </si>
  <si>
    <t>melita.dominguez@msn.com</t>
  </si>
  <si>
    <t>(805) 774-5696</t>
  </si>
  <si>
    <t>fannie.jenkins@msn.com</t>
  </si>
  <si>
    <t>bobbi.banks@yahoo.com</t>
  </si>
  <si>
    <t>gwenn.melton@yahoo.com</t>
  </si>
  <si>
    <t>laci.castro@hotmail.com</t>
  </si>
  <si>
    <t>evelina.manning@aol.com</t>
  </si>
  <si>
    <t>tania.swanson@yahoo.com</t>
  </si>
  <si>
    <t>laurel.schultz@hotmail.com</t>
  </si>
  <si>
    <t>carolyne.conley@gmail.com</t>
  </si>
  <si>
    <t>eldridge.greer@aol.com</t>
  </si>
  <si>
    <t>margret.barnett@gmail.com</t>
  </si>
  <si>
    <t>oliva.blackwell@hotmail.com</t>
  </si>
  <si>
    <t>oralia.farley@hotmail.com</t>
  </si>
  <si>
    <t>romaine.salazar@yahoo.com</t>
  </si>
  <si>
    <t>hermila.mckay@yahoo.com</t>
  </si>
  <si>
    <t>lloyd.miranda@hotmail.com</t>
  </si>
  <si>
    <t>mandi.gibbs@gmail.com</t>
  </si>
  <si>
    <t>hue.may@aol.com</t>
  </si>
  <si>
    <t>tomika.wilder@aol.com</t>
  </si>
  <si>
    <t>graig.roth@aol.com</t>
  </si>
  <si>
    <t>lamar.greer@gmail.com</t>
  </si>
  <si>
    <t>raymonde.garcia@aol.com</t>
  </si>
  <si>
    <t>(510) 788-4456</t>
  </si>
  <si>
    <t>cira.downs@gmail.com</t>
  </si>
  <si>
    <t>marisa.chambers@msn.com</t>
  </si>
  <si>
    <t>rod.hatfield@hotmail.com</t>
  </si>
  <si>
    <t>quyen.houston@gmail.com</t>
  </si>
  <si>
    <t>han.schneider@gmail.com</t>
  </si>
  <si>
    <t>terrell.mathis@aol.com</t>
  </si>
  <si>
    <t>spring.hayes@hotmail.com</t>
  </si>
  <si>
    <t>lecia.hancock@hotmail.com</t>
  </si>
  <si>
    <t>(657) 988-1904</t>
  </si>
  <si>
    <t>twana.arnold@msn.com</t>
  </si>
  <si>
    <t>yvone.yates@gmail.com</t>
  </si>
  <si>
    <t>agatha.melton@yahoo.com</t>
  </si>
  <si>
    <t>lavonda.stephenson@gmail.com</t>
  </si>
  <si>
    <t>(716) 780-9901</t>
  </si>
  <si>
    <t>agnes.sims@aol.com</t>
  </si>
  <si>
    <t>latricia.lindsey@hotmail.com</t>
  </si>
  <si>
    <t>yolando.wade@hotmail.com</t>
  </si>
  <si>
    <t>nenita.mooney@hotmail.com</t>
  </si>
  <si>
    <t>kermit.hyde@hotmail.com</t>
  </si>
  <si>
    <t>angelique.merrill@gmail.com</t>
  </si>
  <si>
    <t>ilda.roberson@aol.com</t>
  </si>
  <si>
    <t>corrinne.garrison@yahoo.com</t>
  </si>
  <si>
    <t>major.merrill@aol.com</t>
  </si>
  <si>
    <t>ouida.gregory@aol.com</t>
  </si>
  <si>
    <t>tajuana.riddle@hotmail.com</t>
  </si>
  <si>
    <t>ricki.bullock@hotmail.com</t>
  </si>
  <si>
    <t>(717) 890-4260</t>
  </si>
  <si>
    <t>celestine.kent@aol.com</t>
  </si>
  <si>
    <t>debbra.jacobson@yahoo.com</t>
  </si>
  <si>
    <t>kandis.mills@hotmail.com</t>
  </si>
  <si>
    <t>wallace.lane@aol.com</t>
  </si>
  <si>
    <t>malisa.mitchell@msn.com</t>
  </si>
  <si>
    <t>lilliam.nolan@msn.com</t>
  </si>
  <si>
    <t>tad.gardner@hotmail.com</t>
  </si>
  <si>
    <t>petronila.gallegos@gmail.com</t>
  </si>
  <si>
    <t>yun.nelson@hotmail.com</t>
  </si>
  <si>
    <t>edgar.horn@aol.com</t>
  </si>
  <si>
    <t>chantay.maynard@gmail.com</t>
  </si>
  <si>
    <t>donette.mccarthy@yahoo.com</t>
  </si>
  <si>
    <t>mariam.miranda@aol.com</t>
  </si>
  <si>
    <t>rosalie.coffey@gmail.com</t>
  </si>
  <si>
    <t>cathey.lamb@msn.com</t>
  </si>
  <si>
    <t>alyse.jacobson@yahoo.com</t>
  </si>
  <si>
    <t>india.barron@msn.com</t>
  </si>
  <si>
    <t>cris.dunn@yahoo.com</t>
  </si>
  <si>
    <t>ophelia.rodgers@gmail.com</t>
  </si>
  <si>
    <t>barrett.sanders@aol.com</t>
  </si>
  <si>
    <t>bernardina.cooper@msn.com</t>
  </si>
  <si>
    <t>douglas.richards@hotmail.com</t>
  </si>
  <si>
    <t>phillis.fowler@aol.com</t>
  </si>
  <si>
    <t>reyes.merritt@yahoo.com</t>
  </si>
  <si>
    <t>nathalie.knowles@aol.com</t>
  </si>
  <si>
    <t>vallie.dixon@yahoo.com</t>
  </si>
  <si>
    <t>elnora.simpson@yahoo.com</t>
  </si>
  <si>
    <t>(281) 941-4933</t>
  </si>
  <si>
    <t>ivelisse.nixon@aol.com</t>
  </si>
  <si>
    <t>shanti.johnston@gmail.com</t>
  </si>
  <si>
    <t>martha.burgess@msn.com</t>
  </si>
  <si>
    <t>neville.mcclain@yahoo.com</t>
  </si>
  <si>
    <t>ghislaine.compton@aol.com</t>
  </si>
  <si>
    <t>leanna.manning@yahoo.com</t>
  </si>
  <si>
    <t>marshall.johnson@yahoo.com</t>
  </si>
  <si>
    <t>(717) 428-4018</t>
  </si>
  <si>
    <t>zelda.pratt@gmail.com</t>
  </si>
  <si>
    <t>(619) 210-6032</t>
  </si>
  <si>
    <t>joel.wynn@aol.com</t>
  </si>
  <si>
    <t>yahaira.robertson@yahoo.com</t>
  </si>
  <si>
    <t>sandy.mills@gmail.com</t>
  </si>
  <si>
    <t>cassidy.clark@hotmail.com</t>
  </si>
  <si>
    <t>kristy.watkins@gmail.com</t>
  </si>
  <si>
    <t>tina.bush@aol.com</t>
  </si>
  <si>
    <t>veronika.rollins@yahoo.com</t>
  </si>
  <si>
    <t>kristel.byrd@hotmail.com</t>
  </si>
  <si>
    <t>shay.stephenson@aol.com</t>
  </si>
  <si>
    <t>george.pickett@msn.com</t>
  </si>
  <si>
    <t>renato.morton@msn.com</t>
  </si>
  <si>
    <t>marcy.rodriguez@gmail.com</t>
  </si>
  <si>
    <t>edmund.gaines@gmail.com</t>
  </si>
  <si>
    <t>lory.berg@aol.com</t>
  </si>
  <si>
    <t>pamala.fowler@gmail.com</t>
  </si>
  <si>
    <t>leone.emerson@msn.com</t>
  </si>
  <si>
    <t>brain.skinner@hotmail.com</t>
  </si>
  <si>
    <t>roseanne.maynard@yahoo.com</t>
  </si>
  <si>
    <t>corinna.adams@msn.com</t>
  </si>
  <si>
    <t>kellye.campbell@gmail.com</t>
  </si>
  <si>
    <t>erna.sloan@aol.com</t>
  </si>
  <si>
    <t>carolann.russell@hotmail.com</t>
  </si>
  <si>
    <t>gilbert.calhoun@msn.com</t>
  </si>
  <si>
    <t>manie.maxwell@gmail.com</t>
  </si>
  <si>
    <t>giselle.robles@hotmail.com</t>
  </si>
  <si>
    <t>tessie.farmer@msn.com</t>
  </si>
  <si>
    <t>felica.munoz@aol.com</t>
  </si>
  <si>
    <t>kathyrn.bush@gmail.com</t>
  </si>
  <si>
    <t>sylvester.chan@hotmail.com</t>
  </si>
  <si>
    <t>lizette.ellison@hotmail.com</t>
  </si>
  <si>
    <t>ernestina.skinner@hotmail.com</t>
  </si>
  <si>
    <t>phyllis.hill@yahoo.com</t>
  </si>
  <si>
    <t>stephanie.browning@yahoo.com</t>
  </si>
  <si>
    <t>arlena.buckner@hotmail.com</t>
  </si>
  <si>
    <t>lezlie.thompson@yahoo.com</t>
  </si>
  <si>
    <t>brittney.rojas@aol.com</t>
  </si>
  <si>
    <t>(212) 325-9145</t>
  </si>
  <si>
    <t>phylis.adkins@msn.com</t>
  </si>
  <si>
    <t>lean.stark@msn.com</t>
  </si>
  <si>
    <t>lara.guy@aol.com</t>
  </si>
  <si>
    <t>inga.koch@msn.com</t>
  </si>
  <si>
    <t>klara.kim@gmail.com</t>
  </si>
  <si>
    <t>julianne.shannon@hotmail.com</t>
  </si>
  <si>
    <t>loni.mullen@msn.com</t>
  </si>
  <si>
    <t>olympia.figueroa@hotmail.com</t>
  </si>
  <si>
    <t>mellie.puckett@yahoo.com</t>
  </si>
  <si>
    <t>shonta.preston@msn.com</t>
  </si>
  <si>
    <t>(716) 382-5169</t>
  </si>
  <si>
    <t>lore.sykes@aol.com</t>
  </si>
  <si>
    <t>julia.joyner@msn.com</t>
  </si>
  <si>
    <t>lynwood.jackson@aol.com</t>
  </si>
  <si>
    <t>rosalva.hamilton@aol.com</t>
  </si>
  <si>
    <t>(408) 761-9212</t>
  </si>
  <si>
    <t>domingo.casey@msn.com</t>
  </si>
  <si>
    <t>rodrigo.durham@aol.com</t>
  </si>
  <si>
    <t>dwain.carlson@gmail.com</t>
  </si>
  <si>
    <t>erlinda.humphrey@hotmail.com</t>
  </si>
  <si>
    <t>(361) 219-2149</t>
  </si>
  <si>
    <t>silas.tate@yahoo.com</t>
  </si>
  <si>
    <t>patience.clayton@hotmail.com</t>
  </si>
  <si>
    <t>mila.good@yahoo.com</t>
  </si>
  <si>
    <t>tanesha.sawyer@aol.com</t>
  </si>
  <si>
    <t>onita.macdonald@yahoo.com</t>
  </si>
  <si>
    <t>janine.manning@gmail.com</t>
  </si>
  <si>
    <t>melodie.melton@yahoo.com</t>
  </si>
  <si>
    <t>ethelyn.ray@yahoo.com</t>
  </si>
  <si>
    <t>phebe.turner@aol.com</t>
  </si>
  <si>
    <t>chloe.patel@yahoo.com</t>
  </si>
  <si>
    <t>hilda.harvey@gmail.com</t>
  </si>
  <si>
    <t>(915) 903-7860</t>
  </si>
  <si>
    <t>gilberte.duke@gmail.com</t>
  </si>
  <si>
    <t>willian.hardin@msn.com</t>
  </si>
  <si>
    <t>janna.hayden@msn.com</t>
  </si>
  <si>
    <t>letisha.may@yahoo.com</t>
  </si>
  <si>
    <t>graig.cannon@gmail.com</t>
  </si>
  <si>
    <t>coleen.navarro@aol.com</t>
  </si>
  <si>
    <t>lucilla.williams@hotmail.com</t>
  </si>
  <si>
    <t>rosanne.george@yahoo.com</t>
  </si>
  <si>
    <t>ashlie.parrish@hotmail.com</t>
  </si>
  <si>
    <t>alissa.craft@hotmail.com</t>
  </si>
  <si>
    <t>letty.cobb@msn.com</t>
  </si>
  <si>
    <t>nathaniel.richard@gmail.com</t>
  </si>
  <si>
    <t>elaina.key@msn.com</t>
  </si>
  <si>
    <t>(845) 724-2996</t>
  </si>
  <si>
    <t>stefani.gamble@aol.com</t>
  </si>
  <si>
    <t>(717) 746-6658</t>
  </si>
  <si>
    <t>bettyann.acosta@gmail.com</t>
  </si>
  <si>
    <t>(281) 529-3469</t>
  </si>
  <si>
    <t>crysta.velez@yahoo.com</t>
  </si>
  <si>
    <t>carisa.carpenter@hotmail.com</t>
  </si>
  <si>
    <t>jule.davenport@aol.com</t>
  </si>
  <si>
    <t>lonna.franks@yahoo.com</t>
  </si>
  <si>
    <t>elease.dejesus@gmail.com</t>
  </si>
  <si>
    <t>maira.long@msn.com</t>
  </si>
  <si>
    <t>(408) 624-8137</t>
  </si>
  <si>
    <t>jana.thomas@yahoo.com</t>
  </si>
  <si>
    <t>hae.ramirez@hotmail.com</t>
  </si>
  <si>
    <t>erik.leblanc@aol.com</t>
  </si>
  <si>
    <t>daina.sampson@msn.com</t>
  </si>
  <si>
    <t>delmar.wise@yahoo.com</t>
  </si>
  <si>
    <t>alita.salinas@hotmail.com</t>
  </si>
  <si>
    <t>elenore.william@msn.com</t>
  </si>
  <si>
    <t>nikita.roy@aol.com</t>
  </si>
  <si>
    <t>inocencia.key@hotmail.com</t>
  </si>
  <si>
    <t>liliana.kerr@yahoo.com</t>
  </si>
  <si>
    <t>hortencia.o'neil@hotmail.com</t>
  </si>
  <si>
    <t>(916) 422-6956</t>
  </si>
  <si>
    <t>beryl.bennett@aol.com</t>
  </si>
  <si>
    <t>alishia.elliott@aol.com</t>
  </si>
  <si>
    <t>(248) 206-3697</t>
  </si>
  <si>
    <t>vernia.madden@aol.com</t>
  </si>
  <si>
    <t>kristel.bullock@yahoo.com</t>
  </si>
  <si>
    <t>ruthanne.hoover@aol.com</t>
  </si>
  <si>
    <t>james.robles@aol.com</t>
  </si>
  <si>
    <t>evelin.vargas@msn.com</t>
  </si>
  <si>
    <t>elvia.cardenas@hotmail.com</t>
  </si>
  <si>
    <t>randee.pitts@msn.com</t>
  </si>
  <si>
    <t>lea.irwin@gmail.com</t>
  </si>
  <si>
    <t>bryce.monroe@aol.com</t>
  </si>
  <si>
    <t>(661) 464-1523</t>
  </si>
  <si>
    <t>katina.mcintosh@yahoo.com</t>
  </si>
  <si>
    <t>(212) 652-7198</t>
  </si>
  <si>
    <t>guillermo.hart@hotmail.com</t>
  </si>
  <si>
    <t>joann.barber@gmail.com</t>
  </si>
  <si>
    <t>thurman.ellis@gmail.com</t>
  </si>
  <si>
    <t>delana.wagner@aol.com</t>
  </si>
  <si>
    <t>porter.bass@hotmail.com</t>
  </si>
  <si>
    <t>yvonne.bean@yahoo.com</t>
  </si>
  <si>
    <t>lurline.rivers@msn.com</t>
  </si>
  <si>
    <t>ocie.slater@msn.com</t>
  </si>
  <si>
    <t>genevie.miles@aol.com</t>
  </si>
  <si>
    <t>sherilyn.wilcox@gmail.com</t>
  </si>
  <si>
    <t>aida.koch@gmail.com</t>
  </si>
  <si>
    <t>(507) 606-2192</t>
  </si>
  <si>
    <t>emory.o'connor@gmail.com</t>
  </si>
  <si>
    <t>(361) 164-3098</t>
  </si>
  <si>
    <t>maximina.hutchinson@hotmail.com</t>
  </si>
  <si>
    <t>marina.hinton@yahoo.com</t>
  </si>
  <si>
    <t>danyell.dickerson@msn.com</t>
  </si>
  <si>
    <t>(717) 653-1755</t>
  </si>
  <si>
    <t>davis.long@msn.com</t>
  </si>
  <si>
    <t>lynn.mcmahon@msn.com</t>
  </si>
  <si>
    <t>tonja.henderson@aol.com</t>
  </si>
  <si>
    <t>krissy.ochoa@msn.com</t>
  </si>
  <si>
    <t>angella.bridges@yahoo.com</t>
  </si>
  <si>
    <t>angele.castro@yahoo.com</t>
  </si>
  <si>
    <t>siobhan.lang@gmail.com</t>
  </si>
  <si>
    <t>venessa.frost@msn.com</t>
  </si>
  <si>
    <t>(507) 115-1633</t>
  </si>
  <si>
    <t>verna.solis@yahoo.com</t>
  </si>
  <si>
    <t>steve.bender@gmail.com</t>
  </si>
  <si>
    <t>aileen.marquez@msn.com</t>
  </si>
  <si>
    <t>kattie.stevenson@aol.com</t>
  </si>
  <si>
    <t>hassan.nash@yahoo.com</t>
  </si>
  <si>
    <t>delfina.gilliam@hotmail.com</t>
  </si>
  <si>
    <t>venus.hewitt@msn.com</t>
  </si>
  <si>
    <t>(657) 288-3778</t>
  </si>
  <si>
    <t>stephen.vega@msn.com</t>
  </si>
  <si>
    <t>ciera.koch@gmail.com</t>
  </si>
  <si>
    <t>(916) 679-3547</t>
  </si>
  <si>
    <t>christel.barber@hotmail.com</t>
  </si>
  <si>
    <t>(516) 792-3395</t>
  </si>
  <si>
    <t>arline.lawson@gmail.com</t>
  </si>
  <si>
    <t>iva.wilcox@aol.com</t>
  </si>
  <si>
    <t>maple.griffin@gmail.com</t>
  </si>
  <si>
    <t>anisha.lang@aol.com</t>
  </si>
  <si>
    <t>(361) 981-8725</t>
  </si>
  <si>
    <t>brent.calderon@aol.com</t>
  </si>
  <si>
    <t>margit.osborn@yahoo.com</t>
  </si>
  <si>
    <t>novella.patel@gmail.com</t>
  </si>
  <si>
    <t>laurette.hebert@msn.com</t>
  </si>
  <si>
    <t>jonna.brown@aol.com</t>
  </si>
  <si>
    <t>(507) 421-7354</t>
  </si>
  <si>
    <t>jennell.solis@hotmail.com</t>
  </si>
  <si>
    <t>ruth.horton@gmail.com</t>
  </si>
  <si>
    <t>(631) 151-4988</t>
  </si>
  <si>
    <t>samual.warner@gmail.com</t>
  </si>
  <si>
    <t>(562) 924-3079</t>
  </si>
  <si>
    <t>damian.mills@yahoo.com</t>
  </si>
  <si>
    <t>margaretta.clayton@yahoo.com</t>
  </si>
  <si>
    <t>marcell.barrett@gmail.com</t>
  </si>
  <si>
    <t>(424) 352-6275</t>
  </si>
  <si>
    <t>annis.sanchez@aol.com</t>
  </si>
  <si>
    <t>ayanna.cherry@yahoo.com</t>
  </si>
  <si>
    <t>barton.cox@yahoo.com</t>
  </si>
  <si>
    <t>diana.reyes@msn.com</t>
  </si>
  <si>
    <t>ingeborg.ellison@yahoo.com</t>
  </si>
  <si>
    <t>carter.booth@msn.com</t>
  </si>
  <si>
    <t>(562) 342-8083</t>
  </si>
  <si>
    <t>christel.cardenas@aol.com</t>
  </si>
  <si>
    <t>orval.hunter@aol.com</t>
  </si>
  <si>
    <t>marguerite.berger@aol.com</t>
  </si>
  <si>
    <t>ivette.warren@gmail.com</t>
  </si>
  <si>
    <t>milagros.weber@hotmail.com</t>
  </si>
  <si>
    <t>marcel.lindsay@hotmail.com</t>
  </si>
  <si>
    <t>louis.powell@aol.com</t>
  </si>
  <si>
    <t>vanda.holmes@aol.com</t>
  </si>
  <si>
    <t>loreen.byers@yahoo.com</t>
  </si>
  <si>
    <t>casimira.chapman@yahoo.com</t>
  </si>
  <si>
    <t>brigida.larson@hotmail.com</t>
  </si>
  <si>
    <t>chere.alston@gmail.com</t>
  </si>
  <si>
    <t>giovanna.jefferson@gmail.com</t>
  </si>
  <si>
    <t>demarcus.reese@gmail.com</t>
  </si>
  <si>
    <t>amina.salazar@aol.com</t>
  </si>
  <si>
    <t>serafina.clemons@gmail.com</t>
  </si>
  <si>
    <t>trinidad.mcclain@msn.com</t>
  </si>
  <si>
    <t>heather.chaney@yahoo.com</t>
  </si>
  <si>
    <t>latoya.johns@hotmail.com</t>
  </si>
  <si>
    <t>shiloh.reeves@msn.com</t>
  </si>
  <si>
    <t>(631) 913-6967</t>
  </si>
  <si>
    <t>lee.roman@gmail.com</t>
  </si>
  <si>
    <t>cami.williamson@hotmail.com</t>
  </si>
  <si>
    <t>sharell.ross@msn.com</t>
  </si>
  <si>
    <t>jerald.blackwell@hotmail.com</t>
  </si>
  <si>
    <t>ruthanne.franco@yahoo.com</t>
  </si>
  <si>
    <t>marjory.leonard@msn.com</t>
  </si>
  <si>
    <t>jimmy.russell@hotmail.com</t>
  </si>
  <si>
    <t>berneice.pollard@hotmail.com</t>
  </si>
  <si>
    <t>deangelo.cooley@aol.com</t>
  </si>
  <si>
    <t>katia.henry@msn.com</t>
  </si>
  <si>
    <t>sebrina.gross@yahoo.com</t>
  </si>
  <si>
    <t>josephine.dale@aol.com</t>
  </si>
  <si>
    <t>alma.peck@aol.com</t>
  </si>
  <si>
    <t>ling.newman@msn.com</t>
  </si>
  <si>
    <t>nichelle.rosario@hotmail.com</t>
  </si>
  <si>
    <t>(212) 578-2912</t>
  </si>
  <si>
    <t>shenna.benton@msn.com</t>
  </si>
  <si>
    <t>(510) 533-4262</t>
  </si>
  <si>
    <t>philip.bryan@hotmail.com</t>
  </si>
  <si>
    <t>carita.salinas@yahoo.com</t>
  </si>
  <si>
    <t>janie.herrera@gmail.com</t>
  </si>
  <si>
    <t>lorraine.marks@msn.com</t>
  </si>
  <si>
    <t>nicolas.carlson@yahoo.com</t>
  </si>
  <si>
    <t>hye.mercer@gmail.com</t>
  </si>
  <si>
    <t>adena.blake@hotmail.com</t>
  </si>
  <si>
    <t>(915) 607-6336</t>
  </si>
  <si>
    <t>coleman.boyd@yahoo.com</t>
  </si>
  <si>
    <t>daphine.willis@msn.com</t>
  </si>
  <si>
    <t>jenine.dawson@msn.com</t>
  </si>
  <si>
    <t>shanita.wiley@yahoo.com</t>
  </si>
  <si>
    <t>shanna.bonner@msn.com</t>
  </si>
  <si>
    <t>ping.quinn@gmail.com</t>
  </si>
  <si>
    <t>saran.moses@yahoo.com</t>
  </si>
  <si>
    <t>tonja.bean@aol.com</t>
  </si>
  <si>
    <t>vernon.knowles@yahoo.com</t>
  </si>
  <si>
    <t>jeannette.skinner@yahoo.com</t>
  </si>
  <si>
    <t>rico.salas@msn.com</t>
  </si>
  <si>
    <t>tangela.hurley@msn.com</t>
  </si>
  <si>
    <t>randee.lester@gmail.com</t>
  </si>
  <si>
    <t>ashanti.hammond@msn.com</t>
  </si>
  <si>
    <t>garry.juarez@hotmail.com</t>
  </si>
  <si>
    <t>bee.baker@aol.com</t>
  </si>
  <si>
    <t>shantae.hammond@hotmail.com</t>
  </si>
  <si>
    <t>bettye.espinoza@yahoo.com</t>
  </si>
  <si>
    <t>larissa.hays@aol.com</t>
  </si>
  <si>
    <t>diane.jones@gmail.com</t>
  </si>
  <si>
    <t>zenia.bruce@aol.com</t>
  </si>
  <si>
    <t>pasquale.hogan@aol.com</t>
  </si>
  <si>
    <t>dane.mcdaniel@hotmail.com</t>
  </si>
  <si>
    <t>jamaal.baker@hotmail.com</t>
  </si>
  <si>
    <t>ji.burt@hotmail.com</t>
  </si>
  <si>
    <t>marcelino.mcbride@hotmail.com</t>
  </si>
  <si>
    <t>rozella.fitzgerald@yahoo.com</t>
  </si>
  <si>
    <t>tonisha.fowler@msn.com</t>
  </si>
  <si>
    <t>(916) 192-3196</t>
  </si>
  <si>
    <t>zora.ford@gmail.com</t>
  </si>
  <si>
    <t>parthenia.figueroa@msn.com</t>
  </si>
  <si>
    <t>arielle.levine@yahoo.com</t>
  </si>
  <si>
    <t>hildegarde.christensen@hotmail.com</t>
  </si>
  <si>
    <t>rebbecca.espinoza@hotmail.com</t>
  </si>
  <si>
    <t>conchita.boone@gmail.com</t>
  </si>
  <si>
    <t>aisha.woods@gmail.com</t>
  </si>
  <si>
    <t>season.harvey@yahoo.com</t>
  </si>
  <si>
    <t>(717) 634-4113</t>
  </si>
  <si>
    <t>tommie.cooley@yahoo.com</t>
  </si>
  <si>
    <t>alanna.barry@yahoo.com</t>
  </si>
  <si>
    <t>jerri.guthrie@msn.com</t>
  </si>
  <si>
    <t>tammy.austin@yahoo.com</t>
  </si>
  <si>
    <t>patsy.russo@gmail.com</t>
  </si>
  <si>
    <t>desiree.branch@msn.com</t>
  </si>
  <si>
    <t>(657) 256-2008</t>
  </si>
  <si>
    <t>raeann.duncan@aol.com</t>
  </si>
  <si>
    <t>lillia.gillespie@hotmail.com</t>
  </si>
  <si>
    <t>doris.kaufman@gmail.com</t>
  </si>
  <si>
    <t>rodolfo.buck@gmail.com</t>
  </si>
  <si>
    <t>olimpia.mays@aol.com</t>
  </si>
  <si>
    <t>shemeka.lyons@msn.com</t>
  </si>
  <si>
    <t>maryalice.henry@msn.com</t>
  </si>
  <si>
    <t>leeanne.cross@yahoo.com</t>
  </si>
  <si>
    <t>lanelle.guerra@yahoo.com</t>
  </si>
  <si>
    <t>dann.huff@gmail.com</t>
  </si>
  <si>
    <t>sherise.mercer@gmail.com</t>
  </si>
  <si>
    <t>heather.perry@gmail.com</t>
  </si>
  <si>
    <t>theresia.barron@aol.com</t>
  </si>
  <si>
    <t>cindi.ellis@yahoo.com</t>
  </si>
  <si>
    <t>mirella.duffy@yahoo.com</t>
  </si>
  <si>
    <t>carson.macias@gmail.com</t>
  </si>
  <si>
    <t>(562) 264-3998</t>
  </si>
  <si>
    <t>divina.madden@gmail.com</t>
  </si>
  <si>
    <t>cher.alston@msn.com</t>
  </si>
  <si>
    <t>regine.odom@msn.com</t>
  </si>
  <si>
    <t>adam.thornton@hotmail.com</t>
  </si>
  <si>
    <t>cori.schwartz@msn.com</t>
  </si>
  <si>
    <t>willow.gardner@gmail.com</t>
  </si>
  <si>
    <t>jane.henderson@hotmail.com</t>
  </si>
  <si>
    <t>chere.mcfadden@yahoo.com</t>
  </si>
  <si>
    <t>ira.erickson@aol.com</t>
  </si>
  <si>
    <t>risa.gallagher@yahoo.com</t>
  </si>
  <si>
    <t>lavinia.cotton@yahoo.com</t>
  </si>
  <si>
    <t>alejandrina.hodges@msn.com</t>
  </si>
  <si>
    <t>keitha.black@yahoo.com</t>
  </si>
  <si>
    <t>corene.swanson@aol.com</t>
  </si>
  <si>
    <t>tonda.webb@yahoo.com</t>
  </si>
  <si>
    <t>collen.dennis@gmail.com</t>
  </si>
  <si>
    <t>treasa.dickerson@hotmail.com</t>
  </si>
  <si>
    <t>jewell.reyes@hotmail.com</t>
  </si>
  <si>
    <t>penny.acevedo@yahoo.com</t>
  </si>
  <si>
    <t>louise.flowers@yahoo.com</t>
  </si>
  <si>
    <t>(682) 143-2224</t>
  </si>
  <si>
    <t>henrietta.wagner@hotmail.com</t>
  </si>
  <si>
    <t>ardelia.cooley@aol.com</t>
  </si>
  <si>
    <t>khalilah.robertson@aol.com</t>
  </si>
  <si>
    <t>armando.black@gmail.com</t>
  </si>
  <si>
    <t>jerri.henry@msn.com</t>
  </si>
  <si>
    <t>lynda.newman@msn.com</t>
  </si>
  <si>
    <t>bao.wade@gmail.com</t>
  </si>
  <si>
    <t>gussie.harding@gmail.com</t>
  </si>
  <si>
    <t>shirely.cantrell@aol.com</t>
  </si>
  <si>
    <t>caroline.jenkins@msn.com</t>
  </si>
  <si>
    <t>hollis.rasmussen@yahoo.com</t>
  </si>
  <si>
    <t>kendra.harrington@yahoo.com</t>
  </si>
  <si>
    <t>(229) 891-2087</t>
  </si>
  <si>
    <t>douglass.blankenship@hotmail.com</t>
  </si>
  <si>
    <t>lina.meadows@aol.com</t>
  </si>
  <si>
    <t>patria.harper@msn.com</t>
  </si>
  <si>
    <t>jeffrey.hill@gmail.com</t>
  </si>
  <si>
    <t>ja.dillard@yahoo.com</t>
  </si>
  <si>
    <t>tora.dunlap@hotmail.com</t>
  </si>
  <si>
    <t>karole.alvarez@gmail.com</t>
  </si>
  <si>
    <t>shasta.combs@yahoo.com</t>
  </si>
  <si>
    <t>cicely.deleon@yahoo.com</t>
  </si>
  <si>
    <t>raphael.o'neil@aol.com</t>
  </si>
  <si>
    <t>hubert.reilly@hotmail.com</t>
  </si>
  <si>
    <t>caleb.england@gmail.com</t>
  </si>
  <si>
    <t>elmira.levy@gmail.com</t>
  </si>
  <si>
    <t>waldo.hart@yahoo.com</t>
  </si>
  <si>
    <t>bea.kane@aol.com</t>
  </si>
  <si>
    <t>gilberto.sanders@hotmail.com</t>
  </si>
  <si>
    <t>benny.bender@aol.com</t>
  </si>
  <si>
    <t>desmond.rose@hotmail.com</t>
  </si>
  <si>
    <t>parthenia.holman@gmail.com</t>
  </si>
  <si>
    <t>dung.king@aol.com</t>
  </si>
  <si>
    <t>sherril.alvarado@hotmail.com</t>
  </si>
  <si>
    <t>alisia.albert@gmail.com</t>
  </si>
  <si>
    <t>(507) 997-4112</t>
  </si>
  <si>
    <t>kallie.best@aol.com</t>
  </si>
  <si>
    <t>dottie.roberts@aol.com</t>
  </si>
  <si>
    <t>hubert.stone@hotmail.com</t>
  </si>
  <si>
    <t>gabriella.jones@hotmail.com</t>
  </si>
  <si>
    <t>penney.hall@msn.com</t>
  </si>
  <si>
    <t>mallie.osborn@gmail.com</t>
  </si>
  <si>
    <t>britteny.schroeder@aol.com</t>
  </si>
  <si>
    <t>sommer.hopkins@gmail.com</t>
  </si>
  <si>
    <t>jewel.sparks@aol.com</t>
  </si>
  <si>
    <t>(914) 818-7312</t>
  </si>
  <si>
    <t>deandrea.vega@gmail.com</t>
  </si>
  <si>
    <t>charlsie.carson@hotmail.com</t>
  </si>
  <si>
    <t>kandace.ayers@gmail.com</t>
  </si>
  <si>
    <t>lenore.valdez@msn.com</t>
  </si>
  <si>
    <t>drucilla.gilliam@hotmail.com</t>
  </si>
  <si>
    <t>(361) 394-2024</t>
  </si>
  <si>
    <t>keturah.reid@yahoo.com</t>
  </si>
  <si>
    <t>herminia.reyes@gmail.com</t>
  </si>
  <si>
    <t>tuyet.rosa@aol.com</t>
  </si>
  <si>
    <t>ara.vazquez@msn.com</t>
  </si>
  <si>
    <t>barry.albert@gmail.com</t>
  </si>
  <si>
    <t>verdell.joyner@aol.com</t>
  </si>
  <si>
    <t>han.wade@hotmail.com</t>
  </si>
  <si>
    <t>(716) 472-3707</t>
  </si>
  <si>
    <t>anton.barton@msn.com</t>
  </si>
  <si>
    <t>vito.pickett@hotmail.com</t>
  </si>
  <si>
    <t>charlene.norris@msn.com</t>
  </si>
  <si>
    <t>efren.whitfield@gmail.com</t>
  </si>
  <si>
    <t>santa.larson@gmail.com</t>
  </si>
  <si>
    <t>carmelina.sellers@hotmail.com</t>
  </si>
  <si>
    <t>carmela.hays@aol.com</t>
  </si>
  <si>
    <t>patrina.tanner@gmail.com</t>
  </si>
  <si>
    <t>(682) 936-1482</t>
  </si>
  <si>
    <t>rikki.morrow@hotmail.com</t>
  </si>
  <si>
    <t>junita.reese@gmail.com</t>
  </si>
  <si>
    <t>ryan.carter@yahoo.com</t>
  </si>
  <si>
    <t>almeta.benjamin@aol.com</t>
  </si>
  <si>
    <t>beatris.joyner@gmail.com</t>
  </si>
  <si>
    <t>mechelle.chan@gmail.com</t>
  </si>
  <si>
    <t>earlean.pena@yahoo.com</t>
  </si>
  <si>
    <t>katherin.clark@yahoo.com</t>
  </si>
  <si>
    <t>chanel.may@msn.com</t>
  </si>
  <si>
    <t>(914) 402-4335</t>
  </si>
  <si>
    <t>aaron.knapp@yahoo.com</t>
  </si>
  <si>
    <t>sindy.anderson@gmail.com</t>
  </si>
  <si>
    <t>sheree.blanchard@gmail.com</t>
  </si>
  <si>
    <t>charlesetta.soto@yahoo.com</t>
  </si>
  <si>
    <t>(805) 389-2549</t>
  </si>
  <si>
    <t>wendie.nash@hotmail.com</t>
  </si>
  <si>
    <t>vernetta.banks@aol.com</t>
  </si>
  <si>
    <t>myrtle.gardner@aol.com</t>
  </si>
  <si>
    <t>agustina.lawrence@yahoo.com</t>
  </si>
  <si>
    <t>trinidad.chapman@aol.com</t>
  </si>
  <si>
    <t>kim.clark@msn.com</t>
  </si>
  <si>
    <t>annabelle.hebert@aol.com</t>
  </si>
  <si>
    <t>corine.stuart@msn.com</t>
  </si>
  <si>
    <t>kiesha.bond@aol.com</t>
  </si>
  <si>
    <t>kenyetta.mason@msn.com</t>
  </si>
  <si>
    <t>(914) 361-6045</t>
  </si>
  <si>
    <t>marcene.curtis@msn.com</t>
  </si>
  <si>
    <t>sheila.goodman@msn.com</t>
  </si>
  <si>
    <t>romeo.steele@msn.com</t>
  </si>
  <si>
    <t>(507) 351-9375</t>
  </si>
  <si>
    <t>tam.fisher@aol.com</t>
  </si>
  <si>
    <t>gena.owens@gmail.com</t>
  </si>
  <si>
    <t>phebe.soto@hotmail.com</t>
  </si>
  <si>
    <t>leticia.snyder@yahoo.com</t>
  </si>
  <si>
    <t>(716) 941-6072</t>
  </si>
  <si>
    <t>chantell.bridges@yahoo.com</t>
  </si>
  <si>
    <t>ileana.holt@msn.com</t>
  </si>
  <si>
    <t>nakisha.clay@gmail.com</t>
  </si>
  <si>
    <t>cheryll.snyder@yahoo.com</t>
  </si>
  <si>
    <t>consuela.collier@msn.com</t>
  </si>
  <si>
    <t>aubrey.durham@aol.com</t>
  </si>
  <si>
    <t>nita.guy@hotmail.com</t>
  </si>
  <si>
    <t>carmina.emerson@hotmail.com</t>
  </si>
  <si>
    <t>georgeann.rojas@msn.com</t>
  </si>
  <si>
    <t>leslie.higgins@hotmail.com</t>
  </si>
  <si>
    <t>emmaline.huber@gmail.com</t>
  </si>
  <si>
    <t>mercy.brown@msn.com</t>
  </si>
  <si>
    <t>(631) 544-4772</t>
  </si>
  <si>
    <t>jenell.crosby@hotmail.com</t>
  </si>
  <si>
    <t>leila.barr@yahoo.com</t>
  </si>
  <si>
    <t>deandrea.cox@msn.com</t>
  </si>
  <si>
    <t>shawnna.frank@hotmail.com</t>
  </si>
  <si>
    <t>brenton.whitaker@gmail.com</t>
  </si>
  <si>
    <t>jaqueline.cummings@hotmail.com</t>
  </si>
  <si>
    <t>yang.giles@gmail.com</t>
  </si>
  <si>
    <t>brigid.sharp@hotmail.com</t>
  </si>
  <si>
    <t>karl.stephens@gmail.com</t>
  </si>
  <si>
    <t>elvina.gates@hotmail.com</t>
  </si>
  <si>
    <t>(914) 517-8036</t>
  </si>
  <si>
    <t>carlie.terrell@yahoo.com</t>
  </si>
  <si>
    <t>(510) 624-3824</t>
  </si>
  <si>
    <t>donovan.cantrell@msn.com</t>
  </si>
  <si>
    <t>alden.atkinson@gmail.com</t>
  </si>
  <si>
    <t>carissa.cross@yahoo.com</t>
  </si>
  <si>
    <t>joy.underwood@gmail.com</t>
  </si>
  <si>
    <t>geraldine.o'donnell@hotmail.com</t>
  </si>
  <si>
    <t>bronwyn.vargas@msn.com</t>
  </si>
  <si>
    <t>abram.copeland@gmail.com</t>
  </si>
  <si>
    <t>mellisa.griffin@msn.com</t>
  </si>
  <si>
    <t>qiana.jackson@gmail.com</t>
  </si>
  <si>
    <t>(248) 279-5331</t>
  </si>
  <si>
    <t>magali.dixon@msn.com</t>
  </si>
  <si>
    <t>(510) 565-8496</t>
  </si>
  <si>
    <t>zulema.clemons@aol.com</t>
  </si>
  <si>
    <t>carina.lynch@gmail.com</t>
  </si>
  <si>
    <t>jesus.burch@hotmail.com</t>
  </si>
  <si>
    <t>selene.vega@gmail.com</t>
  </si>
  <si>
    <t>jong.guthrie@hotmail.com</t>
  </si>
  <si>
    <t>lise.hebert@gmail.com</t>
  </si>
  <si>
    <t>joshua.berg@hotmail.com</t>
  </si>
  <si>
    <t>georgina.gonzales@yahoo.com</t>
  </si>
  <si>
    <t>rudolph.velez@yahoo.com</t>
  </si>
  <si>
    <t>luke.kramer@hotmail.com</t>
  </si>
  <si>
    <t>edgar.quinn@aol.com</t>
  </si>
  <si>
    <t>tara.maynard@hotmail.com</t>
  </si>
  <si>
    <t>bella.perez@msn.com</t>
  </si>
  <si>
    <t>nathaniel.davidson@hotmail.com</t>
  </si>
  <si>
    <t>chauncey.donaldson@aol.com</t>
  </si>
  <si>
    <t>heide.reed@yahoo.com</t>
  </si>
  <si>
    <t>trang.hardin@yahoo.com</t>
  </si>
  <si>
    <t>(562) 986-2247</t>
  </si>
  <si>
    <t>gabriela.warren@aol.com</t>
  </si>
  <si>
    <t>dale.rasmussen@aol.com</t>
  </si>
  <si>
    <t>tammie.cherry@hotmail.com</t>
  </si>
  <si>
    <t>bethany.herring@yahoo.com</t>
  </si>
  <si>
    <t>barbra.dickerson@gmail.com</t>
  </si>
  <si>
    <t>neoma.daugherty@gmail.com</t>
  </si>
  <si>
    <t>nanette.roman@yahoo.com</t>
  </si>
  <si>
    <t>adriene.rollins@msn.com</t>
  </si>
  <si>
    <t>susannah.fields@hotmail.com</t>
  </si>
  <si>
    <t>dung.reid@msn.com</t>
  </si>
  <si>
    <t>ben.stone@gmail.com</t>
  </si>
  <si>
    <t>nubia.anderson@aol.com</t>
  </si>
  <si>
    <t>rosamaria.meyer@yahoo.com</t>
  </si>
  <si>
    <t>todd.waters@yahoo.com</t>
  </si>
  <si>
    <t>kimbery.nieves@msn.com</t>
  </si>
  <si>
    <t>phuong.wolf@yahoo.com</t>
  </si>
  <si>
    <t>adelaida.hancock@aol.com</t>
  </si>
  <si>
    <t>brianne.hays@gmail.com</t>
  </si>
  <si>
    <t>rufina.chandler@aol.com</t>
  </si>
  <si>
    <t>(631) 254-8497</t>
  </si>
  <si>
    <t>devin.velazquez@aol.com</t>
  </si>
  <si>
    <t>bonita.marshall@msn.com</t>
  </si>
  <si>
    <t>myrl.gay@hotmail.com</t>
  </si>
  <si>
    <t>earline.gordon@gmail.com</t>
  </si>
  <si>
    <t>sung.chambers@gmail.com</t>
  </si>
  <si>
    <t>gustavo.gamble@msn.com</t>
  </si>
  <si>
    <t>ciera.webb@yahoo.com</t>
  </si>
  <si>
    <t>roy.chan@hotmail.com</t>
  </si>
  <si>
    <t>houston.vasquez@msn.com</t>
  </si>
  <si>
    <t>cheree.hale@yahoo.com</t>
  </si>
  <si>
    <t>odette.moses@gmail.com</t>
  </si>
  <si>
    <t>lenita.bonner@aol.com</t>
  </si>
  <si>
    <t>shona.mcmillan@msn.com</t>
  </si>
  <si>
    <t>piedad.irwin@hotmail.com</t>
  </si>
  <si>
    <t>loan.graham@yahoo.com</t>
  </si>
  <si>
    <t>stan.saunders@yahoo.com</t>
  </si>
  <si>
    <t>jackeline.colon@msn.com</t>
  </si>
  <si>
    <t>marlen.dawson@msn.com</t>
  </si>
  <si>
    <t>(845) 707-6088</t>
  </si>
  <si>
    <t>alexis.mack@aol.com</t>
  </si>
  <si>
    <t>mica.barry@yahoo.com</t>
  </si>
  <si>
    <t>shanice.spears@msn.com</t>
  </si>
  <si>
    <t>garth.huff@yahoo.com</t>
  </si>
  <si>
    <t>dione.pratt@msn.com</t>
  </si>
  <si>
    <t>victor.pittman@aol.com</t>
  </si>
  <si>
    <t>allie.conley@msn.com</t>
  </si>
  <si>
    <t>shanelle.anderson@yahoo.com</t>
  </si>
  <si>
    <t>minnie.compton@gmail.com</t>
  </si>
  <si>
    <t>shiloh.bates@msn.com</t>
  </si>
  <si>
    <t>lakenya.oliver@yahoo.com</t>
  </si>
  <si>
    <t>sally.kinney@msn.com</t>
  </si>
  <si>
    <t>edith.davenport@gmail.com</t>
  </si>
  <si>
    <t>alline.beasley@yahoo.com</t>
  </si>
  <si>
    <t>travis.whitley@aol.com</t>
  </si>
  <si>
    <t>vanessa.west@gmail.com</t>
  </si>
  <si>
    <t>trudy.riddle@aol.com</t>
  </si>
  <si>
    <t>shauna.edwards@msn.com</t>
  </si>
  <si>
    <t>clorinda.donovan@msn.com</t>
  </si>
  <si>
    <t>raven.curtis@aol.com</t>
  </si>
  <si>
    <t>verda.gilbert@gmail.com</t>
  </si>
  <si>
    <t>renay.atkins@aol.com</t>
  </si>
  <si>
    <t>tama.berg@hotmail.com</t>
  </si>
  <si>
    <t>(507) 186-2004</t>
  </si>
  <si>
    <t>dalia.carson@aol.com</t>
  </si>
  <si>
    <t>america.swanson@msn.com</t>
  </si>
  <si>
    <t>cinda.rocha@hotmail.com</t>
  </si>
  <si>
    <t>shea.howell@msn.com</t>
  </si>
  <si>
    <t>kimberli.cline@yahoo.com</t>
  </si>
  <si>
    <t>emanuel.mckee@yahoo.com</t>
  </si>
  <si>
    <t>whitley.cannon@msn.com</t>
  </si>
  <si>
    <t>tereasa.bird@aol.com</t>
  </si>
  <si>
    <t>dante.grimes@yahoo.com</t>
  </si>
  <si>
    <t>joeann.garrison@yahoo.com</t>
  </si>
  <si>
    <t>omega.johnston@gmail.com</t>
  </si>
  <si>
    <t>conrad.mueller@yahoo.com</t>
  </si>
  <si>
    <t>glady.wells@gmail.com</t>
  </si>
  <si>
    <t>(210) 851-3122</t>
  </si>
  <si>
    <t>tisha.petty@msn.com</t>
  </si>
  <si>
    <t>claris.santiago@msn.com</t>
  </si>
  <si>
    <t>obdulia.barber@gmail.com</t>
  </si>
  <si>
    <t>shantel.gregory@yahoo.com</t>
  </si>
  <si>
    <t>ai.forbes@yahoo.com</t>
  </si>
  <si>
    <t>ebony.cotton@yahoo.com</t>
  </si>
  <si>
    <t>arla.ellis@yahoo.com</t>
  </si>
  <si>
    <t>magdalena.sherman@gmail.com</t>
  </si>
  <si>
    <t>tarra.guerrero@aol.com</t>
  </si>
  <si>
    <t>consuela.romero@hotmail.com</t>
  </si>
  <si>
    <t>cindie.franklin@yahoo.com</t>
  </si>
  <si>
    <t>sharyn.brewer@aol.com</t>
  </si>
  <si>
    <t>karren.stevenson@aol.com</t>
  </si>
  <si>
    <t>divina.reeves@hotmail.com</t>
  </si>
  <si>
    <t>novella.ross@gmail.com</t>
  </si>
  <si>
    <t>omega.huff@aol.com</t>
  </si>
  <si>
    <t>ashleigh.finch@yahoo.com</t>
  </si>
  <si>
    <t>corina.lynch@msn.com</t>
  </si>
  <si>
    <t>joe.melton@gmail.com</t>
  </si>
  <si>
    <t>bernetta.summers@aol.com</t>
  </si>
  <si>
    <t>inez.snider@gmail.com</t>
  </si>
  <si>
    <t>(442) 778-1121</t>
  </si>
  <si>
    <t>neida.king@aol.com</t>
  </si>
  <si>
    <t>tona.velasquez@msn.com</t>
  </si>
  <si>
    <t>rozanne.reyes@aol.com</t>
  </si>
  <si>
    <t>lekisha.pope@msn.com</t>
  </si>
  <si>
    <t>jama.rodriquez@msn.com</t>
  </si>
  <si>
    <t>eloisa.tucker@hotmail.com</t>
  </si>
  <si>
    <t>arie.hunter@msn.com</t>
  </si>
  <si>
    <t>(424) 464-7290</t>
  </si>
  <si>
    <t>sanora.webster@msn.com</t>
  </si>
  <si>
    <t>kate.barber@hotmail.com</t>
  </si>
  <si>
    <t>yvone.guerrero@aol.com</t>
  </si>
  <si>
    <t>kami.rios@yahoo.com</t>
  </si>
  <si>
    <t>annett.rush@hotmail.com</t>
  </si>
  <si>
    <t>carman.hardy@yahoo.com</t>
  </si>
  <si>
    <t>dorothea.miranda@aol.com</t>
  </si>
  <si>
    <t>agatha.daniels@yahoo.com</t>
  </si>
  <si>
    <t>alexandria.zamora@yahoo.com</t>
  </si>
  <si>
    <t>thad.gilliam@hotmail.com</t>
  </si>
  <si>
    <t>inger.jennings@yahoo.com</t>
  </si>
  <si>
    <t>(559) 628-2239</t>
  </si>
  <si>
    <t>karren.lamb@aol.com</t>
  </si>
  <si>
    <t>noble.glover@gmail.com</t>
  </si>
  <si>
    <t>octavia.donaldson@hotmail.com</t>
  </si>
  <si>
    <t>latashia.travis@yahoo.com</t>
  </si>
  <si>
    <t>destiny.goodman@msn.com</t>
  </si>
  <si>
    <t>christiana.gross@yahoo.com</t>
  </si>
  <si>
    <t>(281) 969-4579</t>
  </si>
  <si>
    <t>nestor.haynes@msn.com</t>
  </si>
  <si>
    <t>grisel.maynard@msn.com</t>
  </si>
  <si>
    <t>shenna.espinoza@gmail.com</t>
  </si>
  <si>
    <t>trena.rogers@aol.com</t>
  </si>
  <si>
    <t>lucile.manning@yahoo.com</t>
  </si>
  <si>
    <t>veronique.fulton@yahoo.com</t>
  </si>
  <si>
    <t>starr.schneider@aol.com</t>
  </si>
  <si>
    <t>(408) 611-3553</t>
  </si>
  <si>
    <t>rona.rojas@gmail.com</t>
  </si>
  <si>
    <t>pandora.estes@aol.com</t>
  </si>
  <si>
    <t>renna.williams@hotmail.com</t>
  </si>
  <si>
    <t>lanora.robbins@hotmail.com</t>
  </si>
  <si>
    <t>juliane.dillard@aol.com</t>
  </si>
  <si>
    <t>carlena.salinas@gmail.com</t>
  </si>
  <si>
    <t>kimberley.reynolds@aol.com</t>
  </si>
  <si>
    <t>(507) 407-9384</t>
  </si>
  <si>
    <t>johana.jacobson@gmail.com</t>
  </si>
  <si>
    <t>(559) 329-7615</t>
  </si>
  <si>
    <t>enoch.rosario@hotmail.com</t>
  </si>
  <si>
    <t>dorine.thornton@gmail.com</t>
  </si>
  <si>
    <t>eliz.lynch@hotmail.com</t>
  </si>
  <si>
    <t>mercedez.brooks@hotmail.com</t>
  </si>
  <si>
    <t>wynona.douglas@msn.com</t>
  </si>
  <si>
    <t>(661) 800-8091</t>
  </si>
  <si>
    <t>desire.mcgowan@msn.com</t>
  </si>
  <si>
    <t>elmo.sweeney@yahoo.com</t>
  </si>
  <si>
    <t>kenton.hughes@gmail.com</t>
  </si>
  <si>
    <t>(619) 685-5786</t>
  </si>
  <si>
    <t>cesar.wilkins@hotmail.com</t>
  </si>
  <si>
    <t>phylicia.stout@aol.com</t>
  </si>
  <si>
    <t>nanette.harris@hotmail.com</t>
  </si>
  <si>
    <t>ulrike.chan@aol.com</t>
  </si>
  <si>
    <t>genoveva.lloyd@aol.com</t>
  </si>
  <si>
    <t>sheryl.chase@gmail.com</t>
  </si>
  <si>
    <t>trista.lambert@gmail.com</t>
  </si>
  <si>
    <t>vivian.deleon@msn.com</t>
  </si>
  <si>
    <t>genny.fields@msn.com</t>
  </si>
  <si>
    <t>eliseo.knight@msn.com</t>
  </si>
  <si>
    <t>(657) 454-8493</t>
  </si>
  <si>
    <t>delma.bailey@gmail.com</t>
  </si>
  <si>
    <t>dewayne.herring@aol.com</t>
  </si>
  <si>
    <t>nevada.hood@aol.com</t>
  </si>
  <si>
    <t>angelika.perry@msn.com</t>
  </si>
  <si>
    <t>shayla.hart@msn.com</t>
  </si>
  <si>
    <t>willetta.murphy@msn.com</t>
  </si>
  <si>
    <t>sandee.alvarado@aol.com</t>
  </si>
  <si>
    <t>(248) 234-5902</t>
  </si>
  <si>
    <t>mila.moody@gmail.com</t>
  </si>
  <si>
    <t>loyce.conway@aol.com</t>
  </si>
  <si>
    <t>thanh.figueroa@yahoo.com</t>
  </si>
  <si>
    <t>farrah.orr@msn.com</t>
  </si>
  <si>
    <t>hugh.craft@msn.com</t>
  </si>
  <si>
    <t>eleanor.mendez@yahoo.com</t>
  </si>
  <si>
    <t>(716) 294-7174</t>
  </si>
  <si>
    <t>lamar.bush@msn.com</t>
  </si>
  <si>
    <t>(914) 367-7691</t>
  </si>
  <si>
    <t>lurlene.finch@msn.com</t>
  </si>
  <si>
    <t>shanda.stevenson@yahoo.com</t>
  </si>
  <si>
    <t>adrien.hunter@yahoo.com</t>
  </si>
  <si>
    <t>ophelia.decker@yahoo.com</t>
  </si>
  <si>
    <t>sonja.walls@aol.com</t>
  </si>
  <si>
    <t>harold.o'connor@gmail.com</t>
  </si>
  <si>
    <t>miranda.kennedy@gmail.com</t>
  </si>
  <si>
    <t>jasper.castro@aol.com</t>
  </si>
  <si>
    <t>(657) 611-2991</t>
  </si>
  <si>
    <t>penni.best@msn.com</t>
  </si>
  <si>
    <t>lurlene.cotton@yahoo.com</t>
  </si>
  <si>
    <t>kelsey.noble@hotmail.com</t>
  </si>
  <si>
    <t>edris.barrett@hotmail.com</t>
  </si>
  <si>
    <t>tempie.jacobson@hotmail.com</t>
  </si>
  <si>
    <t>(682) 362-7457</t>
  </si>
  <si>
    <t>dollie.cervantes@aol.com</t>
  </si>
  <si>
    <t>lashunda.cole@hotmail.com</t>
  </si>
  <si>
    <t>justina.jenkins@msn.com</t>
  </si>
  <si>
    <t>(361) 206-5550</t>
  </si>
  <si>
    <t>londa.gould@aol.com</t>
  </si>
  <si>
    <t>mikel.wilkerson@msn.com</t>
  </si>
  <si>
    <t>carola.johns@msn.com</t>
  </si>
  <si>
    <t>lorrie.justice@gmail.com</t>
  </si>
  <si>
    <t>(661) 858-1224</t>
  </si>
  <si>
    <t>tayna.wade@hotmail.com</t>
  </si>
  <si>
    <t>mark.benton@aol.com</t>
  </si>
  <si>
    <t>zona.cameron@aol.com</t>
  </si>
  <si>
    <t>nicola.knight@aol.com</t>
  </si>
  <si>
    <t>elana.miles@yahoo.com</t>
  </si>
  <si>
    <t>merrie.fowler@aol.com</t>
  </si>
  <si>
    <t>macie.ayers@msn.com</t>
  </si>
  <si>
    <t>son.warner@hotmail.com</t>
  </si>
  <si>
    <t>(408) 807-6157</t>
  </si>
  <si>
    <t>lee.dunn@aol.com</t>
  </si>
  <si>
    <t>florrie.little@yahoo.com</t>
  </si>
  <si>
    <t>ernest.rollins@yahoo.com</t>
  </si>
  <si>
    <t>jamaal.morrison@msn.com</t>
  </si>
  <si>
    <t>cassie.cline@gmail.com</t>
  </si>
  <si>
    <t>lezlie.lamb@gmail.com</t>
  </si>
  <si>
    <t>ivette.estes@gmail.com</t>
  </si>
  <si>
    <t>phone#</t>
  </si>
  <si>
    <t>Product_Price</t>
  </si>
  <si>
    <t>Discount%</t>
  </si>
  <si>
    <t>Total price</t>
  </si>
  <si>
    <t>Discount Amount</t>
  </si>
  <si>
    <t xml:space="preserve">Sales Price </t>
  </si>
  <si>
    <t>Total Sales Price</t>
  </si>
  <si>
    <t xml:space="preserve">Payment mode </t>
  </si>
  <si>
    <t>Debit Card</t>
  </si>
  <si>
    <t xml:space="preserve">Credit Card </t>
  </si>
  <si>
    <t>Amazon Pay</t>
  </si>
  <si>
    <t>Cash on Delivery</t>
  </si>
  <si>
    <t>Sum of Customer ID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</si>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</sst>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22" fontId="0" fillId="0" borderId="0" xfId="0" applyNumberFormat="1" applyAlignment="1"/>
    <xf numFmtId="0" fontId="0" fillId="0" borderId="0" xfId="0" applyAlignment="1">
      <alignment horizontal="left" vertical="center"/>
    </xf>
    <xf numFmtId="0" fontId="0" fillId="0" borderId="0" xfId="0" applyAlignment="1"/>
    <xf numFmtId="14" fontId="0" fillId="0" borderId="0" xfId="0" applyNumberFormat="1" applyAlignment="1"/>
    <xf numFmtId="0" fontId="0" fillId="0" borderId="0" xfId="0" applyAlignment="1">
      <alignment horizontal="left"/>
    </xf>
    <xf numFmtId="1" fontId="0" fillId="0" borderId="0" xfId="0" applyNumberFormat="1">
      <alignment vertical="center"/>
    </xf>
    <xf numFmtId="0" fontId="2" fillId="0" borderId="0" xfId="0" applyNumberFormat="1" applyFont="1" applyFill="1" applyBorder="1" applyAlignment="1" applyProtection="1"/>
    <xf numFmtId="0" fontId="0" fillId="0" borderId="0" xfId="0" applyNumberFormat="1">
      <alignment vertical="center"/>
    </xf>
    <xf numFmtId="0" fontId="0" fillId="0" borderId="0" xfId="0" pivotButton="1">
      <alignment vertical="center"/>
    </xf>
  </cellXfs>
  <cellStyles count="1">
    <cellStyle name="Normal" xfId="0" builtinId="0"/>
  </cellStyles>
  <dxfs count="1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</dxf>
    <dxf>
      <numFmt numFmtId="1" formatCode="0"/>
    </dxf>
    <dxf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Online Retail Sales Data.xlsx]Sheet1!PivotTable1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Sheet1!$A$4:$A$11</c:f>
              <c:strCache>
                <c:ptCount val="7"/>
                <c:pt idx="0">
                  <c:v>Australia</c:v>
                </c:pt>
                <c:pt idx="1">
                  <c:v>EIRE</c:v>
                </c:pt>
                <c:pt idx="2">
                  <c:v>France</c:v>
                </c:pt>
                <c:pt idx="3">
                  <c:v>Germany</c:v>
                </c:pt>
                <c:pt idx="4">
                  <c:v>Netherlands</c:v>
                </c:pt>
                <c:pt idx="5">
                  <c:v>Norway</c:v>
                </c:pt>
                <c:pt idx="6">
                  <c:v>United Kingdom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2863</c:v>
                </c:pt>
                <c:pt idx="1">
                  <c:v>175018</c:v>
                </c:pt>
                <c:pt idx="2">
                  <c:v>99784</c:v>
                </c:pt>
                <c:pt idx="3">
                  <c:v>131363</c:v>
                </c:pt>
                <c:pt idx="4">
                  <c:v>104423</c:v>
                </c:pt>
                <c:pt idx="5">
                  <c:v>132133</c:v>
                </c:pt>
                <c:pt idx="6">
                  <c:v>397706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135296"/>
        <c:axId val="146276352"/>
      </c:barChart>
      <c:catAx>
        <c:axId val="146135296"/>
        <c:scaling>
          <c:orientation val="minMax"/>
        </c:scaling>
        <c:delete val="0"/>
        <c:axPos val="b"/>
        <c:majorTickMark val="out"/>
        <c:minorTickMark val="none"/>
        <c:tickLblPos val="nextTo"/>
        <c:crossAx val="146276352"/>
        <c:crosses val="autoZero"/>
        <c:auto val="1"/>
        <c:lblAlgn val="ctr"/>
        <c:lblOffset val="100"/>
        <c:noMultiLvlLbl val="0"/>
      </c:catAx>
      <c:valAx>
        <c:axId val="146276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6135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Online Retail Sales Data.xlsx]Sheet1!PivotTable1</c:name>
    <c:fmtId val="1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Sheet1!$A$4:$A$11</c:f>
              <c:strCache>
                <c:ptCount val="7"/>
                <c:pt idx="0">
                  <c:v>Australia</c:v>
                </c:pt>
                <c:pt idx="1">
                  <c:v>EIRE</c:v>
                </c:pt>
                <c:pt idx="2">
                  <c:v>France</c:v>
                </c:pt>
                <c:pt idx="3">
                  <c:v>Germany</c:v>
                </c:pt>
                <c:pt idx="4">
                  <c:v>Netherlands</c:v>
                </c:pt>
                <c:pt idx="5">
                  <c:v>Norway</c:v>
                </c:pt>
                <c:pt idx="6">
                  <c:v>United Kingdom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2863</c:v>
                </c:pt>
                <c:pt idx="1">
                  <c:v>175018</c:v>
                </c:pt>
                <c:pt idx="2">
                  <c:v>99784</c:v>
                </c:pt>
                <c:pt idx="3">
                  <c:v>131363</c:v>
                </c:pt>
                <c:pt idx="4">
                  <c:v>104423</c:v>
                </c:pt>
                <c:pt idx="5">
                  <c:v>132133</c:v>
                </c:pt>
                <c:pt idx="6">
                  <c:v>397706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</xdr:row>
      <xdr:rowOff>133350</xdr:rowOff>
    </xdr:from>
    <xdr:to>
      <xdr:col>9</xdr:col>
      <xdr:colOff>323850</xdr:colOff>
      <xdr:row>17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5</xdr:row>
      <xdr:rowOff>95250</xdr:rowOff>
    </xdr:from>
    <xdr:to>
      <xdr:col>16</xdr:col>
      <xdr:colOff>314325</xdr:colOff>
      <xdr:row>19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972.467320254633" createdVersion="4" refreshedVersion="4" minRefreshableVersion="3" recordCount="1444">
  <cacheSource type="worksheet">
    <worksheetSource name="Table1"/>
  </cacheSource>
  <cacheFields count="21">
    <cacheField name="Customer ID" numFmtId="0">
      <sharedItems containsSemiMixedTypes="0" containsString="0" containsNumber="1" containsInteger="1" minValue="1" maxValue="1444"/>
    </cacheField>
    <cacheField name="first_name" numFmtId="0">
      <sharedItems/>
    </cacheField>
    <cacheField name="last_name" numFmtId="0">
      <sharedItems/>
    </cacheField>
    <cacheField name="phone#" numFmtId="0">
      <sharedItems/>
    </cacheField>
    <cacheField name="email" numFmtId="0">
      <sharedItems/>
    </cacheField>
    <cacheField name="Order_id" numFmtId="0">
      <sharedItems containsSemiMixedTypes="0" containsString="0" containsNumber="1" containsInteger="1" minValue="1" maxValue="520"/>
    </cacheField>
    <cacheField name="Order_Date" numFmtId="14">
      <sharedItems containsSemiMixedTypes="0" containsNonDate="0" containsDate="1" containsString="0" minDate="2010-12-01T08:26:00" maxDate="2012-12-01T12:43:00"/>
    </cacheField>
    <cacheField name="Order status " numFmtId="0">
      <sharedItems containsSemiMixedTypes="0" containsString="0" containsNumber="1" containsInteger="1" minValue="1" maxValue="4"/>
    </cacheField>
    <cacheField name="Product_Id" numFmtId="0">
      <sharedItems containsSemiMixedTypes="0" containsString="0" containsNumber="1" containsInteger="1" minValue="2" maxValue="26"/>
    </cacheField>
    <cacheField name="Product name" numFmtId="0">
      <sharedItems containsBlank="1"/>
    </cacheField>
    <cacheField name="Payment mode " numFmtId="0">
      <sharedItems/>
    </cacheField>
    <cacheField name="Invoice#" numFmtId="0">
      <sharedItems containsMixedTypes="1" containsNumber="1" containsInteger="1" minValue="536365" maxValue="536544"/>
    </cacheField>
    <cacheField name="StockCode" numFmtId="0">
      <sharedItems containsMixedTypes="1" containsNumber="1" containsInteger="1" minValue="10002" maxValue="85172"/>
    </cacheField>
    <cacheField name="Product_Price" numFmtId="0">
      <sharedItems containsSemiMixedTypes="0" containsString="0" containsNumber="1" minValue="0" maxValue="165"/>
    </cacheField>
    <cacheField name="Quantity" numFmtId="1">
      <sharedItems containsSemiMixedTypes="0" containsString="0" containsNumber="1" containsInteger="1" minValue="-6" maxValue="600"/>
    </cacheField>
    <cacheField name="Discount%" numFmtId="0">
      <sharedItems containsSemiMixedTypes="0" containsString="0" containsNumber="1" minValue="0.05" maxValue="0.2"/>
    </cacheField>
    <cacheField name="Country" numFmtId="0">
      <sharedItems count="7">
        <s v="France"/>
        <s v="EIRE"/>
        <s v="United Kingdom"/>
        <s v="Australia"/>
        <s v="Netherlands"/>
        <s v="Norway"/>
        <s v="Germany"/>
      </sharedItems>
    </cacheField>
    <cacheField name="Total price" numFmtId="0">
      <sharedItems containsSemiMixedTypes="0" containsString="0" containsNumber="1" minValue="-27.5" maxValue="1770"/>
    </cacheField>
    <cacheField name="Discount Amount" numFmtId="0">
      <sharedItems containsSemiMixedTypes="0" containsString="0" containsNumber="1" minValue="-5.1000000000000005" maxValue="150"/>
    </cacheField>
    <cacheField name="Sales Price " numFmtId="0">
      <sharedItems containsSemiMixedTypes="0" containsString="0" containsNumber="1" minValue="-24.75" maxValue="1681.5"/>
    </cacheField>
    <cacheField name="Total Sales Price" numFmtId="0">
      <sharedItems containsSemiMixedTypes="0" containsString="0" containsNumber="1" minValue="0" maxValue="1008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44">
  <r>
    <n v="1"/>
    <s v="Debra"/>
    <s v="Burks"/>
    <s v="NULL"/>
    <s v="debra.burks@yahoo.com"/>
    <n v="1"/>
    <d v="2010-12-01T08:26:00"/>
    <n v="4"/>
    <n v="20"/>
    <s v="WHITE HANGING HEART T-LIGHT HOLDER"/>
    <s v="Debit Card"/>
    <n v="536365"/>
    <s v="85123A"/>
    <n v="2.5499999999999998"/>
    <n v="6"/>
    <n v="0.2"/>
    <x v="0"/>
    <n v="15.299999999999999"/>
    <n v="3.06"/>
    <n v="12.239999999999998"/>
    <n v="73.44"/>
  </r>
  <r>
    <n v="2"/>
    <s v="Kasha"/>
    <s v="Todd"/>
    <s v="NULL"/>
    <s v="kasha.todd@yahoo.com"/>
    <n v="1"/>
    <d v="2010-12-01T08:26:00"/>
    <n v="4"/>
    <n v="8"/>
    <s v="WHITE METAL LANTERN"/>
    <s v="Debit Card"/>
    <n v="536365"/>
    <n v="71053"/>
    <n v="3.39"/>
    <n v="6"/>
    <n v="7.0000000000000007E-2"/>
    <x v="0"/>
    <n v="20.34"/>
    <n v="1.4238000000000002"/>
    <n v="18.9162"/>
    <n v="113.49719999999999"/>
  </r>
  <r>
    <n v="3"/>
    <s v="Tameka"/>
    <s v="Fisher"/>
    <s v="NULL"/>
    <s v="tameka.fisher@aol.com"/>
    <n v="1"/>
    <d v="2010-12-01T08:26:00"/>
    <n v="4"/>
    <n v="10"/>
    <s v="CREAM CUPID HEARTS COAT HANGER"/>
    <s v="Debit Card"/>
    <n v="536365"/>
    <s v="84406B"/>
    <n v="2.75"/>
    <n v="8"/>
    <n v="0.05"/>
    <x v="0"/>
    <n v="22"/>
    <n v="1.1000000000000001"/>
    <n v="20.9"/>
    <n v="167.2"/>
  </r>
  <r>
    <n v="4"/>
    <s v="Daryl"/>
    <s v="Spence"/>
    <s v="NULL"/>
    <s v="daryl.spence@aol.com"/>
    <n v="1"/>
    <d v="2010-12-01T08:26:00"/>
    <n v="4"/>
    <n v="16"/>
    <s v="KNITTED UNION FLAG HOT WATER BOTTLE"/>
    <s v="Debit Card"/>
    <n v="536365"/>
    <s v="84029G"/>
    <n v="3.39"/>
    <n v="6"/>
    <n v="0.05"/>
    <x v="0"/>
    <n v="20.34"/>
    <n v="1.0170000000000001"/>
    <n v="19.323"/>
    <n v="115.938"/>
  </r>
  <r>
    <n v="5"/>
    <s v="Charolette"/>
    <s v="Rice"/>
    <s v="(916) 381-6003"/>
    <s v="charolette.rice@msn.com"/>
    <n v="1"/>
    <d v="2010-12-01T08:26:00"/>
    <n v="4"/>
    <n v="4"/>
    <s v="RED WOOLLY HOTTIE WHITE HEART."/>
    <s v="Debit Card"/>
    <n v="536365"/>
    <s v="84029E"/>
    <n v="3.39"/>
    <n v="6"/>
    <n v="0.2"/>
    <x v="0"/>
    <n v="20.34"/>
    <n v="4.0680000000000005"/>
    <n v="16.271999999999998"/>
    <n v="97.631999999999991"/>
  </r>
  <r>
    <n v="6"/>
    <s v="Lyndsey"/>
    <s v="Bean"/>
    <s v="NULL"/>
    <s v="lyndsey.bean@hotmail.com"/>
    <n v="2"/>
    <d v="2010-12-01T08:26:00"/>
    <n v="4"/>
    <n v="20"/>
    <s v="SET 7 BABUSHKA NESTING BOXES"/>
    <s v="Debit Card"/>
    <n v="536365"/>
    <n v="22752"/>
    <n v="7.65"/>
    <n v="2"/>
    <n v="7.0000000000000007E-2"/>
    <x v="0"/>
    <n v="15.3"/>
    <n v="1.0710000000000002"/>
    <n v="14.229000000000001"/>
    <n v="28.458000000000002"/>
  </r>
  <r>
    <n v="7"/>
    <s v="Latasha"/>
    <s v="Hays"/>
    <s v="(716) 986-3359"/>
    <s v="latasha.hays@hotmail.com"/>
    <n v="2"/>
    <d v="2010-12-01T08:26:00"/>
    <n v="4"/>
    <n v="16"/>
    <s v="GLASS STAR FROSTED T-LIGHT HOLDER"/>
    <s v="Debit Card"/>
    <n v="536365"/>
    <n v="21730"/>
    <n v="4.25"/>
    <n v="6"/>
    <n v="0.05"/>
    <x v="0"/>
    <n v="25.5"/>
    <n v="1.2750000000000001"/>
    <n v="24.225000000000001"/>
    <n v="145.35000000000002"/>
  </r>
  <r>
    <n v="8"/>
    <s v="Jacquline"/>
    <s v="Duncan"/>
    <s v="NULL"/>
    <s v="jacquline.duncan@yahoo.com"/>
    <n v="3"/>
    <d v="2010-12-01T08:28:00"/>
    <n v="4"/>
    <n v="3"/>
    <s v="HAND WARMER UNION JACK"/>
    <s v="Debit Card"/>
    <n v="536366"/>
    <n v="22633"/>
    <n v="1.85"/>
    <n v="6"/>
    <n v="0.05"/>
    <x v="0"/>
    <n v="11.100000000000001"/>
    <n v="0.55500000000000005"/>
    <n v="10.545000000000002"/>
    <n v="63.27000000000001"/>
  </r>
  <r>
    <n v="9"/>
    <s v="Genoveva"/>
    <s v="Baldwin"/>
    <s v="NULL"/>
    <s v="genoveva.baldwin@msn.com"/>
    <n v="3"/>
    <d v="2010-12-01T08:28:00"/>
    <n v="4"/>
    <n v="20"/>
    <s v="HAND WARMER RED POLKA DOT"/>
    <s v="Debit Card"/>
    <n v="536366"/>
    <n v="22632"/>
    <n v="1.85"/>
    <n v="6"/>
    <n v="0.05"/>
    <x v="0"/>
    <n v="11.100000000000001"/>
    <n v="0.55500000000000005"/>
    <n v="10.545000000000002"/>
    <n v="63.27000000000001"/>
  </r>
  <r>
    <n v="10"/>
    <s v="Pamelia"/>
    <s v="Newman"/>
    <s v="NULL"/>
    <s v="pamelia.newman@gmail.com"/>
    <n v="4"/>
    <d v="2010-12-01T08:34:00"/>
    <n v="4"/>
    <n v="2"/>
    <s v="JAM MAKING SET WITH JARS"/>
    <s v="Debit Card"/>
    <n v="536368"/>
    <n v="22960"/>
    <n v="4.25"/>
    <n v="6"/>
    <n v="0.1"/>
    <x v="0"/>
    <n v="25.5"/>
    <n v="2.5500000000000003"/>
    <n v="22.95"/>
    <n v="137.69999999999999"/>
  </r>
  <r>
    <n v="11"/>
    <s v="Deshawn"/>
    <s v="Mendoza"/>
    <s v="NULL"/>
    <s v="deshawn.mendoza@yahoo.com"/>
    <n v="5"/>
    <d v="2010-12-01T08:34:00"/>
    <n v="4"/>
    <n v="10"/>
    <s v="RED COAT RACK PARIS FASHION"/>
    <s v="Debit Card"/>
    <n v="536368"/>
    <n v="22913"/>
    <n v="4.95"/>
    <n v="3"/>
    <n v="0.05"/>
    <x v="0"/>
    <n v="14.850000000000001"/>
    <n v="0.74250000000000016"/>
    <n v="14.107500000000002"/>
    <n v="42.322500000000005"/>
  </r>
  <r>
    <n v="12"/>
    <s v="Robby"/>
    <s v="Sykes"/>
    <s v="(516) 583-7761"/>
    <s v="robby.sykes@hotmail.com"/>
    <n v="5"/>
    <d v="2010-12-01T08:34:00"/>
    <n v="4"/>
    <n v="17"/>
    <s v="YELLOW COAT RACK PARIS FASHION"/>
    <s v="Debit Card"/>
    <n v="536368"/>
    <n v="22912"/>
    <n v="4.95"/>
    <n v="3"/>
    <n v="7.0000000000000007E-2"/>
    <x v="0"/>
    <n v="14.850000000000001"/>
    <n v="1.0395000000000001"/>
    <n v="13.810500000000001"/>
    <n v="41.4315"/>
  </r>
  <r>
    <n v="13"/>
    <s v="Lashawn"/>
    <s v="Ortiz"/>
    <s v="NULL"/>
    <s v="lashawn.ortiz@msn.com"/>
    <n v="5"/>
    <d v="2010-12-01T08:34:00"/>
    <n v="4"/>
    <n v="26"/>
    <s v="BLUE COAT RACK PARIS FASHION"/>
    <s v="Debit Card"/>
    <n v="536368"/>
    <n v="22914"/>
    <n v="4.95"/>
    <n v="3"/>
    <n v="7.0000000000000007E-2"/>
    <x v="0"/>
    <n v="14.850000000000001"/>
    <n v="1.0395000000000001"/>
    <n v="13.810500000000001"/>
    <n v="41.4315"/>
  </r>
  <r>
    <n v="14"/>
    <s v="Garry"/>
    <s v="Espinoza"/>
    <s v="NULL"/>
    <s v="garry.espinoza@hotmail.com"/>
    <n v="6"/>
    <d v="2010-12-01T08:34:00"/>
    <n v="4"/>
    <n v="18"/>
    <s v="ASSORTED COLOUR BIRD ORNAMENT"/>
    <s v="Debit Card"/>
    <n v="536367"/>
    <n v="84879"/>
    <n v="1.69"/>
    <n v="32"/>
    <n v="7.0000000000000007E-2"/>
    <x v="0"/>
    <n v="54.08"/>
    <n v="3.7856000000000001"/>
    <n v="50.294399999999996"/>
    <n v="1609.4207999999999"/>
  </r>
  <r>
    <n v="15"/>
    <s v="Linnie"/>
    <s v="Branch"/>
    <s v="NULL"/>
    <s v="linnie.branch@gmail.com"/>
    <n v="6"/>
    <d v="2010-12-01T08:34:00"/>
    <n v="4"/>
    <n v="12"/>
    <s v="POPPY'S PLAYHOUSE BEDROOM "/>
    <s v="Debit Card"/>
    <n v="536367"/>
    <n v="22745"/>
    <n v="2.1"/>
    <n v="6"/>
    <n v="0.05"/>
    <x v="0"/>
    <n v="12.600000000000001"/>
    <n v="0.63000000000000012"/>
    <n v="11.97"/>
    <n v="71.820000000000007"/>
  </r>
  <r>
    <n v="16"/>
    <s v="Emmitt"/>
    <s v="Sanchez"/>
    <s v="(212) 945-8823"/>
    <s v="emmitt.sanchez@hotmail.com"/>
    <n v="6"/>
    <d v="2010-12-01T08:34:00"/>
    <n v="4"/>
    <n v="20"/>
    <s v="POPPY'S PLAYHOUSE KITCHEN"/>
    <s v="Debit Card"/>
    <n v="536367"/>
    <n v="22748"/>
    <n v="2.1"/>
    <n v="6"/>
    <n v="0.1"/>
    <x v="0"/>
    <n v="12.600000000000001"/>
    <n v="1.2600000000000002"/>
    <n v="11.340000000000002"/>
    <n v="68.040000000000006"/>
  </r>
  <r>
    <n v="17"/>
    <s v="Caren"/>
    <s v="Stephens"/>
    <s v="NULL"/>
    <s v="caren.stephens@msn.com"/>
    <n v="6"/>
    <d v="2010-12-01T08:34:00"/>
    <n v="4"/>
    <n v="3"/>
    <s v="FELTCRAFT PRINCESS CHARLOTTE DOLL"/>
    <s v="Debit Card"/>
    <n v="536367"/>
    <n v="22749"/>
    <n v="3.75"/>
    <n v="8"/>
    <n v="7.0000000000000007E-2"/>
    <x v="0"/>
    <n v="30"/>
    <n v="2.1"/>
    <n v="27.9"/>
    <n v="223.2"/>
  </r>
  <r>
    <n v="18"/>
    <s v="Georgetta"/>
    <s v="Hardin"/>
    <s v="NULL"/>
    <s v="georgetta.hardin@aol.com"/>
    <n v="6"/>
    <d v="2010-12-01T08:34:00"/>
    <n v="4"/>
    <n v="9"/>
    <s v="IVORY KNITTED MUG COSY "/>
    <s v="Debit Card"/>
    <n v="536367"/>
    <n v="22310"/>
    <n v="1.65"/>
    <n v="6"/>
    <n v="7.0000000000000007E-2"/>
    <x v="0"/>
    <n v="9.8999999999999986"/>
    <n v="0.69299999999999995"/>
    <n v="9.206999999999999"/>
    <n v="55.24199999999999"/>
  </r>
  <r>
    <n v="19"/>
    <s v="Lizzette"/>
    <s v="Stein"/>
    <s v="NULL"/>
    <s v="lizzette.stein@yahoo.com"/>
    <n v="7"/>
    <d v="2010-12-01T08:34:00"/>
    <n v="4"/>
    <n v="15"/>
    <s v="BOX OF 6 ASSORTED COLOUR TEASPOONS"/>
    <s v="Debit Card"/>
    <n v="536367"/>
    <n v="84969"/>
    <n v="4.25"/>
    <n v="6"/>
    <n v="7.0000000000000007E-2"/>
    <x v="0"/>
    <n v="25.5"/>
    <n v="1.7850000000000001"/>
    <n v="23.715"/>
    <n v="142.29"/>
  </r>
  <r>
    <n v="20"/>
    <s v="Aleta"/>
    <s v="Shepard"/>
    <s v="NULL"/>
    <s v="aleta.shepard@aol.com"/>
    <n v="7"/>
    <d v="2010-12-01T08:34:00"/>
    <n v="4"/>
    <n v="3"/>
    <s v="BOX OF VINTAGE JIGSAW BLOCKS "/>
    <s v="Debit Card"/>
    <n v="536367"/>
    <n v="22623"/>
    <n v="4.95"/>
    <n v="3"/>
    <n v="0.1"/>
    <x v="0"/>
    <n v="14.850000000000001"/>
    <n v="1.4850000000000003"/>
    <n v="13.365000000000002"/>
    <n v="40.095000000000006"/>
  </r>
  <r>
    <n v="21"/>
    <s v="Tobie"/>
    <s v="Little"/>
    <s v="NULL"/>
    <s v="tobie.little@gmail.com"/>
    <n v="7"/>
    <d v="2010-12-01T08:34:00"/>
    <n v="4"/>
    <n v="17"/>
    <s v="BOX OF VINTAGE ALPHABET BLOCKS"/>
    <s v="Debit Card"/>
    <n v="536367"/>
    <n v="22622"/>
    <n v="9.9499999999999993"/>
    <n v="2"/>
    <n v="0.1"/>
    <x v="0"/>
    <n v="19.899999999999999"/>
    <n v="1.99"/>
    <n v="17.91"/>
    <n v="35.82"/>
  </r>
  <r>
    <n v="22"/>
    <s v="Adelle"/>
    <s v="Larsen"/>
    <s v="NULL"/>
    <s v="adelle.larsen@gmail.com"/>
    <n v="8"/>
    <d v="2010-12-01T08:34:00"/>
    <n v="4"/>
    <n v="22"/>
    <s v="HOME BUILDING BLOCK WORD"/>
    <s v="Debit Card"/>
    <n v="536367"/>
    <n v="21754"/>
    <n v="5.95"/>
    <n v="3"/>
    <n v="0.05"/>
    <x v="0"/>
    <n v="17.850000000000001"/>
    <n v="0.89250000000000007"/>
    <n v="16.957500000000003"/>
    <n v="50.872500000000009"/>
  </r>
  <r>
    <n v="23"/>
    <s v="Kaylee"/>
    <s v="English"/>
    <s v="NULL"/>
    <s v="kaylee.english@msn.com"/>
    <n v="8"/>
    <d v="2010-12-01T08:34:00"/>
    <n v="4"/>
    <n v="20"/>
    <s v="LOVE BUILDING BLOCK WORD"/>
    <s v="Debit Card"/>
    <n v="536367"/>
    <n v="21755"/>
    <n v="5.95"/>
    <n v="3"/>
    <n v="7.0000000000000007E-2"/>
    <x v="0"/>
    <n v="17.850000000000001"/>
    <n v="1.2495000000000003"/>
    <n v="16.6005"/>
    <n v="49.801500000000004"/>
  </r>
  <r>
    <n v="24"/>
    <s v="Corene"/>
    <s v="Wall"/>
    <s v="NULL"/>
    <s v="corene.wall@msn.com"/>
    <n v="9"/>
    <d v="2010-12-01T08:34:00"/>
    <n v="4"/>
    <n v="7"/>
    <s v="RECIPE BOX WITH METAL HEART"/>
    <s v="Debit Card"/>
    <n v="536367"/>
    <n v="21777"/>
    <n v="7.95"/>
    <n v="4"/>
    <n v="0.1"/>
    <x v="0"/>
    <n v="31.8"/>
    <n v="3.18"/>
    <n v="28.62"/>
    <n v="114.48"/>
  </r>
  <r>
    <n v="25"/>
    <s v="Regenia"/>
    <s v="Vaughan"/>
    <s v="NULL"/>
    <s v="regenia.vaughan@gmail.com"/>
    <n v="10"/>
    <d v="2010-12-01T08:34:00"/>
    <n v="4"/>
    <n v="14"/>
    <s v="DOORMAT NEW ENGLAND"/>
    <s v="Debit Card"/>
    <n v="536367"/>
    <n v="48187"/>
    <n v="7.95"/>
    <n v="4"/>
    <n v="0.1"/>
    <x v="0"/>
    <n v="31.8"/>
    <n v="3.18"/>
    <n v="28.62"/>
    <n v="114.48"/>
  </r>
  <r>
    <n v="26"/>
    <s v="Theo"/>
    <s v="Reese"/>
    <s v="(562) 215-2907"/>
    <s v="theo.reese@gmail.com"/>
    <n v="11"/>
    <d v="2010-12-01T08:35:00"/>
    <n v="4"/>
    <n v="8"/>
    <s v="BATH BUILDING BLOCK WORD"/>
    <s v="Debit Card"/>
    <n v="536369"/>
    <n v="21756"/>
    <n v="5.95"/>
    <n v="3"/>
    <n v="0.05"/>
    <x v="0"/>
    <n v="17.850000000000001"/>
    <n v="0.89250000000000007"/>
    <n v="16.957500000000003"/>
    <n v="50.872500000000009"/>
  </r>
  <r>
    <n v="27"/>
    <s v="Santos"/>
    <s v="Valencia"/>
    <s v="NULL"/>
    <s v="santos.valencia@yahoo.com"/>
    <n v="11"/>
    <d v="2010-12-01T08:45:00"/>
    <n v="1"/>
    <n v="22"/>
    <s v="ALARM CLOCK BAKELIKE PINK"/>
    <s v="Cash on Delivery"/>
    <n v="536370"/>
    <n v="22728"/>
    <n v="3.75"/>
    <n v="24"/>
    <n v="0.1"/>
    <x v="0"/>
    <n v="90"/>
    <n v="9"/>
    <n v="81"/>
    <n v="1944"/>
  </r>
  <r>
    <n v="28"/>
    <s v="Jeanice"/>
    <s v="Frost"/>
    <s v="NULL"/>
    <s v="jeanice.frost@hotmail.com"/>
    <n v="11"/>
    <d v="2010-12-01T08:45:00"/>
    <n v="1"/>
    <n v="16"/>
    <s v="ALARM CLOCK BAKELIKE RED "/>
    <s v="Cash on Delivery"/>
    <n v="536370"/>
    <n v="22727"/>
    <n v="3.75"/>
    <n v="24"/>
    <n v="0.2"/>
    <x v="0"/>
    <n v="90"/>
    <n v="18"/>
    <n v="72"/>
    <n v="1728"/>
  </r>
  <r>
    <n v="29"/>
    <s v="Syreeta"/>
    <s v="Hendricks"/>
    <s v="NULL"/>
    <s v="syreeta.hendricks@msn.com"/>
    <n v="12"/>
    <d v="2010-12-01T08:45:00"/>
    <n v="1"/>
    <n v="4"/>
    <s v="ALARM CLOCK BAKELIKE GREEN"/>
    <s v="Cash on Delivery"/>
    <n v="536370"/>
    <n v="22726"/>
    <n v="3.75"/>
    <n v="12"/>
    <n v="0.1"/>
    <x v="0"/>
    <n v="45"/>
    <n v="4.5"/>
    <n v="40.5"/>
    <n v="486"/>
  </r>
  <r>
    <n v="30"/>
    <s v="Jamaal"/>
    <s v="Albert"/>
    <s v="NULL"/>
    <s v="jamaal.albert@gmail.com"/>
    <n v="12"/>
    <d v="2010-12-01T08:45:00"/>
    <n v="1"/>
    <n v="11"/>
    <s v="PANDA AND BUNNIES STICKER SHEET"/>
    <s v="Cash on Delivery"/>
    <n v="536370"/>
    <n v="21724"/>
    <n v="0.85"/>
    <n v="12"/>
    <n v="0.05"/>
    <x v="0"/>
    <n v="10.199999999999999"/>
    <n v="0.51"/>
    <n v="9.69"/>
    <n v="116.28"/>
  </r>
  <r>
    <n v="31"/>
    <s v="Williemae"/>
    <s v="Holloway"/>
    <s v="(510) 246-8375"/>
    <s v="williemae.holloway@msn.com"/>
    <n v="13"/>
    <d v="2010-12-01T08:45:00"/>
    <n v="1"/>
    <n v="13"/>
    <s v="STARS GIFT TAPE "/>
    <s v="Cash on Delivery"/>
    <n v="536370"/>
    <n v="21883"/>
    <n v="0.65"/>
    <n v="24"/>
    <n v="0.1"/>
    <x v="0"/>
    <n v="15.600000000000001"/>
    <n v="1.5600000000000003"/>
    <n v="14.040000000000001"/>
    <n v="336.96000000000004"/>
  </r>
  <r>
    <n v="32"/>
    <s v="Araceli"/>
    <s v="Golden"/>
    <s v="NULL"/>
    <s v="araceli.golden@msn.com"/>
    <n v="13"/>
    <d v="2010-12-01T08:45:00"/>
    <n v="1"/>
    <n v="17"/>
    <s v="INFLATABLE POLITICAL GLOBE "/>
    <s v="Cash on Delivery"/>
    <n v="536370"/>
    <n v="10002"/>
    <n v="0.85"/>
    <n v="48"/>
    <n v="0.05"/>
    <x v="0"/>
    <n v="40.799999999999997"/>
    <n v="2.04"/>
    <n v="38.76"/>
    <n v="1860.48"/>
  </r>
  <r>
    <n v="33"/>
    <s v="Deloris"/>
    <s v="Burke"/>
    <s v="NULL"/>
    <s v="deloris.burke@hotmail.com"/>
    <n v="13"/>
    <d v="2010-12-01T08:45:00"/>
    <n v="1"/>
    <n v="20"/>
    <s v="VINTAGE HEADS AND TAILS CARD GAME "/>
    <s v="Cash on Delivery"/>
    <n v="536370"/>
    <n v="21791"/>
    <n v="1.25"/>
    <n v="24"/>
    <n v="0.1"/>
    <x v="0"/>
    <n v="30"/>
    <n v="3"/>
    <n v="27"/>
    <n v="648"/>
  </r>
  <r>
    <n v="34"/>
    <s v="Brittney"/>
    <s v="Woodward"/>
    <s v="NULL"/>
    <s v="brittney.woodward@aol.com"/>
    <n v="13"/>
    <d v="2010-12-01T08:45:00"/>
    <n v="1"/>
    <n v="16"/>
    <s v="SET/2 RED RETROSPOT TEA TOWELS "/>
    <s v="Cash on Delivery"/>
    <n v="536370"/>
    <n v="21035"/>
    <n v="2.95"/>
    <n v="18"/>
    <n v="0.05"/>
    <x v="0"/>
    <n v="53.1"/>
    <n v="2.6550000000000002"/>
    <n v="50.445"/>
    <n v="908.01"/>
  </r>
  <r>
    <n v="35"/>
    <s v="Guillermina"/>
    <s v="Noble"/>
    <s v="NULL"/>
    <s v="guillermina.noble@msn.com"/>
    <n v="14"/>
    <d v="2010-12-01T08:45:00"/>
    <n v="2"/>
    <n v="6"/>
    <s v="ROUND SNACK BOXES SET OF4 WOODLAND "/>
    <s v="Cash on Delivery"/>
    <n v="536370"/>
    <n v="22326"/>
    <n v="2.95"/>
    <n v="24"/>
    <n v="7.0000000000000007E-2"/>
    <x v="0"/>
    <n v="70.800000000000011"/>
    <n v="4.9560000000000013"/>
    <n v="65.844000000000008"/>
    <n v="1580.2560000000003"/>
  </r>
  <r>
    <n v="36"/>
    <s v="Bernita"/>
    <s v="Mcdaniel"/>
    <s v="NULL"/>
    <s v="bernita.mcdaniel@hotmail.com"/>
    <n v="15"/>
    <d v="2010-12-01T08:45:00"/>
    <n v="2"/>
    <n v="12"/>
    <s v="SPACEBOY LUNCH BOX "/>
    <s v="Cash on Delivery"/>
    <n v="536370"/>
    <n v="22629"/>
    <n v="1.95"/>
    <n v="24"/>
    <n v="7.0000000000000007E-2"/>
    <x v="0"/>
    <n v="46.8"/>
    <n v="3.2760000000000002"/>
    <n v="43.523999999999994"/>
    <n v="1044.5759999999998"/>
  </r>
  <r>
    <n v="37"/>
    <s v="Melia"/>
    <s v="Brady"/>
    <s v="NULL"/>
    <s v="melia.brady@gmail.com"/>
    <n v="15"/>
    <d v="2010-12-01T08:45:00"/>
    <n v="2"/>
    <n v="8"/>
    <s v="LUNCH BOX I LOVE LONDON"/>
    <s v="Cash on Delivery"/>
    <n v="536370"/>
    <n v="22659"/>
    <n v="1.95"/>
    <n v="24"/>
    <n v="7.0000000000000007E-2"/>
    <x v="0"/>
    <n v="46.8"/>
    <n v="3.2760000000000002"/>
    <n v="43.523999999999994"/>
    <n v="1044.5759999999998"/>
  </r>
  <r>
    <n v="38"/>
    <s v="Zelma"/>
    <s v="Browning"/>
    <s v="NULL"/>
    <s v="zelma.browning@aol.com"/>
    <n v="15"/>
    <d v="2010-12-01T08:45:00"/>
    <n v="2"/>
    <n v="18"/>
    <s v="CIRCUS PARADE LUNCH BOX "/>
    <s v="Cash on Delivery"/>
    <n v="536370"/>
    <n v="22631"/>
    <n v="1.95"/>
    <n v="24"/>
    <n v="0.05"/>
    <x v="0"/>
    <n v="46.8"/>
    <n v="2.34"/>
    <n v="44.459999999999994"/>
    <n v="1067.04"/>
  </r>
  <r>
    <n v="39"/>
    <s v="Janetta"/>
    <s v="Aguirre"/>
    <s v="(717) 670-2634"/>
    <s v="janetta.aguirre@aol.com"/>
    <n v="15"/>
    <d v="2010-12-01T08:45:00"/>
    <n v="2"/>
    <n v="23"/>
    <s v="CHARLOTTE BAG DOLLY GIRL DESIGN"/>
    <s v="Cash on Delivery"/>
    <n v="536370"/>
    <n v="22661"/>
    <n v="0.85"/>
    <n v="20"/>
    <n v="0.2"/>
    <x v="0"/>
    <n v="17"/>
    <n v="3.4000000000000004"/>
    <n v="13.6"/>
    <n v="272"/>
  </r>
  <r>
    <n v="40"/>
    <s v="Ronna"/>
    <s v="Butler"/>
    <s v="NULL"/>
    <s v="ronna.butler@gmail.com"/>
    <n v="16"/>
    <d v="2010-12-01T08:45:00"/>
    <n v="2"/>
    <n v="8"/>
    <s v="RED TOADSTOOL LED NIGHT LIGHT"/>
    <s v="Cash on Delivery"/>
    <n v="536370"/>
    <n v="21731"/>
    <n v="1.65"/>
    <n v="24"/>
    <n v="0.2"/>
    <x v="0"/>
    <n v="39.599999999999994"/>
    <n v="7.919999999999999"/>
    <n v="31.679999999999996"/>
    <n v="760.31999999999994"/>
  </r>
  <r>
    <n v="41"/>
    <s v="Kathie"/>
    <s v="Freeman"/>
    <s v="NULL"/>
    <s v="kathie.freeman@msn.com"/>
    <n v="16"/>
    <d v="2010-12-01T08:45:00"/>
    <n v="2"/>
    <n v="21"/>
    <s v=" SET 2 TEA TOWELS I LOVE LONDON "/>
    <s v="Cash on Delivery"/>
    <n v="536370"/>
    <n v="22900"/>
    <n v="2.95"/>
    <n v="24"/>
    <n v="0.05"/>
    <x v="0"/>
    <n v="70.800000000000011"/>
    <n v="3.5400000000000009"/>
    <n v="67.260000000000005"/>
    <n v="1614.2400000000002"/>
  </r>
  <r>
    <n v="42"/>
    <s v="Tangela"/>
    <s v="Quinn"/>
    <s v="NULL"/>
    <s v="tangela.quinn@aol.com"/>
    <n v="16"/>
    <d v="2010-12-01T08:45:00"/>
    <n v="3"/>
    <n v="13"/>
    <s v="VINTAGE SEASIDE JIGSAW PUZZLES"/>
    <s v="Debit Card"/>
    <n v="536370"/>
    <n v="21913"/>
    <n v="3.75"/>
    <n v="12"/>
    <n v="7.0000000000000007E-2"/>
    <x v="0"/>
    <n v="45"/>
    <n v="3.1500000000000004"/>
    <n v="41.85"/>
    <n v="502.20000000000005"/>
  </r>
  <r>
    <n v="43"/>
    <s v="Mozelle"/>
    <s v="Carter"/>
    <s v="(281) 489-9656"/>
    <s v="mozelle.carter@aol.com"/>
    <n v="16"/>
    <d v="2010-12-01T08:45:00"/>
    <n v="3"/>
    <n v="14"/>
    <s v="MINI JIGSAW CIRCUS PARADE "/>
    <s v="Debit Card"/>
    <n v="536370"/>
    <n v="22540"/>
    <n v="0.42"/>
    <n v="24"/>
    <n v="7.0000000000000007E-2"/>
    <x v="0"/>
    <n v="10.08"/>
    <n v="0.70560000000000012"/>
    <n v="9.3743999999999996"/>
    <n v="224.98559999999998"/>
  </r>
  <r>
    <n v="44"/>
    <s v="Onita"/>
    <s v="Johns"/>
    <s v="NULL"/>
    <s v="onita.johns@msn.com"/>
    <n v="17"/>
    <d v="2010-12-01T08:45:00"/>
    <n v="4"/>
    <n v="8"/>
    <s v="MINI JIGSAW SPACEBOY"/>
    <s v="Debit Card"/>
    <n v="536370"/>
    <n v="22544"/>
    <n v="0.42"/>
    <n v="24"/>
    <n v="7.0000000000000007E-2"/>
    <x v="0"/>
    <n v="10.08"/>
    <n v="0.70560000000000012"/>
    <n v="9.3743999999999996"/>
    <n v="224.98559999999998"/>
  </r>
  <r>
    <n v="45"/>
    <s v="Bennett"/>
    <s v="Armstrong"/>
    <s v="NULL"/>
    <s v="bennett.armstrong@aol.com"/>
    <n v="17"/>
    <d v="2010-12-01T08:45:00"/>
    <n v="4"/>
    <n v="23"/>
    <s v="MINI PAINT SET VINTAGE "/>
    <s v="Debit Card"/>
    <n v="536370"/>
    <n v="22492"/>
    <n v="0.65"/>
    <n v="36"/>
    <n v="0.1"/>
    <x v="0"/>
    <n v="23.400000000000002"/>
    <n v="2.3400000000000003"/>
    <n v="21.060000000000002"/>
    <n v="758.16000000000008"/>
  </r>
  <r>
    <n v="46"/>
    <s v="Monika"/>
    <s v="Berg"/>
    <s v="NULL"/>
    <s v="monika.berg@gmail.com"/>
    <n v="17"/>
    <d v="2010-12-01T08:45:00"/>
    <n v="4"/>
    <n v="5"/>
    <s v="POSTAGE"/>
    <s v="Debit Card"/>
    <n v="536370"/>
    <s v="POST"/>
    <n v="18"/>
    <n v="3"/>
    <n v="0.1"/>
    <x v="0"/>
    <n v="54"/>
    <n v="5.4"/>
    <n v="48.6"/>
    <n v="145.80000000000001"/>
  </r>
  <r>
    <n v="47"/>
    <s v="Bridgette"/>
    <s v="Guerra"/>
    <s v="NULL"/>
    <s v="bridgette.guerra@hotmail.com"/>
    <n v="17"/>
    <d v="2010-12-01T09:00:00"/>
    <n v="4"/>
    <n v="20"/>
    <s v="PAPER CHAIN KIT 50'S CHRISTMAS "/>
    <s v="Debit Card"/>
    <n v="536371"/>
    <n v="22086"/>
    <n v="2.5499999999999998"/>
    <n v="80"/>
    <n v="0.2"/>
    <x v="0"/>
    <n v="204"/>
    <n v="40.800000000000004"/>
    <n v="163.19999999999999"/>
    <n v="13056"/>
  </r>
  <r>
    <n v="48"/>
    <s v="Cesar"/>
    <s v="Jackson"/>
    <s v="NULL"/>
    <s v="cesar.jackson@gmail.com"/>
    <n v="18"/>
    <d v="2010-12-01T09:01:00"/>
    <n v="4"/>
    <n v="2"/>
    <s v="HAND WARMER RED POLKA DOT"/>
    <s v="Debit Card"/>
    <n v="536372"/>
    <n v="22632"/>
    <n v="1.85"/>
    <n v="6"/>
    <n v="0.2"/>
    <x v="0"/>
    <n v="11.100000000000001"/>
    <n v="2.2200000000000002"/>
    <n v="8.8800000000000008"/>
    <n v="53.28"/>
  </r>
  <r>
    <n v="49"/>
    <s v="Caroll"/>
    <s v="Hays"/>
    <s v="NULL"/>
    <s v="caroll.hays@yahoo.com"/>
    <n v="18"/>
    <d v="2010-12-01T09:01:00"/>
    <n v="4"/>
    <n v="22"/>
    <s v="HAND WARMER UNION JACK"/>
    <s v="Debit Card"/>
    <n v="536372"/>
    <n v="22633"/>
    <n v="1.85"/>
    <n v="6"/>
    <n v="0.05"/>
    <x v="0"/>
    <n v="11.100000000000001"/>
    <n v="0.55500000000000005"/>
    <n v="10.545000000000002"/>
    <n v="63.27000000000001"/>
  </r>
  <r>
    <n v="50"/>
    <s v="Cleotilde"/>
    <s v="Booth"/>
    <s v="NULL"/>
    <s v="cleotilde.booth@gmail.com"/>
    <n v="18"/>
    <d v="2010-12-01T09:02:00"/>
    <n v="4"/>
    <n v="7"/>
    <s v="WHITE HANGING HEART T-LIGHT HOLDER"/>
    <s v="Debit Card"/>
    <n v="536373"/>
    <s v="85123A"/>
    <n v="2.5499999999999998"/>
    <n v="6"/>
    <n v="0.1"/>
    <x v="0"/>
    <n v="15.299999999999999"/>
    <n v="1.53"/>
    <n v="13.77"/>
    <n v="82.62"/>
  </r>
  <r>
    <n v="51"/>
    <s v="Gertrud"/>
    <s v="Rhodes"/>
    <s v="NULL"/>
    <s v="gertrud.rhodes@aol.com"/>
    <n v="18"/>
    <d v="2010-12-01T09:02:00"/>
    <n v="4"/>
    <n v="25"/>
    <s v="WHITE METAL LANTERN"/>
    <s v="Debit Card"/>
    <n v="536373"/>
    <n v="71053"/>
    <n v="3.39"/>
    <n v="6"/>
    <n v="0.05"/>
    <x v="0"/>
    <n v="20.34"/>
    <n v="1.0170000000000001"/>
    <n v="19.323"/>
    <n v="115.938"/>
  </r>
  <r>
    <n v="52"/>
    <s v="Tu"/>
    <s v="Ramirez"/>
    <s v="NULL"/>
    <s v="tu.ramirez@hotmail.com"/>
    <n v="18"/>
    <d v="2010-12-01T09:02:00"/>
    <n v="4"/>
    <n v="9"/>
    <s v="CREAM CUPID HEARTS COAT HANGER"/>
    <s v="Debit Card"/>
    <n v="536373"/>
    <s v="84406B"/>
    <n v="2.75"/>
    <n v="8"/>
    <n v="0.1"/>
    <x v="0"/>
    <n v="22"/>
    <n v="2.2000000000000002"/>
    <n v="19.8"/>
    <n v="158.4"/>
  </r>
  <r>
    <n v="53"/>
    <s v="Saturnina"/>
    <s v="Garner"/>
    <s v="NULL"/>
    <s v="saturnina.garner@gmail.com"/>
    <n v="19"/>
    <d v="2010-12-01T09:02:00"/>
    <n v="4"/>
    <n v="10"/>
    <s v="EDWARDIAN PARASOL RED"/>
    <s v="Debit Card"/>
    <n v="536373"/>
    <n v="20679"/>
    <n v="4.95"/>
    <n v="6"/>
    <n v="7.0000000000000007E-2"/>
    <x v="0"/>
    <n v="29.700000000000003"/>
    <n v="2.0790000000000002"/>
    <n v="27.621000000000002"/>
    <n v="165.726"/>
  </r>
  <r>
    <n v="54"/>
    <s v="Fran"/>
    <s v="Yang"/>
    <s v="NULL"/>
    <s v="fran.yang@hotmail.com"/>
    <n v="19"/>
    <d v="2010-12-01T09:02:00"/>
    <n v="4"/>
    <n v="9"/>
    <s v="RETRO COFFEE MUGS ASSORTED"/>
    <s v="Debit Card"/>
    <n v="536373"/>
    <n v="37370"/>
    <n v="1.06"/>
    <n v="6"/>
    <n v="0.2"/>
    <x v="0"/>
    <n v="6.36"/>
    <n v="1.2720000000000002"/>
    <n v="5.0880000000000001"/>
    <n v="30.527999999999999"/>
  </r>
  <r>
    <n v="55"/>
    <s v="Diana"/>
    <s v="Guerra"/>
    <s v="NULL"/>
    <s v="diana.guerra@hotmail.com"/>
    <n v="20"/>
    <d v="2010-12-01T09:02:00"/>
    <n v="4"/>
    <n v="9"/>
    <s v="SAVE THE PLANET MUG"/>
    <s v="Debit Card"/>
    <n v="536373"/>
    <n v="21871"/>
    <n v="1.06"/>
    <n v="6"/>
    <n v="7.0000000000000007E-2"/>
    <x v="0"/>
    <n v="6.36"/>
    <n v="0.44520000000000004"/>
    <n v="5.9148000000000005"/>
    <n v="35.488800000000005"/>
  </r>
  <r>
    <n v="56"/>
    <s v="Lolita"/>
    <s v="Mosley"/>
    <s v="(281) 363-3309"/>
    <s v="lolita.mosley@hotmail.com"/>
    <n v="20"/>
    <d v="2010-12-01T09:02:00"/>
    <n v="4"/>
    <n v="10"/>
    <s v="VINTAGE BILLBOARD DRINK ME MUG"/>
    <s v="Debit Card"/>
    <n v="536373"/>
    <n v="21071"/>
    <n v="1.06"/>
    <n v="6"/>
    <n v="7.0000000000000007E-2"/>
    <x v="0"/>
    <n v="6.36"/>
    <n v="0.44520000000000004"/>
    <n v="5.9148000000000005"/>
    <n v="35.488800000000005"/>
  </r>
  <r>
    <n v="57"/>
    <s v="Pamala"/>
    <s v="Henry"/>
    <s v="NULL"/>
    <s v="pamala.henry@aol.com"/>
    <n v="21"/>
    <d v="2010-12-01T09:02:00"/>
    <n v="4"/>
    <n v="14"/>
    <s v="VINTAGE BILLBOARD LOVE/HATE MUG"/>
    <s v="Debit Card"/>
    <n v="536373"/>
    <n v="21068"/>
    <n v="1.06"/>
    <n v="6"/>
    <n v="0.05"/>
    <x v="0"/>
    <n v="6.36"/>
    <n v="0.31800000000000006"/>
    <n v="6.0419999999999998"/>
    <n v="36.251999999999995"/>
  </r>
  <r>
    <n v="58"/>
    <s v="Damien"/>
    <s v="Dorsey"/>
    <s v="NULL"/>
    <s v="damien.dorsey@yahoo.com"/>
    <n v="21"/>
    <d v="2010-12-01T09:02:00"/>
    <n v="4"/>
    <n v="17"/>
    <s v="WOOD 2 DRAWER CABINET WHITE FINISH"/>
    <s v="Debit Card"/>
    <n v="536373"/>
    <n v="82483"/>
    <n v="4.95"/>
    <n v="2"/>
    <n v="0.1"/>
    <x v="0"/>
    <n v="9.9"/>
    <n v="0.9900000000000001"/>
    <n v="8.91"/>
    <n v="17.82"/>
  </r>
  <r>
    <n v="59"/>
    <s v="Latasha"/>
    <s v="Stanley"/>
    <s v="NULL"/>
    <s v="latasha.stanley@gmail.com"/>
    <n v="21"/>
    <d v="2010-12-01T09:02:00"/>
    <n v="4"/>
    <n v="10"/>
    <s v="WOOD S/3 CABINET ANT WHITE FINISH"/>
    <s v="Debit Card"/>
    <n v="536373"/>
    <n v="82486"/>
    <n v="6.95"/>
    <n v="4"/>
    <n v="7.0000000000000007E-2"/>
    <x v="0"/>
    <n v="27.8"/>
    <n v="1.9460000000000002"/>
    <n v="25.853999999999999"/>
    <n v="103.416"/>
  </r>
  <r>
    <n v="60"/>
    <s v="Neil"/>
    <s v="Mccall"/>
    <s v="NULL"/>
    <s v="neil.mccall@gmail.com"/>
    <n v="22"/>
    <d v="2010-12-01T09:02:00"/>
    <n v="4"/>
    <n v="15"/>
    <s v="WOODEN PICTURE FRAME WHITE FINISH"/>
    <s v="Debit Card"/>
    <n v="536373"/>
    <n v="82482"/>
    <n v="2.1"/>
    <n v="6"/>
    <n v="0.2"/>
    <x v="0"/>
    <n v="12.600000000000001"/>
    <n v="2.5200000000000005"/>
    <n v="10.080000000000002"/>
    <n v="60.480000000000011"/>
  </r>
  <r>
    <n v="61"/>
    <s v="Elinore"/>
    <s v="Aguilar"/>
    <s v="NULL"/>
    <s v="elinore.aguilar@msn.com"/>
    <n v="22"/>
    <d v="2010-12-01T09:02:00"/>
    <n v="4"/>
    <n v="22"/>
    <s v="WOODEN FRAME ANTIQUE WHITE "/>
    <s v="Debit Card"/>
    <n v="536373"/>
    <s v="82494L"/>
    <n v="2.5499999999999998"/>
    <n v="6"/>
    <n v="0.05"/>
    <x v="0"/>
    <n v="15.299999999999999"/>
    <n v="0.76500000000000001"/>
    <n v="14.534999999999998"/>
    <n v="87.21"/>
  </r>
  <r>
    <n v="62"/>
    <s v="Alica"/>
    <s v="Hunter"/>
    <s v="NULL"/>
    <s v="alica.hunter@hotmail.com"/>
    <n v="23"/>
    <d v="2010-12-01T09:02:00"/>
    <n v="4"/>
    <n v="4"/>
    <s v="KNITTED UNION FLAG HOT WATER BOTTLE"/>
    <s v="Debit Card"/>
    <n v="536373"/>
    <s v="84029G"/>
    <n v="3.39"/>
    <n v="6"/>
    <n v="0.05"/>
    <x v="0"/>
    <n v="20.34"/>
    <n v="1.0170000000000001"/>
    <n v="19.323"/>
    <n v="115.938"/>
  </r>
  <r>
    <n v="63"/>
    <s v="Tenisha"/>
    <s v="Lyons"/>
    <s v="NULL"/>
    <s v="tenisha.lyons@aol.com"/>
    <n v="23"/>
    <d v="2010-12-01T09:02:00"/>
    <n v="4"/>
    <n v="23"/>
    <s v="RED WOOLLY HOTTIE WHITE HEART."/>
    <s v="Debit Card"/>
    <n v="536373"/>
    <s v="84029E"/>
    <n v="3.39"/>
    <n v="6"/>
    <n v="0.1"/>
    <x v="0"/>
    <n v="20.34"/>
    <n v="2.0340000000000003"/>
    <n v="18.306000000000001"/>
    <n v="109.83600000000001"/>
  </r>
  <r>
    <n v="64"/>
    <s v="Bobbie"/>
    <s v="Foster"/>
    <s v="NULL"/>
    <s v="bobbie.foster@yahoo.com"/>
    <n v="23"/>
    <d v="2010-12-01T09:02:00"/>
    <n v="4"/>
    <n v="13"/>
    <s v="SET 7 BABUSHKA NESTING BOXES"/>
    <s v="Debit Card"/>
    <n v="536373"/>
    <n v="22752"/>
    <n v="7.65"/>
    <n v="2"/>
    <n v="0.2"/>
    <x v="0"/>
    <n v="15.3"/>
    <n v="3.0600000000000005"/>
    <n v="12.24"/>
    <n v="24.48"/>
  </r>
  <r>
    <n v="65"/>
    <s v="Kanesha"/>
    <s v="Vega"/>
    <s v="NULL"/>
    <s v="kanesha.vega@gmail.com"/>
    <n v="24"/>
    <d v="2010-12-01T09:02:00"/>
    <n v="4"/>
    <n v="3"/>
    <s v="GLASS STAR FROSTED T-LIGHT HOLDER"/>
    <s v="Debit Card"/>
    <n v="536373"/>
    <n v="21730"/>
    <n v="4.25"/>
    <n v="6"/>
    <n v="0.1"/>
    <x v="0"/>
    <n v="25.5"/>
    <n v="2.5500000000000003"/>
    <n v="22.95"/>
    <n v="137.69999999999999"/>
  </r>
  <r>
    <n v="66"/>
    <s v="Lorrie"/>
    <s v="Becker"/>
    <s v="NULL"/>
    <s v="lorrie.becker@yahoo.com"/>
    <n v="24"/>
    <d v="2010-12-01T09:09:00"/>
    <n v="4"/>
    <n v="18"/>
    <s v="VICTORIAN SEWING BOX LARGE"/>
    <s v="Debit Card"/>
    <n v="536374"/>
    <n v="21258"/>
    <n v="10.95"/>
    <n v="32"/>
    <n v="7.0000000000000007E-2"/>
    <x v="0"/>
    <n v="350.4"/>
    <n v="24.528000000000002"/>
    <n v="325.87199999999996"/>
    <n v="10427.903999999999"/>
  </r>
  <r>
    <n v="67"/>
    <s v="Tommie"/>
    <s v="Melton"/>
    <s v="(916) 802-2952"/>
    <s v="tommie.melton@gmail.com"/>
    <n v="25"/>
    <d v="2010-12-01T09:32:00"/>
    <n v="4"/>
    <n v="23"/>
    <s v="WHITE HANGING HEART T-LIGHT HOLDER"/>
    <s v="Debit Card"/>
    <n v="536375"/>
    <s v="85123A"/>
    <n v="2.5499999999999998"/>
    <n v="6"/>
    <n v="0.2"/>
    <x v="0"/>
    <n v="15.299999999999999"/>
    <n v="3.06"/>
    <n v="12.239999999999998"/>
    <n v="73.44"/>
  </r>
  <r>
    <n v="68"/>
    <s v="Jayne"/>
    <s v="Kirkland"/>
    <s v="NULL"/>
    <s v="jayne.kirkland@hotmail.com"/>
    <n v="25"/>
    <d v="2010-12-01T09:32:00"/>
    <n v="4"/>
    <n v="10"/>
    <s v="WHITE METAL LANTERN"/>
    <s v="Debit Card"/>
    <n v="536375"/>
    <n v="71053"/>
    <n v="3.39"/>
    <n v="6"/>
    <n v="0.2"/>
    <x v="0"/>
    <n v="20.34"/>
    <n v="4.0680000000000005"/>
    <n v="16.271999999999998"/>
    <n v="97.631999999999991"/>
  </r>
  <r>
    <n v="69"/>
    <s v="Katelin"/>
    <s v="Kennedy"/>
    <s v="NULL"/>
    <s v="katelin.kennedy@gmail.com"/>
    <n v="25"/>
    <d v="2010-12-01T09:32:00"/>
    <n v="4"/>
    <n v="22"/>
    <s v="CREAM CUPID HEARTS COAT HANGER"/>
    <s v="Debit Card"/>
    <n v="536375"/>
    <s v="84406B"/>
    <n v="2.75"/>
    <n v="8"/>
    <n v="0.2"/>
    <x v="0"/>
    <n v="22"/>
    <n v="4.4000000000000004"/>
    <n v="17.600000000000001"/>
    <n v="140.80000000000001"/>
  </r>
  <r>
    <n v="70"/>
    <s v="Tomasa"/>
    <s v="Carson"/>
    <s v="NULL"/>
    <s v="tomasa.carson@aol.com"/>
    <n v="25"/>
    <d v="2010-12-01T09:32:00"/>
    <n v="3"/>
    <n v="14"/>
    <s v="EDWARDIAN PARASOL RED"/>
    <s v="Debit Card"/>
    <n v="536375"/>
    <n v="20679"/>
    <n v="4.95"/>
    <n v="6"/>
    <n v="0.2"/>
    <x v="0"/>
    <n v="29.700000000000003"/>
    <n v="5.9400000000000013"/>
    <n v="23.76"/>
    <n v="142.56"/>
  </r>
  <r>
    <n v="71"/>
    <s v="Takako"/>
    <s v="Casey"/>
    <s v="NULL"/>
    <s v="takako.casey@aol.com"/>
    <n v="25"/>
    <d v="2010-12-01T09:32:00"/>
    <n v="4"/>
    <n v="21"/>
    <s v="RETRO COFFEE MUGS ASSORTED"/>
    <s v="Debit Card"/>
    <n v="536375"/>
    <n v="37370"/>
    <n v="1.06"/>
    <n v="6"/>
    <n v="0.1"/>
    <x v="0"/>
    <n v="6.36"/>
    <n v="0.63600000000000012"/>
    <n v="5.7240000000000002"/>
    <n v="34.344000000000001"/>
  </r>
  <r>
    <n v="72"/>
    <s v="Petronila"/>
    <s v="Norris"/>
    <s v="NULL"/>
    <s v="petronila.norris@aol.com"/>
    <n v="26"/>
    <d v="2010-12-01T09:32:00"/>
    <n v="4"/>
    <n v="7"/>
    <s v="SAVE THE PLANET MUG"/>
    <s v="Debit Card"/>
    <n v="536375"/>
    <n v="21871"/>
    <n v="1.06"/>
    <n v="6"/>
    <n v="0.05"/>
    <x v="0"/>
    <n v="6.36"/>
    <n v="0.31800000000000006"/>
    <n v="6.0419999999999998"/>
    <n v="36.251999999999995"/>
  </r>
  <r>
    <n v="73"/>
    <s v="Melanie"/>
    <s v="Hayes"/>
    <s v="NULL"/>
    <s v="melanie.hayes@msn.com"/>
    <n v="26"/>
    <d v="2010-12-01T09:32:00"/>
    <n v="4"/>
    <n v="2"/>
    <s v="VINTAGE BILLBOARD DRINK ME MUG"/>
    <s v="Debit Card"/>
    <n v="536375"/>
    <n v="21071"/>
    <n v="1.06"/>
    <n v="6"/>
    <n v="0.2"/>
    <x v="0"/>
    <n v="6.36"/>
    <n v="1.2720000000000002"/>
    <n v="5.0880000000000001"/>
    <n v="30.527999999999999"/>
  </r>
  <r>
    <n v="74"/>
    <s v="Georgeann"/>
    <s v="Waller"/>
    <s v="NULL"/>
    <s v="georgeann.waller@yahoo.com"/>
    <n v="26"/>
    <d v="2010-12-01T09:32:00"/>
    <n v="4"/>
    <n v="12"/>
    <s v="VINTAGE BILLBOARD LOVE/HATE MUG"/>
    <s v="Debit Card"/>
    <n v="536375"/>
    <n v="21068"/>
    <n v="1.06"/>
    <n v="6"/>
    <n v="0.2"/>
    <x v="0"/>
    <n v="6.36"/>
    <n v="1.2720000000000002"/>
    <n v="5.0880000000000001"/>
    <n v="30.527999999999999"/>
  </r>
  <r>
    <n v="75"/>
    <s v="Abby"/>
    <s v="Gamble"/>
    <s v="NULL"/>
    <s v="abby.gamble@aol.com"/>
    <n v="26"/>
    <d v="2010-12-01T09:32:00"/>
    <n v="4"/>
    <n v="21"/>
    <s v="WOOD 2 DRAWER CABINET WHITE FINISH"/>
    <s v="Debit Card"/>
    <n v="536375"/>
    <n v="82483"/>
    <n v="4.95"/>
    <n v="2"/>
    <n v="7.0000000000000007E-2"/>
    <x v="0"/>
    <n v="9.9"/>
    <n v="0.69300000000000006"/>
    <n v="9.2070000000000007"/>
    <n v="18.414000000000001"/>
  </r>
  <r>
    <n v="76"/>
    <s v="Parker"/>
    <s v="Prince"/>
    <s v="NULL"/>
    <s v="parker.prince@hotmail.com"/>
    <n v="27"/>
    <d v="2010-12-01T09:32:00"/>
    <n v="3"/>
    <n v="5"/>
    <s v="WOOD S/3 CABINET ANT WHITE FINISH"/>
    <s v="Debit Card"/>
    <n v="536375"/>
    <n v="82486"/>
    <n v="6.95"/>
    <n v="4"/>
    <n v="0.2"/>
    <x v="0"/>
    <n v="27.8"/>
    <n v="5.5600000000000005"/>
    <n v="22.240000000000002"/>
    <n v="88.960000000000008"/>
  </r>
  <r>
    <n v="77"/>
    <s v="Keri"/>
    <s v="Bridges"/>
    <s v="NULL"/>
    <s v="keri.bridges@gmail.com"/>
    <n v="27"/>
    <d v="2010-12-01T09:32:00"/>
    <n v="4"/>
    <n v="19"/>
    <s v="WOODEN PICTURE FRAME WHITE FINISH"/>
    <s v="Debit Card"/>
    <n v="536375"/>
    <n v="82482"/>
    <n v="2.1"/>
    <n v="6"/>
    <n v="0.2"/>
    <x v="0"/>
    <n v="12.600000000000001"/>
    <n v="2.5200000000000005"/>
    <n v="10.080000000000002"/>
    <n v="60.480000000000011"/>
  </r>
  <r>
    <n v="78"/>
    <s v="Chi"/>
    <s v="Goff"/>
    <s v="NULL"/>
    <s v="chi.goff@aol.com"/>
    <n v="27"/>
    <d v="2010-12-01T09:32:00"/>
    <n v="4"/>
    <n v="26"/>
    <s v="WOODEN FRAME ANTIQUE WHITE "/>
    <s v="Debit Card"/>
    <n v="536375"/>
    <s v="82494L"/>
    <n v="2.5499999999999998"/>
    <n v="6"/>
    <n v="7.0000000000000007E-2"/>
    <x v="0"/>
    <n v="15.299999999999999"/>
    <n v="1.071"/>
    <n v="14.228999999999999"/>
    <n v="85.373999999999995"/>
  </r>
  <r>
    <n v="79"/>
    <s v="Ashanti"/>
    <s v="Parks"/>
    <s v="NULL"/>
    <s v="ashanti.parks@hotmail.com"/>
    <n v="27"/>
    <d v="2010-12-01T09:32:00"/>
    <n v="4"/>
    <n v="8"/>
    <s v="KNITTED UNION FLAG HOT WATER BOTTLE"/>
    <s v="Debit Card"/>
    <n v="536375"/>
    <s v="84029G"/>
    <n v="3.39"/>
    <n v="6"/>
    <n v="7.0000000000000007E-2"/>
    <x v="0"/>
    <n v="20.34"/>
    <n v="1.4238000000000002"/>
    <n v="18.9162"/>
    <n v="113.49719999999999"/>
  </r>
  <r>
    <n v="80"/>
    <s v="Sarai"/>
    <s v="Mckee"/>
    <s v="(716) 912-8110"/>
    <s v="sarai.mckee@msn.com"/>
    <n v="28"/>
    <d v="2010-12-01T09:32:00"/>
    <n v="4"/>
    <n v="5"/>
    <s v="RED WOOLLY HOTTIE WHITE HEART."/>
    <s v="Debit Card"/>
    <n v="536375"/>
    <s v="84029E"/>
    <n v="3.39"/>
    <n v="6"/>
    <n v="0.05"/>
    <x v="0"/>
    <n v="20.34"/>
    <n v="1.0170000000000001"/>
    <n v="19.323"/>
    <n v="115.938"/>
  </r>
  <r>
    <n v="81"/>
    <s v="Zina"/>
    <s v="Bonner"/>
    <s v="NULL"/>
    <s v="zina.bonner@hotmail.com"/>
    <n v="28"/>
    <d v="2010-12-01T09:32:00"/>
    <n v="4"/>
    <n v="7"/>
    <s v="SET 7 BABUSHKA NESTING BOXES"/>
    <s v="Debit Card"/>
    <n v="536375"/>
    <n v="22752"/>
    <n v="7.65"/>
    <n v="2"/>
    <n v="0.2"/>
    <x v="0"/>
    <n v="15.3"/>
    <n v="3.0600000000000005"/>
    <n v="12.24"/>
    <n v="24.48"/>
  </r>
  <r>
    <n v="82"/>
    <s v="Lizzie"/>
    <s v="Joyner"/>
    <s v="NULL"/>
    <s v="lizzie.joyner@msn.com"/>
    <n v="28"/>
    <d v="2010-12-01T09:32:00"/>
    <n v="4"/>
    <n v="14"/>
    <s v="GLASS STAR FROSTED T-LIGHT HOLDER"/>
    <s v="Debit Card"/>
    <n v="536375"/>
    <n v="21730"/>
    <n v="4.25"/>
    <n v="6"/>
    <n v="0.1"/>
    <x v="0"/>
    <n v="25.5"/>
    <n v="2.5500000000000003"/>
    <n v="22.95"/>
    <n v="137.69999999999999"/>
  </r>
  <r>
    <n v="83"/>
    <s v="Tiesha"/>
    <s v="Daniel"/>
    <s v="NULL"/>
    <s v="tiesha.daniel@yahoo.com"/>
    <n v="28"/>
    <d v="2010-12-01T09:32:00"/>
    <n v="4"/>
    <n v="6"/>
    <s v="HOT WATER BOTTLE TEA AND SYMPATHY"/>
    <s v="Debit Card"/>
    <n v="536376"/>
    <n v="22114"/>
    <n v="3.45"/>
    <n v="48"/>
    <n v="0.05"/>
    <x v="0"/>
    <n v="165.60000000000002"/>
    <n v="8.2800000000000011"/>
    <n v="157.32000000000002"/>
    <n v="7551.3600000000006"/>
  </r>
  <r>
    <n v="84"/>
    <s v="Armand"/>
    <s v="Whitehead"/>
    <s v="NULL"/>
    <s v="armand.whitehead@hotmail.com"/>
    <n v="29"/>
    <d v="2010-12-01T09:32:00"/>
    <n v="4"/>
    <n v="24"/>
    <s v="RED HANGING HEART T-LIGHT HOLDER"/>
    <s v="Debit Card"/>
    <n v="536376"/>
    <n v="21733"/>
    <n v="2.5499999999999998"/>
    <n v="64"/>
    <n v="0.05"/>
    <x v="0"/>
    <n v="163.19999999999999"/>
    <n v="8.16"/>
    <n v="155.04"/>
    <n v="9922.56"/>
  </r>
  <r>
    <n v="85"/>
    <s v="Teofila"/>
    <s v="Fischer"/>
    <s v="NULL"/>
    <s v="teofila.fischer@aol.com"/>
    <n v="29"/>
    <d v="2010-12-01T09:34:00"/>
    <n v="4"/>
    <n v="6"/>
    <s v="HAND WARMER RED POLKA DOT"/>
    <s v="Debit Card"/>
    <n v="536377"/>
    <n v="22632"/>
    <n v="1.85"/>
    <n v="6"/>
    <n v="0.2"/>
    <x v="0"/>
    <n v="11.100000000000001"/>
    <n v="2.2200000000000002"/>
    <n v="8.8800000000000008"/>
    <n v="53.28"/>
  </r>
  <r>
    <n v="86"/>
    <s v="Lissa"/>
    <s v="Vargas"/>
    <s v="NULL"/>
    <s v="lissa.vargas@yahoo.com"/>
    <n v="29"/>
    <d v="2010-12-01T09:34:00"/>
    <n v="4"/>
    <n v="21"/>
    <s v="HAND WARMER UNION JACK"/>
    <s v="Debit Card"/>
    <n v="536377"/>
    <n v="22633"/>
    <n v="1.85"/>
    <n v="6"/>
    <n v="0.1"/>
    <x v="0"/>
    <n v="11.100000000000001"/>
    <n v="1.1100000000000001"/>
    <n v="9.990000000000002"/>
    <n v="59.940000000000012"/>
  </r>
  <r>
    <n v="87"/>
    <s v="Yan"/>
    <s v="Mcgowan"/>
    <s v="NULL"/>
    <s v="yan.mcgowan@msn.com"/>
    <n v="29"/>
    <d v="2010-12-01T09:37:00"/>
    <n v="4"/>
    <n v="8"/>
    <s v="JUMBO BAG PINK POLKADOT"/>
    <s v="Debit Card"/>
    <n v="536378"/>
    <n v="22386"/>
    <n v="1.95"/>
    <n v="10"/>
    <n v="0.2"/>
    <x v="0"/>
    <n v="19.5"/>
    <n v="3.9000000000000004"/>
    <n v="15.6"/>
    <n v="156"/>
  </r>
  <r>
    <n v="88"/>
    <s v="Titus"/>
    <s v="Bullock"/>
    <s v="NULL"/>
    <s v="titus.bullock@gmail.com"/>
    <n v="29"/>
    <d v="2010-12-01T09:37:00"/>
    <n v="4"/>
    <n v="14"/>
    <s v="JUMBO  BAG BAROQUE BLACK WHITE"/>
    <s v="Debit Card"/>
    <n v="536378"/>
    <s v="85099C"/>
    <n v="1.95"/>
    <n v="10"/>
    <n v="0.05"/>
    <x v="0"/>
    <n v="19.5"/>
    <n v="0.97500000000000009"/>
    <n v="18.524999999999999"/>
    <n v="185.25"/>
  </r>
  <r>
    <n v="89"/>
    <s v="Arvilla"/>
    <s v="Osborn"/>
    <s v="NULL"/>
    <s v="arvilla.osborn@gmail.com"/>
    <n v="30"/>
    <d v="2010-12-01T09:37:00"/>
    <n v="4"/>
    <n v="26"/>
    <s v="JUMBO BAG CHARLIE AND LOLA TOYS"/>
    <s v="Debit Card"/>
    <n v="536378"/>
    <n v="21033"/>
    <n v="2.95"/>
    <n v="10"/>
    <n v="0.05"/>
    <x v="0"/>
    <n v="29.5"/>
    <n v="1.4750000000000001"/>
    <n v="28.024999999999999"/>
    <n v="280.25"/>
  </r>
  <r>
    <n v="90"/>
    <s v="Marjorie"/>
    <s v="Logan"/>
    <s v="NULL"/>
    <s v="marjorie.logan@msn.com"/>
    <n v="30"/>
    <d v="2010-12-01T09:37:00"/>
    <n v="4"/>
    <n v="17"/>
    <s v="STRAWBERRY CHARLOTTE BAG"/>
    <s v="Debit Card"/>
    <n v="536378"/>
    <n v="20723"/>
    <n v="0.85"/>
    <n v="10"/>
    <n v="7.0000000000000007E-2"/>
    <x v="0"/>
    <n v="8.5"/>
    <n v="0.59500000000000008"/>
    <n v="7.9050000000000002"/>
    <n v="79.05"/>
  </r>
  <r>
    <n v="91"/>
    <s v="Marvin"/>
    <s v="Mullins"/>
    <s v="(619) 635-2027"/>
    <s v="marvin.mullins@aol.com"/>
    <n v="30"/>
    <d v="2010-12-01T09:37:00"/>
    <n v="4"/>
    <n v="19"/>
    <s v="RED 3 PIECE RETROSPOT CUTLERY SET"/>
    <s v="Debit Card"/>
    <n v="536378"/>
    <s v="84997B"/>
    <n v="3.75"/>
    <n v="12"/>
    <n v="0.1"/>
    <x v="0"/>
    <n v="45"/>
    <n v="4.5"/>
    <n v="40.5"/>
    <n v="486"/>
  </r>
  <r>
    <n v="92"/>
    <s v="Tena"/>
    <s v="Cruz"/>
    <s v="NULL"/>
    <s v="tena.cruz@yahoo.com"/>
    <n v="30"/>
    <d v="2010-12-01T09:37:00"/>
    <n v="4"/>
    <n v="4"/>
    <s v="BLUE 3 PIECE POLKADOT CUTLERY SET"/>
    <s v="Debit Card"/>
    <n v="536378"/>
    <s v="84997C"/>
    <n v="3.75"/>
    <n v="6"/>
    <n v="0.1"/>
    <x v="0"/>
    <n v="22.5"/>
    <n v="2.25"/>
    <n v="20.25"/>
    <n v="121.5"/>
  </r>
  <r>
    <n v="93"/>
    <s v="Corrina"/>
    <s v="Sawyer"/>
    <s v="(248) 370-1364"/>
    <s v="corrina.sawyer@yahoo.com"/>
    <n v="30"/>
    <d v="2010-12-01T09:37:00"/>
    <n v="4"/>
    <n v="7"/>
    <s v="SET/6 RED SPOTTY PAPER PLATES"/>
    <s v="Debit Card"/>
    <n v="536378"/>
    <n v="21094"/>
    <n v="0.85"/>
    <n v="12"/>
    <n v="0.1"/>
    <x v="0"/>
    <n v="10.199999999999999"/>
    <n v="1.02"/>
    <n v="9.18"/>
    <n v="110.16"/>
  </r>
  <r>
    <n v="94"/>
    <s v="Sharyn"/>
    <s v="Hopkins"/>
    <s v="NULL"/>
    <s v="sharyn.hopkins@hotmail.com"/>
    <n v="31"/>
    <d v="2010-12-01T09:37:00"/>
    <n v="4"/>
    <n v="11"/>
    <s v="LUNCH BAG RED RETROSPOT"/>
    <s v="Debit Card"/>
    <n v="536378"/>
    <n v="20725"/>
    <n v="1.65"/>
    <n v="10"/>
    <n v="0.05"/>
    <x v="0"/>
    <n v="16.5"/>
    <n v="0.82500000000000007"/>
    <n v="15.675000000000001"/>
    <n v="156.75"/>
  </r>
  <r>
    <n v="95"/>
    <s v="Letitia"/>
    <s v="Franco"/>
    <s v="NULL"/>
    <s v="letitia.franco@aol.com"/>
    <n v="31"/>
    <d v="2010-12-01T09:37:00"/>
    <n v="4"/>
    <n v="9"/>
    <s v="STRAWBERRY LUNCH BOX WITH CUTLERY"/>
    <s v="Debit Card"/>
    <n v="536378"/>
    <n v="21559"/>
    <n v="2.5499999999999998"/>
    <n v="6"/>
    <n v="0.2"/>
    <x v="0"/>
    <n v="15.299999999999999"/>
    <n v="3.06"/>
    <n v="12.239999999999998"/>
    <n v="73.44"/>
  </r>
  <r>
    <n v="96"/>
    <s v="Floretta"/>
    <s v="Higgins"/>
    <s v="NULL"/>
    <s v="floretta.higgins@hotmail.com"/>
    <n v="32"/>
    <d v="2010-12-01T09:37:00"/>
    <n v="4"/>
    <n v="8"/>
    <s v="LUNCH BOX WITH CUTLERY RETROSPOT "/>
    <s v="Debit Card"/>
    <n v="536378"/>
    <n v="22352"/>
    <n v="2.5499999999999998"/>
    <n v="6"/>
    <n v="7.0000000000000007E-2"/>
    <x v="0"/>
    <n v="15.299999999999999"/>
    <n v="1.071"/>
    <n v="14.228999999999999"/>
    <n v="85.373999999999995"/>
  </r>
  <r>
    <n v="97"/>
    <s v="Louanne"/>
    <s v="Martin"/>
    <s v="NULL"/>
    <s v="louanne.martin@hotmail.com"/>
    <n v="32"/>
    <d v="2010-12-01T09:37:00"/>
    <n v="4"/>
    <n v="12"/>
    <s v="PACK OF 72 RETROSPOT CAKE CASES"/>
    <s v="Debit Card"/>
    <n v="536378"/>
    <n v="21212"/>
    <n v="0.42"/>
    <n v="120"/>
    <n v="7.0000000000000007E-2"/>
    <x v="0"/>
    <n v="50.4"/>
    <n v="3.528"/>
    <n v="46.872"/>
    <n v="5624.64"/>
  </r>
  <r>
    <n v="98"/>
    <s v="Violet"/>
    <s v="Valenzuela"/>
    <s v="NULL"/>
    <s v="violet.valenzuela@msn.com"/>
    <n v="32"/>
    <d v="2010-12-01T09:37:00"/>
    <n v="4"/>
    <n v="25"/>
    <s v="PACK OF 60 DINOSAUR CAKE CASES"/>
    <s v="Debit Card"/>
    <n v="536378"/>
    <n v="21975"/>
    <n v="0.55000000000000004"/>
    <n v="24"/>
    <n v="0.1"/>
    <x v="0"/>
    <n v="13.200000000000001"/>
    <n v="1.3200000000000003"/>
    <n v="11.88"/>
    <n v="285.12"/>
  </r>
  <r>
    <n v="99"/>
    <s v="Carie"/>
    <s v="Kidd"/>
    <s v="NULL"/>
    <s v="carie.kidd@yahoo.com"/>
    <n v="33"/>
    <d v="2010-12-01T09:37:00"/>
    <n v="4"/>
    <n v="23"/>
    <s v="PACK OF 60 PINK PAISLEY CAKE CASES"/>
    <s v="Debit Card"/>
    <n v="536378"/>
    <n v="21977"/>
    <n v="0.55000000000000004"/>
    <n v="24"/>
    <n v="7.0000000000000007E-2"/>
    <x v="0"/>
    <n v="13.200000000000001"/>
    <n v="0.92400000000000015"/>
    <n v="12.276000000000002"/>
    <n v="294.62400000000002"/>
  </r>
  <r>
    <n v="100"/>
    <s v="Kellie"/>
    <s v="Franco"/>
    <s v="NULL"/>
    <s v="kellie.franco@yahoo.com"/>
    <n v="33"/>
    <d v="2010-12-01T09:37:00"/>
    <n v="4"/>
    <n v="7"/>
    <s v="60 TEATIME FAIRY CAKE CASES"/>
    <s v="Debit Card"/>
    <n v="536378"/>
    <n v="84991"/>
    <n v="0.55000000000000004"/>
    <n v="24"/>
    <n v="0.1"/>
    <x v="0"/>
    <n v="13.200000000000001"/>
    <n v="1.3200000000000003"/>
    <n v="11.88"/>
    <n v="285.12"/>
  </r>
  <r>
    <n v="101"/>
    <s v="Nichelle"/>
    <s v="Howell"/>
    <s v="NULL"/>
    <s v="nichelle.howell@aol.com"/>
    <n v="34"/>
    <d v="2010-12-01T09:37:00"/>
    <n v="4"/>
    <n v="8"/>
    <s v="TOMATO CHARLIE+LOLA COASTER SET"/>
    <s v="Debit Card"/>
    <n v="536378"/>
    <s v="84519A"/>
    <n v="2.95"/>
    <n v="6"/>
    <n v="7.0000000000000007E-2"/>
    <x v="0"/>
    <n v="17.700000000000003"/>
    <n v="1.2390000000000003"/>
    <n v="16.461000000000002"/>
    <n v="98.76600000000002"/>
  </r>
  <r>
    <n v="102"/>
    <s v="Marisol"/>
    <s v="Goodman"/>
    <s v="NULL"/>
    <s v="marisol.goodman@gmail.com"/>
    <n v="34"/>
    <d v="2010-12-01T09:37:00"/>
    <n v="4"/>
    <n v="10"/>
    <s v="CHARLIE &amp; LOLA WASTEPAPER BIN FLORA"/>
    <s v="Debit Card"/>
    <n v="536378"/>
    <s v="85183B"/>
    <n v="1.25"/>
    <n v="48"/>
    <n v="0.1"/>
    <x v="0"/>
    <n v="60"/>
    <n v="6"/>
    <n v="54"/>
    <n v="2592"/>
  </r>
  <r>
    <n v="103"/>
    <s v="Sylvie"/>
    <s v="Wilkerson"/>
    <s v="NULL"/>
    <s v="sylvie.wilkerson@yahoo.com"/>
    <n v="34"/>
    <d v="2010-12-01T09:37:00"/>
    <n v="4"/>
    <n v="17"/>
    <s v="RED CHARLIE+LOLA PERSONAL DOORSIGN"/>
    <s v="Debit Card"/>
    <n v="536378"/>
    <s v="85071B"/>
    <n v="0.38"/>
    <n v="96"/>
    <n v="0.2"/>
    <x v="0"/>
    <n v="36.480000000000004"/>
    <n v="7.2960000000000012"/>
    <n v="29.184000000000005"/>
    <n v="2801.6640000000007"/>
  </r>
  <r>
    <n v="104"/>
    <s v="Katharina"/>
    <s v="Bates"/>
    <s v="NULL"/>
    <s v="katharina.bates@gmail.com"/>
    <n v="35"/>
    <d v="2010-12-01T09:37:00"/>
    <n v="4"/>
    <n v="18"/>
    <s v="JUMBO STORAGE BAG SUKI"/>
    <s v="Debit Card"/>
    <n v="536378"/>
    <n v="21931"/>
    <n v="1.95"/>
    <n v="10"/>
    <n v="0.05"/>
    <x v="0"/>
    <n v="19.5"/>
    <n v="0.97500000000000009"/>
    <n v="18.524999999999999"/>
    <n v="185.25"/>
  </r>
  <r>
    <n v="105"/>
    <s v="Marget"/>
    <s v="Hodge"/>
    <s v="NULL"/>
    <s v="marget.hodge@msn.com"/>
    <n v="35"/>
    <d v="2010-12-01T09:37:00"/>
    <n v="4"/>
    <n v="20"/>
    <s v="JUMBO BAG PINK VINTAGE PAISLEY"/>
    <s v="Debit Card"/>
    <n v="536378"/>
    <n v="21929"/>
    <n v="1.95"/>
    <n v="10"/>
    <n v="0.05"/>
    <x v="0"/>
    <n v="19.5"/>
    <n v="0.97500000000000009"/>
    <n v="18.524999999999999"/>
    <n v="185.25"/>
  </r>
  <r>
    <n v="106"/>
    <s v="Raul"/>
    <s v="Melendez"/>
    <s v="NULL"/>
    <s v="raul.melendez@hotmail.com"/>
    <n v="35"/>
    <d v="2010-12-01T09:41:00"/>
    <n v="4"/>
    <n v="5"/>
    <s v="JAM MAKING SET PRINTED"/>
    <s v="Debit Card"/>
    <n v="536380"/>
    <n v="22961"/>
    <n v="1.45"/>
    <n v="24"/>
    <n v="0.2"/>
    <x v="0"/>
    <n v="34.799999999999997"/>
    <n v="6.96"/>
    <n v="27.839999999999996"/>
    <n v="668.15999999999985"/>
  </r>
  <r>
    <n v="107"/>
    <s v="Cecil"/>
    <s v="Hopper"/>
    <s v="NULL"/>
    <s v="cecil.hopper@yahoo.com"/>
    <n v="35"/>
    <d v="2010-12-01T09:41:00"/>
    <n v="4"/>
    <n v="21"/>
    <s v="RETROSPOT TEA SET CERAMIC 11 PC "/>
    <s v="Debit Card"/>
    <n v="536381"/>
    <n v="22139"/>
    <n v="4.25"/>
    <n v="23"/>
    <n v="7.0000000000000007E-2"/>
    <x v="0"/>
    <n v="97.75"/>
    <n v="6.8425000000000002"/>
    <n v="90.907499999999999"/>
    <n v="2090.8724999999999"/>
  </r>
  <r>
    <n v="108"/>
    <s v="Shae"/>
    <s v="Hickman"/>
    <s v="NULL"/>
    <s v="shae.hickman@hotmail.com"/>
    <n v="35"/>
    <d v="2010-12-01T09:41:00"/>
    <n v="4"/>
    <n v="22"/>
    <s v="GIRLY PINK TOOL SET"/>
    <s v="Debit Card"/>
    <n v="536381"/>
    <n v="84854"/>
    <n v="4.95"/>
    <n v="5"/>
    <n v="7.0000000000000007E-2"/>
    <x v="0"/>
    <n v="24.75"/>
    <n v="1.7325000000000002"/>
    <n v="23.017499999999998"/>
    <n v="115.08749999999999"/>
  </r>
  <r>
    <n v="109"/>
    <s v="Monica"/>
    <s v="Sears"/>
    <s v="(408) 704-8863"/>
    <s v="monica.sears@aol.com"/>
    <n v="36"/>
    <d v="2010-12-01T09:41:00"/>
    <n v="4"/>
    <n v="9"/>
    <s v="JUMBO SHOPPER VINTAGE RED PAISLEY"/>
    <s v="Debit Card"/>
    <n v="536381"/>
    <n v="22411"/>
    <n v="1.95"/>
    <n v="10"/>
    <n v="7.0000000000000007E-2"/>
    <x v="0"/>
    <n v="19.5"/>
    <n v="1.3650000000000002"/>
    <n v="18.134999999999998"/>
    <n v="181.34999999999997"/>
  </r>
  <r>
    <n v="110"/>
    <s v="Ollie"/>
    <s v="Zimmerman"/>
    <s v="(657) 648-2863"/>
    <s v="ollie.zimmerman@yahoo.com"/>
    <n v="36"/>
    <d v="2010-12-01T09:41:00"/>
    <n v="4"/>
    <n v="5"/>
    <s v="AIRLINE LOUNGE,METAL SIGN"/>
    <s v="Debit Card"/>
    <n v="536381"/>
    <n v="82567"/>
    <n v="2.1"/>
    <n v="2"/>
    <n v="0.05"/>
    <x v="0"/>
    <n v="4.2"/>
    <n v="0.21000000000000002"/>
    <n v="3.99"/>
    <n v="7.98"/>
  </r>
  <r>
    <n v="111"/>
    <s v="Shila"/>
    <s v="White"/>
    <s v="NULL"/>
    <s v="shila.white@msn.com"/>
    <n v="36"/>
    <d v="2010-12-01T09:41:00"/>
    <n v="4"/>
    <n v="3"/>
    <s v="WHITE SPOT RED CERAMIC DRAWER KNOB"/>
    <s v="Debit Card"/>
    <n v="536381"/>
    <n v="21672"/>
    <n v="1.25"/>
    <n v="6"/>
    <n v="0.2"/>
    <x v="0"/>
    <n v="7.5"/>
    <n v="1.5"/>
    <n v="6"/>
    <n v="36"/>
  </r>
  <r>
    <n v="112"/>
    <s v="Yuk"/>
    <s v="Vega"/>
    <s v="NULL"/>
    <s v="yuk.vega@yahoo.com"/>
    <n v="37"/>
    <d v="2010-12-01T09:41:00"/>
    <n v="4"/>
    <n v="16"/>
    <s v="RED DRAWER KNOB ACRYLIC EDWARDIAN"/>
    <s v="Debit Card"/>
    <n v="536381"/>
    <n v="22774"/>
    <n v="1.25"/>
    <n v="24"/>
    <n v="0.05"/>
    <x v="0"/>
    <n v="30"/>
    <n v="1.5"/>
    <n v="28.5"/>
    <n v="684"/>
  </r>
  <r>
    <n v="113"/>
    <s v="Eliana"/>
    <s v="Silva"/>
    <s v="NULL"/>
    <s v="eliana.silva@gmail.com"/>
    <n v="38"/>
    <d v="2010-12-01T09:41:00"/>
    <n v="4"/>
    <n v="7"/>
    <s v="CLEAR DRAWER KNOB ACRYLIC EDWARDIAN"/>
    <s v="Debit Card"/>
    <n v="536381"/>
    <n v="22771"/>
    <n v="1.25"/>
    <n v="24"/>
    <n v="0.05"/>
    <x v="0"/>
    <n v="30"/>
    <n v="1.5"/>
    <n v="28.5"/>
    <n v="684"/>
  </r>
  <r>
    <n v="114"/>
    <s v="Thalia"/>
    <s v="Horne"/>
    <s v="NULL"/>
    <s v="thalia.horne@yahoo.com"/>
    <n v="38"/>
    <d v="2010-12-01T09:41:00"/>
    <n v="4"/>
    <n v="23"/>
    <s v="PHOTO CLIP LINE"/>
    <s v="Debit Card"/>
    <n v="536381"/>
    <n v="71270"/>
    <n v="1.25"/>
    <n v="1"/>
    <n v="7.0000000000000007E-2"/>
    <x v="0"/>
    <n v="1.25"/>
    <n v="8.7500000000000008E-2"/>
    <n v="1.1625000000000001"/>
    <n v="1.1625000000000001"/>
  </r>
  <r>
    <n v="115"/>
    <s v="Rey"/>
    <s v="Lindsay"/>
    <s v="NULL"/>
    <s v="rey.lindsay@gmail.com"/>
    <n v="38"/>
    <d v="2010-12-01T09:41:00"/>
    <n v="4"/>
    <n v="25"/>
    <s v="FELT EGG COSY CHICKEN"/>
    <s v="Debit Card"/>
    <n v="536381"/>
    <n v="22262"/>
    <n v="0.85"/>
    <n v="1"/>
    <n v="0.2"/>
    <x v="0"/>
    <n v="0.85"/>
    <n v="0.17"/>
    <n v="0.67999999999999994"/>
    <n v="0.67999999999999994"/>
  </r>
  <r>
    <n v="116"/>
    <s v="Merlene"/>
    <s v="Vinson"/>
    <s v="NULL"/>
    <s v="merlene.vinson@gmail.com"/>
    <n v="38"/>
    <d v="2010-12-01T09:41:00"/>
    <n v="4"/>
    <n v="10"/>
    <s v="PIGGY BANK RETROSPOT "/>
    <s v="Debit Card"/>
    <n v="536381"/>
    <n v="22637"/>
    <n v="2.5499999999999998"/>
    <n v="1"/>
    <n v="0.1"/>
    <x v="0"/>
    <n v="2.5499999999999998"/>
    <n v="0.255"/>
    <n v="2.2949999999999999"/>
    <n v="2.2949999999999999"/>
  </r>
  <r>
    <n v="117"/>
    <s v="Dacia"/>
    <s v="William"/>
    <s v="NULL"/>
    <s v="dacia.william@msn.com"/>
    <n v="38"/>
    <d v="2010-12-01T09:41:00"/>
    <n v="4"/>
    <n v="24"/>
    <s v="SKULL SHOULDER BAG"/>
    <s v="Debit Card"/>
    <n v="536381"/>
    <n v="21934"/>
    <n v="1.65"/>
    <n v="10"/>
    <n v="7.0000000000000007E-2"/>
    <x v="0"/>
    <n v="16.5"/>
    <n v="1.155"/>
    <n v="15.345000000000001"/>
    <n v="153.45000000000002"/>
  </r>
  <r>
    <n v="118"/>
    <s v="Le"/>
    <s v="Wood"/>
    <s v="NULL"/>
    <s v="le.wood@yahoo.com"/>
    <n v="39"/>
    <d v="2010-12-01T09:41:00"/>
    <n v="4"/>
    <n v="22"/>
    <s v="YOU'RE CONFUSING ME METAL SIGN "/>
    <s v="Debit Card"/>
    <n v="536381"/>
    <n v="21169"/>
    <n v="1.69"/>
    <n v="3"/>
    <n v="0.2"/>
    <x v="0"/>
    <n v="5.07"/>
    <n v="1.014"/>
    <n v="4.056"/>
    <n v="12.167999999999999"/>
  </r>
  <r>
    <n v="119"/>
    <s v="Thalia"/>
    <s v="Dillard"/>
    <s v="NULL"/>
    <s v="thalia.dillard@yahoo.com"/>
    <n v="39"/>
    <d v="2010-12-01T09:41:00"/>
    <n v="4"/>
    <n v="16"/>
    <s v="COOK WITH WINE METAL SIGN "/>
    <s v="Debit Card"/>
    <n v="536381"/>
    <n v="21166"/>
    <n v="1.95"/>
    <n v="1"/>
    <n v="0.2"/>
    <x v="0"/>
    <n v="1.95"/>
    <n v="0.39"/>
    <n v="1.56"/>
    <n v="1.56"/>
  </r>
  <r>
    <n v="120"/>
    <s v="Luz"/>
    <s v="House"/>
    <s v="(559) 114-2580"/>
    <s v="luz.house@gmail.com"/>
    <n v="39"/>
    <d v="2010-12-01T09:41:00"/>
    <n v="4"/>
    <n v="3"/>
    <s v="GIN + TONIC DIET METAL SIGN"/>
    <s v="Debit Card"/>
    <n v="536381"/>
    <n v="21175"/>
    <n v="2.1"/>
    <n v="2"/>
    <n v="0.05"/>
    <x v="0"/>
    <n v="4.2"/>
    <n v="0.21000000000000002"/>
    <n v="3.99"/>
    <n v="7.98"/>
  </r>
  <r>
    <n v="121"/>
    <s v="Lucy"/>
    <s v="Woods"/>
    <s v="NULL"/>
    <s v="lucy.woods@gmail.com"/>
    <n v="39"/>
    <d v="2010-12-01T09:41:00"/>
    <n v="4"/>
    <n v="15"/>
    <s v="YELLOW BREAKFAST CUP AND SAUCER"/>
    <s v="Debit Card"/>
    <n v="536381"/>
    <s v="37444A"/>
    <n v="2.95"/>
    <n v="1"/>
    <n v="0.1"/>
    <x v="1"/>
    <n v="2.95"/>
    <n v="0.29500000000000004"/>
    <n v="2.6550000000000002"/>
    <n v="2.6550000000000002"/>
  </r>
  <r>
    <n v="122"/>
    <s v="Shena"/>
    <s v="Carter"/>
    <s v="NULL"/>
    <s v="shena.carter@yahoo.com"/>
    <n v="40"/>
    <d v="2010-12-01T09:41:00"/>
    <n v="4"/>
    <n v="17"/>
    <s v="PINK BREAKFAST CUP AND SAUCER "/>
    <s v="Debit Card"/>
    <n v="536381"/>
    <s v="37444C"/>
    <n v="2.95"/>
    <n v="1"/>
    <n v="0.2"/>
    <x v="2"/>
    <n v="2.95"/>
    <n v="0.59000000000000008"/>
    <n v="2.3600000000000003"/>
    <n v="2.3600000000000003"/>
  </r>
  <r>
    <n v="123"/>
    <s v="Robena"/>
    <s v="Hill"/>
    <s v="(361) 598-4414"/>
    <s v="robena.hill@hotmail.com"/>
    <n v="40"/>
    <d v="2010-12-01T09:41:00"/>
    <n v="4"/>
    <n v="8"/>
    <s v="PAPER CHAIN KIT 50'S CHRISTMAS "/>
    <s v="Debit Card"/>
    <n v="536381"/>
    <n v="22086"/>
    <n v="2.95"/>
    <n v="4"/>
    <n v="0.2"/>
    <x v="2"/>
    <n v="11.8"/>
    <n v="2.3600000000000003"/>
    <n v="9.4400000000000013"/>
    <n v="37.760000000000005"/>
  </r>
  <r>
    <n v="124"/>
    <s v="Jeni"/>
    <s v="Booker"/>
    <s v="NULL"/>
    <s v="jeni.booker@gmail.com"/>
    <n v="41"/>
    <d v="2010-12-01T09:41:00"/>
    <n v="4"/>
    <n v="5"/>
    <s v="PAPER CHAIN KIT RETROSPOT"/>
    <s v="Debit Card"/>
    <n v="536381"/>
    <n v="22083"/>
    <n v="2.95"/>
    <n v="1"/>
    <n v="0.1"/>
    <x v="2"/>
    <n v="2.95"/>
    <n v="0.29500000000000004"/>
    <n v="2.6550000000000002"/>
    <n v="2.6550000000000002"/>
  </r>
  <r>
    <n v="125"/>
    <s v="Herlinda"/>
    <s v="Stone"/>
    <s v="NULL"/>
    <s v="herlinda.stone@msn.com"/>
    <n v="41"/>
    <d v="2010-12-01T09:41:00"/>
    <n v="4"/>
    <n v="19"/>
    <s v="SMALL HEART FLOWERS HOOK "/>
    <s v="Debit Card"/>
    <n v="536381"/>
    <s v="84971S"/>
    <n v="0.85"/>
    <n v="6"/>
    <n v="0.2"/>
    <x v="2"/>
    <n v="5.0999999999999996"/>
    <n v="1.02"/>
    <n v="4.08"/>
    <n v="24.48"/>
  </r>
  <r>
    <n v="126"/>
    <s v="Lavina"/>
    <s v="Dejesus"/>
    <s v="NULL"/>
    <s v="lavina.dejesus@msn.com"/>
    <n v="41"/>
    <d v="2010-12-01T09:41:00"/>
    <n v="4"/>
    <n v="26"/>
    <s v="PHOTO CLIP LINE"/>
    <s v="Debit Card"/>
    <n v="536381"/>
    <n v="71270"/>
    <n v="1.25"/>
    <n v="3"/>
    <n v="0.2"/>
    <x v="2"/>
    <n v="3.75"/>
    <n v="0.75"/>
    <n v="3"/>
    <n v="9"/>
  </r>
  <r>
    <n v="127"/>
    <s v="Erlinda"/>
    <s v="Nielsen"/>
    <s v="NULL"/>
    <s v="erlinda.nielsen@aol.com"/>
    <n v="42"/>
    <d v="2010-12-01T09:41:00"/>
    <n v="4"/>
    <n v="19"/>
    <s v="TEA TIME DES TEA COSY"/>
    <s v="Debit Card"/>
    <n v="536381"/>
    <n v="47580"/>
    <n v="2.5499999999999998"/>
    <n v="2"/>
    <n v="0.05"/>
    <x v="2"/>
    <n v="5.0999999999999996"/>
    <n v="0.255"/>
    <n v="4.8449999999999998"/>
    <n v="9.69"/>
  </r>
  <r>
    <n v="128"/>
    <s v="Terrance"/>
    <s v="Lynn"/>
    <s v="NULL"/>
    <s v="terrance.lynn@yahoo.com"/>
    <n v="43"/>
    <d v="2010-12-01T09:41:00"/>
    <n v="4"/>
    <n v="13"/>
    <s v="FELT EGG COSY WHITE RABBIT "/>
    <s v="Debit Card"/>
    <n v="536381"/>
    <n v="22261"/>
    <n v="0.85"/>
    <n v="1"/>
    <n v="0.1"/>
    <x v="2"/>
    <n v="0.85"/>
    <n v="8.5000000000000006E-2"/>
    <n v="0.76500000000000001"/>
    <n v="0.76500000000000001"/>
  </r>
  <r>
    <n v="129"/>
    <s v="Walton"/>
    <s v="Dejesus"/>
    <s v="NULL"/>
    <s v="walton.dejesus@yahoo.com"/>
    <n v="43"/>
    <d v="2010-12-01T09:41:00"/>
    <n v="4"/>
    <n v="12"/>
    <s v="ZINC WILLIE WINKIE  CANDLE STICK"/>
    <s v="Debit Card"/>
    <n v="536381"/>
    <n v="84832"/>
    <n v="0.85"/>
    <n v="1"/>
    <n v="0.05"/>
    <x v="2"/>
    <n v="0.85"/>
    <n v="4.2500000000000003E-2"/>
    <n v="0.8075"/>
    <n v="0.8075"/>
  </r>
  <r>
    <n v="130"/>
    <s v="Wes"/>
    <s v="Stanton"/>
    <s v="(248) 247-5074"/>
    <s v="wes.stanton@msn.com"/>
    <n v="44"/>
    <d v="2010-12-01T09:41:00"/>
    <n v="4"/>
    <n v="7"/>
    <s v="CERAMIC CHERRY CAKE MONEY BANK"/>
    <s v="Debit Card"/>
    <n v="536381"/>
    <n v="22644"/>
    <n v="1.45"/>
    <n v="1"/>
    <n v="0.1"/>
    <x v="2"/>
    <n v="1.45"/>
    <n v="0.14499999999999999"/>
    <n v="1.3049999999999999"/>
    <n v="1.3049999999999999"/>
  </r>
  <r>
    <n v="131"/>
    <s v="Tanesha"/>
    <s v="Hampton"/>
    <s v="NULL"/>
    <s v="tanesha.hampton@hotmail.com"/>
    <n v="44"/>
    <d v="2010-12-01T09:41:00"/>
    <n v="4"/>
    <n v="16"/>
    <s v="RETROSPOT LARGE MILK JUG"/>
    <s v="Debit Card"/>
    <n v="536381"/>
    <n v="21533"/>
    <n v="4.95"/>
    <n v="1"/>
    <n v="0.05"/>
    <x v="2"/>
    <n v="4.95"/>
    <n v="0.24750000000000003"/>
    <n v="4.7025000000000006"/>
    <n v="4.7025000000000006"/>
  </r>
  <r>
    <n v="132"/>
    <s v="Boyd"/>
    <s v="Irwin"/>
    <s v="NULL"/>
    <s v="boyd.irwin@hotmail.com"/>
    <n v="45"/>
    <d v="2010-12-01T09:41:00"/>
    <n v="4"/>
    <n v="4"/>
    <s v="SET OF 6 FUNKY BEAKERS"/>
    <s v="Debit Card"/>
    <n v="536381"/>
    <n v="21557"/>
    <n v="2.95"/>
    <n v="2"/>
    <n v="0.2"/>
    <x v="2"/>
    <n v="5.9"/>
    <n v="1.1800000000000002"/>
    <n v="4.7200000000000006"/>
    <n v="9.4400000000000013"/>
  </r>
  <r>
    <n v="133"/>
    <s v="Delbert"/>
    <s v="Wilkins"/>
    <s v="NULL"/>
    <s v="delbert.wilkins@aol.com"/>
    <n v="45"/>
    <d v="2010-12-01T09:41:00"/>
    <n v="4"/>
    <n v="22"/>
    <s v="EDWARDIAN PARASOL BLACK"/>
    <s v="Debit Card"/>
    <n v="536381"/>
    <s v="15056BL"/>
    <n v="5.95"/>
    <n v="2"/>
    <n v="7.0000000000000007E-2"/>
    <x v="2"/>
    <n v="11.9"/>
    <n v="0.83300000000000007"/>
    <n v="11.067"/>
    <n v="22.134"/>
  </r>
  <r>
    <n v="134"/>
    <s v="Brianna"/>
    <s v="Moss"/>
    <s v="(516) 156-8031"/>
    <s v="brianna.moss@msn.com"/>
    <n v="45"/>
    <d v="2010-12-01T09:41:00"/>
    <n v="4"/>
    <n v="21"/>
    <s v="EDWARDIAN PARASOL NATURAL"/>
    <s v="Debit Card"/>
    <n v="536381"/>
    <s v="15056N"/>
    <n v="5.95"/>
    <n v="2"/>
    <n v="0.05"/>
    <x v="2"/>
    <n v="11.9"/>
    <n v="0.59500000000000008"/>
    <n v="11.305"/>
    <n v="22.61"/>
  </r>
  <r>
    <n v="135"/>
    <s v="Dorthey"/>
    <s v="Jackson"/>
    <s v="(281) 926-8010"/>
    <s v="dorthey.jackson@msn.com"/>
    <n v="46"/>
    <d v="2010-12-01T09:41:00"/>
    <n v="4"/>
    <n v="17"/>
    <s v="CERAMIC STRAWBERRY CAKE MONEY BANK"/>
    <s v="Debit Card"/>
    <n v="536381"/>
    <n v="22646"/>
    <n v="1.45"/>
    <n v="4"/>
    <n v="0.1"/>
    <x v="2"/>
    <n v="5.8"/>
    <n v="0.57999999999999996"/>
    <n v="5.22"/>
    <n v="20.88"/>
  </r>
  <r>
    <n v="136"/>
    <s v="Sarita"/>
    <s v="Parks"/>
    <s v="NULL"/>
    <s v="sarita.parks@msn.com"/>
    <n v="47"/>
    <d v="2010-12-01T09:41:00"/>
    <n v="4"/>
    <n v="6"/>
    <s v="BLUE OWL SOFT TOY"/>
    <s v="Debit Card"/>
    <n v="536381"/>
    <n v="22176"/>
    <n v="2.95"/>
    <n v="1"/>
    <n v="0.05"/>
    <x v="2"/>
    <n v="2.95"/>
    <n v="0.14750000000000002"/>
    <n v="2.8025000000000002"/>
    <n v="2.8025000000000002"/>
  </r>
  <r>
    <n v="137"/>
    <s v="Shonta"/>
    <s v="Mercer"/>
    <s v="NULL"/>
    <s v="shonta.mercer@aol.com"/>
    <n v="47"/>
    <d v="2010-12-01T09:41:00"/>
    <n v="4"/>
    <n v="15"/>
    <s v="BALLOON ART MAKE YOUR OWN FLOWERS"/>
    <s v="Debit Card"/>
    <n v="536381"/>
    <n v="22438"/>
    <n v="1.95"/>
    <n v="1"/>
    <n v="0.1"/>
    <x v="2"/>
    <n v="1.95"/>
    <n v="0.19500000000000001"/>
    <n v="1.7549999999999999"/>
    <n v="1.7549999999999999"/>
  </r>
  <r>
    <n v="138"/>
    <s v="Jone"/>
    <s v="Bernard"/>
    <s v="(657) 536-5165"/>
    <s v="jone.bernard@hotmail.com"/>
    <n v="47"/>
    <d v="2010-12-01T09:41:00"/>
    <n v="4"/>
    <n v="25"/>
    <s v="RED TOADSTOOL LED NIGHT LIGHT"/>
    <s v="Debit Card"/>
    <n v="536381"/>
    <n v="21731"/>
    <n v="1.65"/>
    <n v="2"/>
    <n v="7.0000000000000007E-2"/>
    <x v="2"/>
    <n v="3.3"/>
    <n v="0.23100000000000001"/>
    <n v="3.069"/>
    <n v="6.1379999999999999"/>
  </r>
  <r>
    <n v="139"/>
    <s v="Wanita"/>
    <s v="Davenport"/>
    <s v="NULL"/>
    <s v="wanita.davenport@aol.com"/>
    <n v="47"/>
    <d v="2010-12-01T09:41:00"/>
    <n v="4"/>
    <n v="13"/>
    <s v="GLASS CLOCHE SMALL"/>
    <s v="Debit Card"/>
    <n v="536381"/>
    <n v="22778"/>
    <n v="3.95"/>
    <n v="3"/>
    <n v="0.2"/>
    <x v="2"/>
    <n v="11.850000000000001"/>
    <n v="2.3700000000000006"/>
    <n v="9.48"/>
    <n v="28.44"/>
  </r>
  <r>
    <n v="140"/>
    <s v="Cleopatra"/>
    <s v="Tate"/>
    <s v="NULL"/>
    <s v="cleopatra.tate@aol.com"/>
    <n v="48"/>
    <d v="2010-12-01T09:41:00"/>
    <n v="4"/>
    <n v="11"/>
    <s v="GUMBALL MONOCHROME COAT RACK"/>
    <s v="Debit Card"/>
    <n v="536381"/>
    <n v="22719"/>
    <n v="1.06"/>
    <n v="36"/>
    <n v="0.1"/>
    <x v="2"/>
    <n v="38.160000000000004"/>
    <n v="3.8160000000000007"/>
    <n v="34.344000000000001"/>
    <n v="1236.384"/>
  </r>
  <r>
    <n v="141"/>
    <s v="Ramiro"/>
    <s v="Byers"/>
    <s v="NULL"/>
    <s v="ramiro.byers@gmail.com"/>
    <n v="48"/>
    <d v="2010-12-01T09:41:00"/>
    <n v="4"/>
    <n v="4"/>
    <s v="DOORMAT FANCY FONT HOME SWEET HOME"/>
    <s v="Debit Card"/>
    <n v="536381"/>
    <n v="21523"/>
    <n v="6.75"/>
    <n v="10"/>
    <n v="0.2"/>
    <x v="2"/>
    <n v="67.5"/>
    <n v="13.5"/>
    <n v="54"/>
    <n v="540"/>
  </r>
  <r>
    <n v="142"/>
    <s v="Nicholas"/>
    <s v="Vazquez"/>
    <s v="NULL"/>
    <s v="nicholas.vazquez@hotmail.com"/>
    <n v="48"/>
    <d v="2010-12-01T09:41:00"/>
    <n v="4"/>
    <n v="5"/>
    <s v="Discount"/>
    <s v="Debit Card"/>
    <s v="C536379"/>
    <s v="D"/>
    <n v="27.5"/>
    <n v="-1"/>
    <n v="0.1"/>
    <x v="2"/>
    <n v="-27.5"/>
    <n v="-2.75"/>
    <n v="-24.75"/>
    <n v="24.75"/>
  </r>
  <r>
    <n v="143"/>
    <s v="Janae"/>
    <s v="Doyle"/>
    <s v="NULL"/>
    <s v="janae.doyle@gmail.com"/>
    <n v="48"/>
    <d v="2010-12-01T09:45:00"/>
    <n v="4"/>
    <n v="14"/>
    <s v="INFLATABLE POLITICAL GLOBE "/>
    <s v="Debit Card"/>
    <n v="536382"/>
    <n v="10002"/>
    <n v="0.85"/>
    <n v="12"/>
    <n v="7.0000000000000007E-2"/>
    <x v="2"/>
    <n v="10.199999999999999"/>
    <n v="0.71399999999999997"/>
    <n v="9.4859999999999989"/>
    <n v="113.83199999999999"/>
  </r>
  <r>
    <n v="144"/>
    <s v="Hans"/>
    <s v="Price"/>
    <s v="NULL"/>
    <s v="hans.price@hotmail.com"/>
    <n v="49"/>
    <d v="2010-12-01T09:45:00"/>
    <n v="4"/>
    <n v="13"/>
    <s v="VINTAGE SNAKES &amp; LADDERS"/>
    <s v="Debit Card"/>
    <n v="536382"/>
    <n v="21912"/>
    <n v="3.75"/>
    <n v="8"/>
    <n v="7.0000000000000007E-2"/>
    <x v="2"/>
    <n v="30"/>
    <n v="2.1"/>
    <n v="27.9"/>
    <n v="223.2"/>
  </r>
  <r>
    <n v="145"/>
    <s v="Miquel"/>
    <s v="Neal"/>
    <s v="NULL"/>
    <s v="miquel.neal@hotmail.com"/>
    <n v="50"/>
    <d v="2010-12-01T09:45:00"/>
    <n v="4"/>
    <n v="3"/>
    <s v="CHOCOLATE CALCULATOR"/>
    <s v="Debit Card"/>
    <n v="536382"/>
    <n v="21832"/>
    <n v="1.65"/>
    <n v="12"/>
    <n v="0.05"/>
    <x v="2"/>
    <n v="19.799999999999997"/>
    <n v="0.98999999999999988"/>
    <n v="18.809999999999999"/>
    <n v="225.71999999999997"/>
  </r>
  <r>
    <n v="146"/>
    <s v="Stefany"/>
    <s v="Potter"/>
    <s v="NULL"/>
    <s v="stefany.potter@gmail.com"/>
    <n v="50"/>
    <d v="2010-12-01T09:45:00"/>
    <n v="4"/>
    <n v="26"/>
    <s v="JUMBO SHOPPER VINTAGE RED PAISLEY"/>
    <s v="Debit Card"/>
    <n v="536382"/>
    <n v="22411"/>
    <n v="1.95"/>
    <n v="10"/>
    <n v="7.0000000000000007E-2"/>
    <x v="2"/>
    <n v="19.5"/>
    <n v="1.3650000000000002"/>
    <n v="18.134999999999998"/>
    <n v="181.34999999999997"/>
  </r>
  <r>
    <n v="147"/>
    <s v="Bernetta"/>
    <s v="Marquez"/>
    <s v="NULL"/>
    <s v="bernetta.marquez@hotmail.com"/>
    <n v="50"/>
    <d v="2010-12-01T09:45:00"/>
    <n v="4"/>
    <n v="13"/>
    <s v="RECYCLING BAG RETROSPOT "/>
    <s v="Debit Card"/>
    <n v="536382"/>
    <n v="22379"/>
    <n v="2.1"/>
    <n v="10"/>
    <n v="0.2"/>
    <x v="2"/>
    <n v="21"/>
    <n v="4.2"/>
    <n v="16.8"/>
    <n v="168"/>
  </r>
  <r>
    <n v="148"/>
    <s v="Julee"/>
    <s v="Woodard"/>
    <s v="NULL"/>
    <s v="julee.woodard@yahoo.com"/>
    <n v="51"/>
    <d v="2010-12-01T09:45:00"/>
    <n v="4"/>
    <n v="13"/>
    <s v="TOY TIDY PINK POLKADOT"/>
    <s v="Debit Card"/>
    <n v="536382"/>
    <n v="22381"/>
    <n v="1.85"/>
    <n v="50"/>
    <n v="0.05"/>
    <x v="2"/>
    <n v="92.5"/>
    <n v="4.625"/>
    <n v="87.875"/>
    <n v="4393.75"/>
  </r>
  <r>
    <n v="149"/>
    <s v="Meredith"/>
    <s v="Bryan"/>
    <s v="NULL"/>
    <s v="meredith.bryan@hotmail.com"/>
    <n v="51"/>
    <d v="2010-12-01T09:45:00"/>
    <n v="4"/>
    <n v="20"/>
    <s v="ANTIQUE GLASS DRESSING TABLE POT"/>
    <s v="Debit Card"/>
    <n v="536382"/>
    <n v="22798"/>
    <n v="2.95"/>
    <n v="8"/>
    <n v="0.05"/>
    <x v="2"/>
    <n v="23.6"/>
    <n v="1.1800000000000002"/>
    <n v="22.42"/>
    <n v="179.36"/>
  </r>
  <r>
    <n v="150"/>
    <s v="Weldon"/>
    <s v="Michael"/>
    <s v="NULL"/>
    <s v="weldon.michael@hotmail.com"/>
    <n v="51"/>
    <d v="2010-12-01T09:45:00"/>
    <n v="4"/>
    <n v="26"/>
    <s v="ALARM CLOCK BAKELIKE GREEN"/>
    <s v="Debit Card"/>
    <n v="536382"/>
    <n v="22726"/>
    <n v="3.75"/>
    <n v="4"/>
    <n v="0.2"/>
    <x v="2"/>
    <n v="15"/>
    <n v="3"/>
    <n v="12"/>
    <n v="48"/>
  </r>
  <r>
    <n v="151"/>
    <s v="Joesph"/>
    <s v="Delacruz"/>
    <s v="NULL"/>
    <s v="joesph.delacruz@aol.com"/>
    <n v="52"/>
    <d v="2010-12-01T09:45:00"/>
    <n v="4"/>
    <n v="25"/>
    <s v="IVORY GIANT GARDEN THERMOMETER"/>
    <s v="Debit Card"/>
    <n v="536382"/>
    <n v="22926"/>
    <n v="5.95"/>
    <n v="12"/>
    <n v="7.0000000000000007E-2"/>
    <x v="2"/>
    <n v="71.400000000000006"/>
    <n v="4.9980000000000011"/>
    <n v="66.402000000000001"/>
    <n v="796.82400000000007"/>
  </r>
  <r>
    <n v="152"/>
    <s v="Katherina"/>
    <s v="Odom"/>
    <s v="NULL"/>
    <s v="katherina.odom@yahoo.com"/>
    <n v="53"/>
    <d v="2010-12-01T09:45:00"/>
    <n v="4"/>
    <n v="8"/>
    <s v="3 TIER CAKE TIN GREEN AND CREAM"/>
    <s v="Debit Card"/>
    <n v="536382"/>
    <n v="22839"/>
    <n v="14.95"/>
    <n v="2"/>
    <n v="0.2"/>
    <x v="2"/>
    <n v="29.9"/>
    <n v="5.98"/>
    <n v="23.919999999999998"/>
    <n v="47.839999999999996"/>
  </r>
  <r>
    <n v="153"/>
    <s v="Laraine"/>
    <s v="Robbins"/>
    <s v="NULL"/>
    <s v="laraine.robbins@yahoo.com"/>
    <n v="53"/>
    <d v="2010-12-01T09:45:00"/>
    <n v="4"/>
    <n v="23"/>
    <s v="3 TIER CAKE TIN RED AND CREAM"/>
    <s v="Debit Card"/>
    <n v="536382"/>
    <n v="22838"/>
    <n v="14.95"/>
    <n v="2"/>
    <n v="0.05"/>
    <x v="2"/>
    <n v="29.9"/>
    <n v="1.4950000000000001"/>
    <n v="28.404999999999998"/>
    <n v="56.809999999999995"/>
  </r>
  <r>
    <n v="154"/>
    <s v="Jenise"/>
    <s v="Preston"/>
    <s v="NULL"/>
    <s v="jenise.preston@yahoo.com"/>
    <n v="53"/>
    <d v="2010-12-01T09:45:00"/>
    <n v="4"/>
    <n v="14"/>
    <s v="SET 3 WICKER OVAL BASKETS W LIDS"/>
    <s v="Debit Card"/>
    <n v="536382"/>
    <n v="22783"/>
    <n v="16.95"/>
    <n v="4"/>
    <n v="0.2"/>
    <x v="2"/>
    <n v="67.8"/>
    <n v="13.56"/>
    <n v="54.239999999999995"/>
    <n v="216.95999999999998"/>
  </r>
  <r>
    <n v="155"/>
    <s v="Lory"/>
    <s v="Page"/>
    <s v="NULL"/>
    <s v="lory.page@hotmail.com"/>
    <n v="53"/>
    <d v="2010-12-01T09:49:00"/>
    <n v="4"/>
    <n v="25"/>
    <s v="SET OF 3 COLOURED  FLYING DUCKS"/>
    <s v="Debit Card"/>
    <s v="C536383"/>
    <s v="35004C"/>
    <n v="4.6500000000000004"/>
    <n v="-1"/>
    <n v="0.1"/>
    <x v="2"/>
    <n v="-4.6500000000000004"/>
    <n v="-0.46500000000000008"/>
    <n v="-4.1850000000000005"/>
    <n v="4.1850000000000005"/>
  </r>
  <r>
    <n v="156"/>
    <s v="Charlyn"/>
    <s v="Cantrell"/>
    <s v="NULL"/>
    <s v="charlyn.cantrell@yahoo.com"/>
    <n v="54"/>
    <d v="2010-12-01T09:53:00"/>
    <n v="4"/>
    <n v="26"/>
    <s v="WOOD BLACK BOARD ANT WHITE FINISH"/>
    <s v="Debit Card"/>
    <n v="536384"/>
    <n v="82484"/>
    <n v="6.45"/>
    <n v="3"/>
    <n v="0.2"/>
    <x v="2"/>
    <n v="19.350000000000001"/>
    <n v="3.8700000000000006"/>
    <n v="15.48"/>
    <n v="46.44"/>
  </r>
  <r>
    <n v="157"/>
    <s v="Carola"/>
    <s v="Rodriquez"/>
    <s v="NULL"/>
    <s v="carola.rodriquez@hotmail.com"/>
    <n v="54"/>
    <d v="2010-12-01T09:53:00"/>
    <n v="4"/>
    <n v="3"/>
    <s v="COLOUR GLASS T-LIGHT HOLDER HANGING"/>
    <s v="Debit Card"/>
    <n v="536384"/>
    <n v="84755"/>
    <n v="0.65"/>
    <n v="48"/>
    <n v="0.2"/>
    <x v="2"/>
    <n v="31.200000000000003"/>
    <n v="6.2400000000000011"/>
    <n v="24.96"/>
    <n v="1198.08"/>
  </r>
  <r>
    <n v="158"/>
    <s v="Alane"/>
    <s v="Kennedy"/>
    <s v="NULL"/>
    <s v="alane.kennedy@yahoo.com"/>
    <n v="55"/>
    <d v="2010-12-01T09:53:00"/>
    <n v="3"/>
    <n v="21"/>
    <s v="HANGING METAL HEART LANTERN"/>
    <s v="Debit Card"/>
    <n v="536384"/>
    <n v="22464"/>
    <n v="1.65"/>
    <n v="12"/>
    <n v="0.05"/>
    <x v="2"/>
    <n v="19.799999999999997"/>
    <n v="0.98999999999999988"/>
    <n v="18.809999999999999"/>
    <n v="225.71999999999997"/>
  </r>
  <r>
    <n v="159"/>
    <s v="Regina"/>
    <s v="Burns"/>
    <s v="NULL"/>
    <s v="regina.burns@aol.com"/>
    <n v="55"/>
    <d v="2010-12-01T09:53:00"/>
    <n v="4"/>
    <n v="25"/>
    <s v="HANGING MEDINA LANTERN SMALL"/>
    <s v="Debit Card"/>
    <n v="536384"/>
    <n v="21324"/>
    <n v="2.95"/>
    <n v="6"/>
    <n v="0.2"/>
    <x v="2"/>
    <n v="17.700000000000003"/>
    <n v="3.5400000000000009"/>
    <n v="14.160000000000002"/>
    <n v="84.960000000000008"/>
  </r>
  <r>
    <n v="160"/>
    <s v="Omer"/>
    <s v="Estrada"/>
    <s v="NULL"/>
    <s v="omer.estrada@gmail.com"/>
    <n v="55"/>
    <d v="2010-12-01T09:53:00"/>
    <n v="4"/>
    <n v="15"/>
    <s v="NATURAL SLATE HEART CHALKBOARD "/>
    <s v="Debit Card"/>
    <n v="536384"/>
    <n v="22457"/>
    <n v="2.95"/>
    <n v="12"/>
    <n v="0.2"/>
    <x v="2"/>
    <n v="35.400000000000006"/>
    <n v="7.0800000000000018"/>
    <n v="28.320000000000004"/>
    <n v="339.84000000000003"/>
  </r>
  <r>
    <n v="161"/>
    <s v="Crystle"/>
    <s v="Gilliam"/>
    <s v="NULL"/>
    <s v="crystle.gilliam@yahoo.com"/>
    <n v="56"/>
    <d v="2010-12-01T09:53:00"/>
    <n v="4"/>
    <n v="20"/>
    <s v="HEART OF WICKER SMALL"/>
    <s v="Debit Card"/>
    <n v="536384"/>
    <n v="22469"/>
    <n v="1.45"/>
    <n v="40"/>
    <n v="7.0000000000000007E-2"/>
    <x v="2"/>
    <n v="58"/>
    <n v="4.0600000000000005"/>
    <n v="53.94"/>
    <n v="2157.6"/>
  </r>
  <r>
    <n v="162"/>
    <s v="Kam"/>
    <s v="Wilder"/>
    <s v="NULL"/>
    <s v="kam.wilder@hotmail.com"/>
    <n v="57"/>
    <d v="2010-12-01T09:53:00"/>
    <n v="4"/>
    <n v="23"/>
    <s v="HEART OF WICKER LARGE"/>
    <s v="Debit Card"/>
    <n v="536384"/>
    <n v="22470"/>
    <n v="2.5499999999999998"/>
    <n v="40"/>
    <n v="0.1"/>
    <x v="2"/>
    <n v="102"/>
    <n v="10.200000000000001"/>
    <n v="91.8"/>
    <n v="3672"/>
  </r>
  <r>
    <n v="163"/>
    <s v="Margert"/>
    <s v="Stevens"/>
    <s v="NULL"/>
    <s v="margert.stevens@aol.com"/>
    <n v="57"/>
    <d v="2010-12-01T09:53:00"/>
    <n v="4"/>
    <n v="19"/>
    <s v="WHITE LOVEBIRD LANTERN"/>
    <s v="Debit Card"/>
    <n v="536384"/>
    <n v="22224"/>
    <n v="2.95"/>
    <n v="6"/>
    <n v="0.2"/>
    <x v="2"/>
    <n v="17.700000000000003"/>
    <n v="3.5400000000000009"/>
    <n v="14.160000000000002"/>
    <n v="84.960000000000008"/>
  </r>
  <r>
    <n v="164"/>
    <s v="Tomika"/>
    <s v="Larson"/>
    <s v="NULL"/>
    <s v="tomika.larson@yahoo.com"/>
    <n v="57"/>
    <d v="2010-12-01T09:53:00"/>
    <n v="4"/>
    <n v="13"/>
    <s v="CLASSIC METAL BIRDCAGE PLANT HOLDER"/>
    <s v="Debit Card"/>
    <n v="536384"/>
    <n v="21340"/>
    <n v="12.75"/>
    <n v="2"/>
    <n v="7.0000000000000007E-2"/>
    <x v="2"/>
    <n v="25.5"/>
    <n v="1.7850000000000001"/>
    <n v="23.715"/>
    <n v="47.43"/>
  </r>
  <r>
    <n v="165"/>
    <s v="Jeromy"/>
    <s v="Burch"/>
    <s v="(408) 955-8238"/>
    <s v="jeromy.burch@msn.com"/>
    <n v="58"/>
    <d v="2010-12-01T09:53:00"/>
    <n v="4"/>
    <n v="14"/>
    <s v="CREAM HEART CARD HOLDER"/>
    <s v="Debit Card"/>
    <n v="536384"/>
    <n v="22189"/>
    <n v="3.95"/>
    <n v="4"/>
    <n v="0.05"/>
    <x v="2"/>
    <n v="15.8"/>
    <n v="0.79"/>
    <n v="15.010000000000002"/>
    <n v="60.040000000000006"/>
  </r>
  <r>
    <n v="166"/>
    <s v="Lena"/>
    <s v="Mills"/>
    <s v="NULL"/>
    <s v="lena.mills@yahoo.com"/>
    <n v="58"/>
    <d v="2010-12-01T09:53:00"/>
    <n v="4"/>
    <n v="18"/>
    <s v="ENAMEL FLOWER JUG CREAM"/>
    <s v="Debit Card"/>
    <n v="536384"/>
    <n v="22427"/>
    <n v="5.95"/>
    <n v="3"/>
    <n v="7.0000000000000007E-2"/>
    <x v="2"/>
    <n v="17.850000000000001"/>
    <n v="1.2495000000000003"/>
    <n v="16.6005"/>
    <n v="49.801500000000004"/>
  </r>
  <r>
    <n v="167"/>
    <s v="Loreta"/>
    <s v="Johnston"/>
    <s v="NULL"/>
    <s v="loreta.johnston@yahoo.com"/>
    <n v="58"/>
    <d v="2010-12-01T09:53:00"/>
    <n v="4"/>
    <n v="23"/>
    <s v="ENAMEL FIRE BUCKET CREAM"/>
    <s v="Debit Card"/>
    <n v="536384"/>
    <n v="22428"/>
    <n v="6.95"/>
    <n v="6"/>
    <n v="0.1"/>
    <x v="2"/>
    <n v="41.7"/>
    <n v="4.1700000000000008"/>
    <n v="37.53"/>
    <n v="225.18"/>
  </r>
  <r>
    <n v="168"/>
    <s v="Nettie"/>
    <s v="Mcdaniel"/>
    <s v="NULL"/>
    <s v="nettie.mcdaniel@hotmail.com"/>
    <n v="59"/>
    <d v="2010-12-01T09:53:00"/>
    <n v="4"/>
    <n v="21"/>
    <s v="ENAMEL BREAD BIN CREAM"/>
    <s v="Debit Card"/>
    <n v="536384"/>
    <n v="22424"/>
    <n v="10.95"/>
    <n v="8"/>
    <n v="0.05"/>
    <x v="2"/>
    <n v="87.6"/>
    <n v="4.38"/>
    <n v="83.22"/>
    <n v="665.76"/>
  </r>
  <r>
    <n v="169"/>
    <s v="Karla"/>
    <s v="Kirk"/>
    <s v="NULL"/>
    <s v="karla.kirk@yahoo.com"/>
    <n v="59"/>
    <d v="2010-12-01T09:56:00"/>
    <n v="4"/>
    <n v="2"/>
    <s v="SET 3 WICKER OVAL BASKETS W LIDS"/>
    <s v="Debit Card"/>
    <n v="536385"/>
    <n v="22783"/>
    <n v="19.95"/>
    <n v="1"/>
    <n v="0.1"/>
    <x v="2"/>
    <n v="19.95"/>
    <n v="1.9950000000000001"/>
    <n v="17.954999999999998"/>
    <n v="17.954999999999998"/>
  </r>
  <r>
    <n v="170"/>
    <s v="Regine"/>
    <s v="Gonzales"/>
    <s v="(805) 763-4045"/>
    <s v="regine.gonzales@gmail.com"/>
    <n v="59"/>
    <d v="2010-12-01T09:56:00"/>
    <n v="4"/>
    <n v="17"/>
    <s v="JAM MAKING SET PRINTED"/>
    <s v="Debit Card"/>
    <n v="536385"/>
    <n v="22961"/>
    <n v="1.45"/>
    <n v="12"/>
    <n v="0.1"/>
    <x v="2"/>
    <n v="17.399999999999999"/>
    <n v="1.74"/>
    <n v="15.659999999999998"/>
    <n v="187.92"/>
  </r>
  <r>
    <n v="171"/>
    <s v="Miriam"/>
    <s v="Baker"/>
    <s v="NULL"/>
    <s v="miriam.baker@hotmail.com"/>
    <n v="60"/>
    <d v="2010-12-01T09:56:00"/>
    <n v="4"/>
    <n v="14"/>
    <s v="JAM MAKING SET WITH JARS"/>
    <s v="Debit Card"/>
    <n v="536385"/>
    <n v="22960"/>
    <n v="4.25"/>
    <n v="6"/>
    <n v="0.05"/>
    <x v="2"/>
    <n v="25.5"/>
    <n v="1.2750000000000001"/>
    <n v="24.225000000000001"/>
    <n v="145.35000000000002"/>
  </r>
  <r>
    <n v="172"/>
    <s v="Jeanie"/>
    <s v="Kirkland"/>
    <s v="NULL"/>
    <s v="jeanie.kirkland@aol.com"/>
    <n v="60"/>
    <d v="2010-12-01T09:56:00"/>
    <n v="4"/>
    <n v="4"/>
    <s v="JUMBO BAG DOLLY GIRL DESIGN"/>
    <s v="Debit Card"/>
    <n v="536385"/>
    <n v="22663"/>
    <n v="1.95"/>
    <n v="10"/>
    <n v="0.1"/>
    <x v="2"/>
    <n v="19.5"/>
    <n v="1.9500000000000002"/>
    <n v="17.55"/>
    <n v="175.5"/>
  </r>
  <r>
    <n v="173"/>
    <s v="Marquerite"/>
    <s v="Dawson"/>
    <s v="NULL"/>
    <s v="marquerite.dawson@gmail.com"/>
    <n v="60"/>
    <d v="2010-12-01T09:56:00"/>
    <n v="4"/>
    <n v="15"/>
    <s v="TRADITIONAL CHRISTMAS RIBBONS"/>
    <s v="Debit Card"/>
    <n v="536385"/>
    <s v="85049A"/>
    <n v="1.25"/>
    <n v="12"/>
    <n v="7.0000000000000007E-2"/>
    <x v="2"/>
    <n v="15"/>
    <n v="1.05"/>
    <n v="13.95"/>
    <n v="167.39999999999998"/>
  </r>
  <r>
    <n v="174"/>
    <s v="Babara"/>
    <s v="Ochoa"/>
    <s v="NULL"/>
    <s v="babara.ochoa@aol.com"/>
    <n v="60"/>
    <d v="2010-12-01T09:56:00"/>
    <n v="4"/>
    <n v="22"/>
    <s v="ORGANISER WOOD ANTIQUE WHITE "/>
    <s v="Debit Card"/>
    <n v="536385"/>
    <n v="22168"/>
    <n v="8.5"/>
    <n v="2"/>
    <n v="0.2"/>
    <x v="2"/>
    <n v="17"/>
    <n v="3.4000000000000004"/>
    <n v="13.6"/>
    <n v="27.2"/>
  </r>
  <r>
    <n v="175"/>
    <s v="Nova"/>
    <s v="Hess"/>
    <s v="NULL"/>
    <s v="nova.hess@msn.com"/>
    <n v="61"/>
    <d v="2010-12-01T09:56:00"/>
    <n v="4"/>
    <n v="25"/>
    <s v="LUNCH BAG DOLLY GIRL DESIGN"/>
    <s v="Debit Card"/>
    <n v="536385"/>
    <n v="22662"/>
    <n v="1.65"/>
    <n v="10"/>
    <n v="0.1"/>
    <x v="2"/>
    <n v="16.5"/>
    <n v="1.6500000000000001"/>
    <n v="14.85"/>
    <n v="148.5"/>
  </r>
  <r>
    <n v="176"/>
    <s v="Carley"/>
    <s v="Reynolds"/>
    <s v="NULL"/>
    <s v="carley.reynolds@gmail.com"/>
    <n v="61"/>
    <d v="2010-12-01T09:57:00"/>
    <n v="4"/>
    <n v="15"/>
    <s v="WHITE WIRE EGG HOLDER"/>
    <s v="Debit Card"/>
    <n v="536386"/>
    <n v="84880"/>
    <n v="4.95"/>
    <n v="36"/>
    <n v="0.05"/>
    <x v="2"/>
    <n v="178.20000000000002"/>
    <n v="8.9100000000000019"/>
    <n v="169.29000000000002"/>
    <n v="6094.4400000000005"/>
  </r>
  <r>
    <n v="177"/>
    <s v="Carissa"/>
    <s v="Foreman"/>
    <s v="NULL"/>
    <s v="carissa.foreman@msn.com"/>
    <n v="61"/>
    <d v="2010-12-01T09:57:00"/>
    <n v="4"/>
    <n v="5"/>
    <s v="JUMBO  BAG BAROQUE BLACK WHITE"/>
    <s v="Debit Card"/>
    <n v="536386"/>
    <s v="85099C"/>
    <n v="1.65"/>
    <n v="100"/>
    <n v="0.2"/>
    <x v="2"/>
    <n v="165"/>
    <n v="33"/>
    <n v="132"/>
    <n v="13200"/>
  </r>
  <r>
    <n v="178"/>
    <s v="Genoveva"/>
    <s v="Tyler"/>
    <s v="(212) 152-6381"/>
    <s v="genoveva.tyler@gmail.com"/>
    <n v="62"/>
    <d v="2010-12-01T09:57:00"/>
    <n v="4"/>
    <n v="14"/>
    <s v="JUMBO BAG RED RETROSPOT"/>
    <s v="Debit Card"/>
    <n v="536386"/>
    <s v="85099B"/>
    <n v="1.65"/>
    <n v="100"/>
    <n v="7.0000000000000007E-2"/>
    <x v="2"/>
    <n v="165"/>
    <n v="11.55"/>
    <n v="153.44999999999999"/>
    <n v="15344.999999999998"/>
  </r>
  <r>
    <n v="179"/>
    <s v="Deane"/>
    <s v="Sears"/>
    <s v="NULL"/>
    <s v="deane.sears@hotmail.com"/>
    <n v="62"/>
    <d v="2010-12-01T09:58:00"/>
    <n v="4"/>
    <n v="8"/>
    <s v="CHILLI LIGHTS"/>
    <s v="Debit Card"/>
    <n v="536387"/>
    <n v="79321"/>
    <n v="3.82"/>
    <n v="192"/>
    <n v="0.1"/>
    <x v="2"/>
    <n v="733.43999999999994"/>
    <n v="73.343999999999994"/>
    <n v="660.096"/>
    <n v="126738.432"/>
  </r>
  <r>
    <n v="180"/>
    <s v="Karey"/>
    <s v="Steele"/>
    <s v="NULL"/>
    <s v="karey.steele@gmail.com"/>
    <n v="62"/>
    <d v="2010-12-01T09:58:00"/>
    <n v="4"/>
    <n v="22"/>
    <s v="LIGHT GARLAND BUTTERFILES PINK"/>
    <s v="Debit Card"/>
    <n v="536387"/>
    <n v="22780"/>
    <n v="3.37"/>
    <n v="192"/>
    <n v="0.1"/>
    <x v="2"/>
    <n v="647.04"/>
    <n v="64.703999999999994"/>
    <n v="582.33600000000001"/>
    <n v="111808.512"/>
  </r>
  <r>
    <n v="181"/>
    <s v="Olevia"/>
    <s v="Pitts"/>
    <s v="NULL"/>
    <s v="olevia.pitts@gmail.com"/>
    <n v="63"/>
    <d v="2010-12-01T09:58:00"/>
    <n v="4"/>
    <n v="25"/>
    <s v="WOODEN OWLS LIGHT GARLAND "/>
    <s v="Debit Card"/>
    <n v="536387"/>
    <n v="22779"/>
    <n v="3.37"/>
    <n v="192"/>
    <n v="0.1"/>
    <x v="2"/>
    <n v="647.04"/>
    <n v="64.703999999999994"/>
    <n v="582.33600000000001"/>
    <n v="111808.512"/>
  </r>
  <r>
    <n v="182"/>
    <s v="Jenniffer"/>
    <s v="Bullock"/>
    <s v="NULL"/>
    <s v="jenniffer.bullock@msn.com"/>
    <n v="63"/>
    <d v="2010-12-01T09:58:00"/>
    <n v="4"/>
    <n v="19"/>
    <s v="FAIRY TALE COTTAGE NIGHTLIGHT"/>
    <s v="Debit Card"/>
    <n v="536387"/>
    <n v="22466"/>
    <n v="1.45"/>
    <n v="432"/>
    <n v="0.05"/>
    <x v="2"/>
    <n v="626.4"/>
    <n v="31.32"/>
    <n v="595.07999999999993"/>
    <n v="257074.55999999997"/>
  </r>
  <r>
    <n v="183"/>
    <s v="Jeniffer"/>
    <s v="Ratliff"/>
    <s v="NULL"/>
    <s v="jeniffer.ratliff@gmail.com"/>
    <n v="63"/>
    <d v="2010-12-01T09:58:00"/>
    <n v="4"/>
    <n v="3"/>
    <s v="RED TOADSTOOL LED NIGHT LIGHT"/>
    <s v="Debit Card"/>
    <n v="536387"/>
    <n v="21731"/>
    <n v="1.25"/>
    <n v="432"/>
    <n v="0.1"/>
    <x v="2"/>
    <n v="540"/>
    <n v="54"/>
    <n v="486"/>
    <n v="209952"/>
  </r>
  <r>
    <n v="184"/>
    <s v="Klara"/>
    <s v="Stanley"/>
    <s v="NULL"/>
    <s v="klara.stanley@aol.com"/>
    <n v="64"/>
    <d v="2010-12-01T09:59:00"/>
    <n v="4"/>
    <n v="25"/>
    <s v="HOME BUILDING BLOCK WORD"/>
    <s v="Debit Card"/>
    <n v="536388"/>
    <n v="21754"/>
    <n v="5.95"/>
    <n v="3"/>
    <n v="0.1"/>
    <x v="2"/>
    <n v="17.850000000000001"/>
    <n v="1.7850000000000001"/>
    <n v="16.065000000000001"/>
    <n v="48.195000000000007"/>
  </r>
  <r>
    <n v="185"/>
    <s v="Morton"/>
    <s v="Lee"/>
    <s v="NULL"/>
    <s v="morton.lee@yahoo.com"/>
    <n v="64"/>
    <d v="2010-12-01T09:59:00"/>
    <n v="3"/>
    <n v="22"/>
    <s v="LOVE BUILDING BLOCK WORD"/>
    <s v="Debit Card"/>
    <n v="536388"/>
    <n v="21755"/>
    <n v="5.95"/>
    <n v="3"/>
    <n v="0.2"/>
    <x v="2"/>
    <n v="17.850000000000001"/>
    <n v="3.5700000000000003"/>
    <n v="14.280000000000001"/>
    <n v="42.84"/>
  </r>
  <r>
    <n v="186"/>
    <s v="Ken"/>
    <s v="Charles"/>
    <s v="NULL"/>
    <s v="ken.charles@msn.com"/>
    <n v="64"/>
    <d v="2010-12-01T09:59:00"/>
    <n v="4"/>
    <n v="23"/>
    <s v="DOORMAT FANCY FONT HOME SWEET HOME"/>
    <s v="Debit Card"/>
    <n v="536388"/>
    <n v="21523"/>
    <n v="7.95"/>
    <n v="2"/>
    <n v="0.2"/>
    <x v="2"/>
    <n v="15.9"/>
    <n v="3.18"/>
    <n v="12.72"/>
    <n v="25.44"/>
  </r>
  <r>
    <n v="187"/>
    <s v="Hedwig"/>
    <s v="Paul"/>
    <s v="NULL"/>
    <s v="hedwig.paul@msn.com"/>
    <n v="64"/>
    <d v="2010-12-01T09:59:00"/>
    <n v="4"/>
    <n v="24"/>
    <s v="HOME SMALL WOOD LETTERS"/>
    <s v="Debit Card"/>
    <n v="536388"/>
    <n v="21363"/>
    <n v="4.95"/>
    <n v="3"/>
    <n v="0.1"/>
    <x v="2"/>
    <n v="14.850000000000001"/>
    <n v="1.4850000000000003"/>
    <n v="13.365000000000002"/>
    <n v="40.095000000000006"/>
  </r>
  <r>
    <n v="188"/>
    <s v="Sharla"/>
    <s v="Flynn"/>
    <s v="(805) 478-7724"/>
    <s v="sharla.flynn@hotmail.com"/>
    <n v="65"/>
    <d v="2010-12-01T09:59:00"/>
    <n v="4"/>
    <n v="12"/>
    <s v="GINGHAM HEART  DOORSTOP RED"/>
    <s v="Debit Card"/>
    <n v="536388"/>
    <n v="21411"/>
    <n v="4.25"/>
    <n v="3"/>
    <n v="0.1"/>
    <x v="2"/>
    <n v="12.75"/>
    <n v="1.2750000000000001"/>
    <n v="11.475"/>
    <n v="34.424999999999997"/>
  </r>
  <r>
    <n v="189"/>
    <s v="Damian"/>
    <s v="Dawson"/>
    <s v="NULL"/>
    <s v="damian.dawson@hotmail.com"/>
    <n v="66"/>
    <d v="2010-12-01T09:59:00"/>
    <n v="4"/>
    <n v="2"/>
    <s v="FIVE HEART HANGING DECORATION"/>
    <s v="Debit Card"/>
    <n v="536388"/>
    <n v="22318"/>
    <n v="2.95"/>
    <n v="6"/>
    <n v="0.2"/>
    <x v="2"/>
    <n v="17.700000000000003"/>
    <n v="3.5400000000000009"/>
    <n v="14.160000000000002"/>
    <n v="84.960000000000008"/>
  </r>
  <r>
    <n v="190"/>
    <s v="Toya"/>
    <s v="Pratt"/>
    <s v="(562) 218-6405"/>
    <s v="toya.pratt@yahoo.com"/>
    <n v="66"/>
    <d v="2010-12-01T09:59:00"/>
    <n v="4"/>
    <n v="23"/>
    <s v="HANGING METAL HEART LANTERN"/>
    <s v="Debit Card"/>
    <n v="536388"/>
    <n v="22464"/>
    <n v="1.65"/>
    <n v="12"/>
    <n v="7.0000000000000007E-2"/>
    <x v="2"/>
    <n v="19.799999999999997"/>
    <n v="1.3859999999999999"/>
    <n v="18.413999999999998"/>
    <n v="220.96799999999996"/>
  </r>
  <r>
    <n v="191"/>
    <s v="Graciela"/>
    <s v="Barber"/>
    <s v="(805) 656-6987"/>
    <s v="graciela.barber@hotmail.com"/>
    <n v="66"/>
    <d v="2010-12-01T09:59:00"/>
    <n v="4"/>
    <n v="12"/>
    <s v="ASSORTED BOTTLE TOP  MAGNETS "/>
    <s v="Debit Card"/>
    <n v="536388"/>
    <n v="22915"/>
    <n v="0.42"/>
    <n v="12"/>
    <n v="7.0000000000000007E-2"/>
    <x v="2"/>
    <n v="5.04"/>
    <n v="0.35280000000000006"/>
    <n v="4.6871999999999998"/>
    <n v="56.246399999999994"/>
  </r>
  <r>
    <n v="192"/>
    <s v="Bong"/>
    <s v="Hebert"/>
    <s v="NULL"/>
    <s v="bong.hebert@gmail.com"/>
    <n v="67"/>
    <d v="2010-12-01T09:59:00"/>
    <n v="4"/>
    <n v="23"/>
    <s v="FRIDGE MAGNETS US DINER ASSORTED"/>
    <s v="Debit Card"/>
    <n v="536388"/>
    <n v="22922"/>
    <n v="0.85"/>
    <n v="12"/>
    <n v="0.2"/>
    <x v="2"/>
    <n v="10.199999999999999"/>
    <n v="2.04"/>
    <n v="8.16"/>
    <n v="97.92"/>
  </r>
  <r>
    <n v="193"/>
    <s v="Ayanna"/>
    <s v="Rhodes"/>
    <s v="NULL"/>
    <s v="ayanna.rhodes@msn.com"/>
    <n v="67"/>
    <d v="2010-12-01T09:59:00"/>
    <n v="4"/>
    <n v="12"/>
    <s v="HOMEMADE JAM SCENTED CANDLES"/>
    <s v="Debit Card"/>
    <n v="536388"/>
    <n v="22969"/>
    <n v="1.45"/>
    <n v="12"/>
    <n v="0.1"/>
    <x v="2"/>
    <n v="17.399999999999999"/>
    <n v="1.74"/>
    <n v="15.659999999999998"/>
    <n v="187.92"/>
  </r>
  <r>
    <n v="194"/>
    <s v="Dorine"/>
    <s v="Roberson"/>
    <s v="NULL"/>
    <s v="dorine.roberson@msn.com"/>
    <n v="67"/>
    <d v="2010-12-01T09:59:00"/>
    <n v="4"/>
    <n v="21"/>
    <s v="FRIDGE MAGNETS LES ENFANTS ASSORTED"/>
    <s v="Debit Card"/>
    <n v="536388"/>
    <n v="22923"/>
    <n v="0.85"/>
    <n v="12"/>
    <n v="0.2"/>
    <x v="2"/>
    <n v="10.199999999999999"/>
    <n v="2.04"/>
    <n v="8.16"/>
    <n v="97.92"/>
  </r>
  <r>
    <n v="195"/>
    <s v="Addie"/>
    <s v="Hahn"/>
    <s v="NULL"/>
    <s v="addie.hahn@hotmail.com"/>
    <n v="67"/>
    <d v="2010-12-01T09:59:00"/>
    <n v="4"/>
    <n v="5"/>
    <s v="ROSE CARAVAN DOORSTOP"/>
    <s v="Debit Card"/>
    <n v="536388"/>
    <n v="21115"/>
    <n v="6.75"/>
    <n v="4"/>
    <n v="0.1"/>
    <x v="2"/>
    <n v="27"/>
    <n v="2.7"/>
    <n v="24.3"/>
    <n v="97.2"/>
  </r>
  <r>
    <n v="196"/>
    <s v="Edythe"/>
    <s v="Valencia"/>
    <s v="NULL"/>
    <s v="edythe.valencia@yahoo.com"/>
    <n v="67"/>
    <d v="2010-12-01T09:59:00"/>
    <n v="4"/>
    <n v="19"/>
    <s v="HEART OF WICKER SMALL"/>
    <s v="Debit Card"/>
    <n v="536388"/>
    <n v="22469"/>
    <n v="1.65"/>
    <n v="12"/>
    <n v="0.2"/>
    <x v="2"/>
    <n v="19.799999999999997"/>
    <n v="3.9599999999999995"/>
    <n v="15.839999999999998"/>
    <n v="190.07999999999998"/>
  </r>
  <r>
    <n v="197"/>
    <s v="Andy"/>
    <s v="O'neill"/>
    <s v="NULL"/>
    <s v="andy.o'neill@msn.com"/>
    <n v="68"/>
    <d v="2010-12-01T09:59:00"/>
    <n v="4"/>
    <n v="13"/>
    <s v="5 HOOK HANGER MAGIC TOADSTOOL"/>
    <s v="Debit Card"/>
    <n v="536388"/>
    <n v="22242"/>
    <n v="1.65"/>
    <n v="12"/>
    <n v="7.0000000000000007E-2"/>
    <x v="2"/>
    <n v="19.799999999999997"/>
    <n v="1.3859999999999999"/>
    <n v="18.413999999999998"/>
    <n v="220.96799999999996"/>
  </r>
  <r>
    <n v="198"/>
    <s v="Luis"/>
    <s v="Tyler"/>
    <s v="NULL"/>
    <s v="luis.tyler@gmail.com"/>
    <n v="68"/>
    <d v="2010-12-01T10:03:00"/>
    <n v="1"/>
    <n v="17"/>
    <s v="CHRISTMAS LIGHTS 10 REINDEER"/>
    <s v="Cash on Delivery"/>
    <n v="536389"/>
    <n v="22941"/>
    <n v="8.5"/>
    <n v="6"/>
    <n v="0.1"/>
    <x v="3"/>
    <n v="51"/>
    <n v="5.1000000000000005"/>
    <n v="45.9"/>
    <n v="275.39999999999998"/>
  </r>
  <r>
    <n v="199"/>
    <s v="Clelia"/>
    <s v="Workman"/>
    <s v="NULL"/>
    <s v="clelia.workman@yahoo.com"/>
    <n v="69"/>
    <d v="2010-12-01T10:03:00"/>
    <n v="1"/>
    <n v="22"/>
    <s v="VINTAGE UNION JACK CUSHION COVER"/>
    <s v="Cash on Delivery"/>
    <n v="536389"/>
    <n v="21622"/>
    <n v="4.95"/>
    <n v="8"/>
    <n v="0.1"/>
    <x v="3"/>
    <n v="39.6"/>
    <n v="3.9600000000000004"/>
    <n v="35.64"/>
    <n v="285.12"/>
  </r>
  <r>
    <n v="200"/>
    <s v="Ashely"/>
    <s v="Holmes"/>
    <s v="NULL"/>
    <s v="ashely.holmes@aol.com"/>
    <n v="69"/>
    <d v="2010-12-01T10:03:00"/>
    <n v="1"/>
    <n v="5"/>
    <s v="VINTAGE HEADS AND TAILS CARD GAME "/>
    <s v="Cash on Delivery"/>
    <n v="536389"/>
    <n v="21791"/>
    <n v="1.25"/>
    <n v="12"/>
    <n v="0.2"/>
    <x v="3"/>
    <n v="15"/>
    <n v="3"/>
    <n v="12"/>
    <n v="144"/>
  </r>
  <r>
    <n v="201"/>
    <s v="Candis"/>
    <s v="Harding"/>
    <s v="NULL"/>
    <s v="candis.harding@gmail.com"/>
    <n v="69"/>
    <d v="2010-12-01T10:03:00"/>
    <n v="1"/>
    <n v="10"/>
    <s v="SET OF 3 COLOURED  FLYING DUCKS"/>
    <s v="Cash on Delivery"/>
    <n v="536389"/>
    <s v="35004C"/>
    <n v="5.45"/>
    <n v="6"/>
    <n v="0.05"/>
    <x v="3"/>
    <n v="32.700000000000003"/>
    <n v="1.6350000000000002"/>
    <n v="31.065000000000001"/>
    <n v="186.39000000000001"/>
  </r>
  <r>
    <n v="202"/>
    <s v="Marni"/>
    <s v="Bolton"/>
    <s v="(717) 670-6268"/>
    <s v="marni.bolton@msn.com"/>
    <n v="70"/>
    <d v="2010-12-01T10:03:00"/>
    <n v="1"/>
    <n v="3"/>
    <s v="SET OF 3 GOLD FLYING DUCKS"/>
    <s v="Cash on Delivery"/>
    <n v="536389"/>
    <s v="35004G"/>
    <n v="6.35"/>
    <n v="4"/>
    <n v="0.05"/>
    <x v="3"/>
    <n v="25.4"/>
    <n v="1.27"/>
    <n v="24.13"/>
    <n v="96.52"/>
  </r>
  <r>
    <n v="203"/>
    <s v="Minerva"/>
    <s v="Decker"/>
    <s v="(281) 271-6390"/>
    <s v="minerva.decker@yahoo.com"/>
    <n v="70"/>
    <d v="2010-12-01T10:03:00"/>
    <n v="1"/>
    <n v="18"/>
    <s v="RED RETROSPOT UMBRELLA"/>
    <s v="Cash on Delivery"/>
    <n v="536389"/>
    <s v="85014B"/>
    <n v="5.95"/>
    <n v="6"/>
    <n v="0.2"/>
    <x v="3"/>
    <n v="35.700000000000003"/>
    <n v="7.1400000000000006"/>
    <n v="28.560000000000002"/>
    <n v="171.36"/>
  </r>
  <r>
    <n v="204"/>
    <s v="Alpha"/>
    <s v="King"/>
    <s v="NULL"/>
    <s v="alpha.king@hotmail.com"/>
    <n v="70"/>
    <d v="2010-12-01T10:03:00"/>
    <n v="1"/>
    <n v="20"/>
    <s v="BLACK/BLUE POLKADOT UMBRELLA"/>
    <s v="Cash on Delivery"/>
    <n v="536389"/>
    <s v="85014A"/>
    <n v="5.95"/>
    <n v="3"/>
    <n v="0.05"/>
    <x v="3"/>
    <n v="17.850000000000001"/>
    <n v="0.89250000000000007"/>
    <n v="16.957500000000003"/>
    <n v="50.872500000000009"/>
  </r>
  <r>
    <n v="205"/>
    <s v="Harris"/>
    <s v="Pittman"/>
    <s v="NULL"/>
    <s v="harris.pittman@yahoo.com"/>
    <n v="71"/>
    <d v="2010-12-01T10:03:00"/>
    <n v="2"/>
    <n v="26"/>
    <s v="RED DINER WALL CLOCK"/>
    <s v="Cash on Delivery"/>
    <n v="536389"/>
    <n v="22193"/>
    <n v="8.5"/>
    <n v="2"/>
    <n v="0.05"/>
    <x v="3"/>
    <n v="17"/>
    <n v="0.85000000000000009"/>
    <n v="16.149999999999999"/>
    <n v="32.299999999999997"/>
  </r>
  <r>
    <n v="206"/>
    <s v="Stephaine"/>
    <s v="Riddle"/>
    <s v="NULL"/>
    <s v="stephaine.riddle@hotmail.com"/>
    <n v="71"/>
    <d v="2010-12-01T10:03:00"/>
    <n v="2"/>
    <n v="24"/>
    <s v="ALARM CLOCK BAKELIKE GREEN"/>
    <s v="Cash on Delivery"/>
    <n v="536389"/>
    <n v="22726"/>
    <n v="3.75"/>
    <n v="4"/>
    <n v="0.2"/>
    <x v="3"/>
    <n v="15"/>
    <n v="3"/>
    <n v="12"/>
    <n v="48"/>
  </r>
  <r>
    <n v="207"/>
    <s v="Michel"/>
    <s v="Blankenship"/>
    <s v="NULL"/>
    <s v="michel.blankenship@msn.com"/>
    <n v="71"/>
    <d v="2010-12-01T10:03:00"/>
    <n v="2"/>
    <n v="18"/>
    <s v="ALARM CLOCK BAKELIKE RED "/>
    <s v="Cash on Delivery"/>
    <n v="536389"/>
    <n v="22727"/>
    <n v="3.75"/>
    <n v="4"/>
    <n v="0.1"/>
    <x v="3"/>
    <n v="15"/>
    <n v="1.5"/>
    <n v="13.5"/>
    <n v="54"/>
  </r>
  <r>
    <n v="208"/>
    <s v="Denis"/>
    <s v="Logan"/>
    <s v="NULL"/>
    <s v="denis.logan@msn.com"/>
    <n v="72"/>
    <d v="2010-12-01T10:03:00"/>
    <n v="2"/>
    <n v="17"/>
    <s v="BLUE DINER WALL CLOCK"/>
    <s v="Cash on Delivery"/>
    <n v="536389"/>
    <n v="22192"/>
    <n v="8.5"/>
    <n v="2"/>
    <n v="7.0000000000000007E-2"/>
    <x v="3"/>
    <n v="17"/>
    <n v="1.1900000000000002"/>
    <n v="15.81"/>
    <n v="31.62"/>
  </r>
  <r>
    <n v="209"/>
    <s v="Jutta"/>
    <s v="Everett"/>
    <s v="NULL"/>
    <s v="jutta.everett@gmail.com"/>
    <n v="72"/>
    <d v="2010-12-01T10:03:00"/>
    <n v="2"/>
    <n v="12"/>
    <s v="IVORY DINER WALL CLOCK"/>
    <s v="Cash on Delivery"/>
    <n v="536389"/>
    <n v="22191"/>
    <n v="8.5"/>
    <n v="2"/>
    <n v="0.05"/>
    <x v="3"/>
    <n v="17"/>
    <n v="0.85000000000000009"/>
    <n v="16.149999999999999"/>
    <n v="32.299999999999997"/>
  </r>
  <r>
    <n v="210"/>
    <s v="Priscilla"/>
    <s v="Wilkins"/>
    <s v="(229) 322-2269"/>
    <s v="priscilla.wilkins@aol.com"/>
    <n v="72"/>
    <d v="2010-12-01T10:03:00"/>
    <n v="2"/>
    <n v="13"/>
    <s v="LARGE HEART MEASURING SPOONS"/>
    <s v="Cash on Delivery"/>
    <n v="536389"/>
    <n v="22195"/>
    <n v="1.65"/>
    <n v="24"/>
    <n v="0.1"/>
    <x v="3"/>
    <n v="39.599999999999994"/>
    <n v="3.9599999999999995"/>
    <n v="35.639999999999993"/>
    <n v="855.3599999999999"/>
  </r>
  <r>
    <n v="211"/>
    <s v="Gilma"/>
    <s v="Dejesus"/>
    <s v="NULL"/>
    <s v="gilma.dejesus@yahoo.com"/>
    <n v="73"/>
    <d v="2010-12-01T10:03:00"/>
    <n v="2"/>
    <n v="22"/>
    <s v="SMALL HEART MEASURING SPOONS"/>
    <s v="Cash on Delivery"/>
    <n v="536389"/>
    <n v="22196"/>
    <n v="0.85"/>
    <n v="24"/>
    <n v="7.0000000000000007E-2"/>
    <x v="3"/>
    <n v="20.399999999999999"/>
    <n v="1.4279999999999999"/>
    <n v="18.971999999999998"/>
    <n v="455.32799999999997"/>
  </r>
  <r>
    <n v="212"/>
    <s v="Buford"/>
    <s v="Bridges"/>
    <s v="(248) 604-7346"/>
    <s v="buford.bridges@msn.com"/>
    <n v="73"/>
    <d v="2010-12-01T10:19:00"/>
    <n v="4"/>
    <n v="26"/>
    <s v="CHRISTMAS LIGHTS 10 REINDEER"/>
    <s v="Debit Card"/>
    <n v="536390"/>
    <n v="22941"/>
    <n v="8.5"/>
    <n v="2"/>
    <n v="0.05"/>
    <x v="2"/>
    <n v="17"/>
    <n v="0.85000000000000009"/>
    <n v="16.149999999999999"/>
    <n v="32.299999999999997"/>
  </r>
  <r>
    <n v="213"/>
    <s v="Elenore"/>
    <s v="Hensley"/>
    <s v="NULL"/>
    <s v="elenore.hensley@hotmail.com"/>
    <n v="73"/>
    <d v="2010-12-01T10:19:00"/>
    <n v="4"/>
    <n v="3"/>
    <s v="JAM MAKING SET WITH JARS"/>
    <s v="Debit Card"/>
    <n v="536390"/>
    <n v="22960"/>
    <n v="3.75"/>
    <n v="12"/>
    <n v="7.0000000000000007E-2"/>
    <x v="2"/>
    <n v="45"/>
    <n v="3.1500000000000004"/>
    <n v="41.85"/>
    <n v="502.20000000000005"/>
  </r>
  <r>
    <n v="214"/>
    <s v="Ross"/>
    <s v="Pugh"/>
    <s v="NULL"/>
    <s v="ross.pugh@msn.com"/>
    <n v="73"/>
    <d v="2010-12-01T10:19:00"/>
    <n v="4"/>
    <n v="25"/>
    <s v="JAM MAKING SET PRINTED"/>
    <s v="Debit Card"/>
    <n v="536390"/>
    <n v="22961"/>
    <n v="1.45"/>
    <n v="12"/>
    <n v="7.0000000000000007E-2"/>
    <x v="2"/>
    <n v="17.399999999999999"/>
    <n v="1.218"/>
    <n v="16.181999999999999"/>
    <n v="194.18399999999997"/>
  </r>
  <r>
    <n v="215"/>
    <s v="Judith"/>
    <s v="Finley"/>
    <s v="NULL"/>
    <s v="judith.finley@hotmail.com"/>
    <n v="73"/>
    <d v="2010-12-01T10:19:00"/>
    <n v="4"/>
    <n v="23"/>
    <s v="JAM JAR WITH PINK LID"/>
    <s v="Debit Card"/>
    <n v="536390"/>
    <n v="22962"/>
    <n v="0.72"/>
    <n v="48"/>
    <n v="0.2"/>
    <x v="2"/>
    <n v="34.56"/>
    <n v="6.9120000000000008"/>
    <n v="27.648000000000003"/>
    <n v="1327.1040000000003"/>
  </r>
  <r>
    <n v="216"/>
    <s v="Wai"/>
    <s v="Soto"/>
    <s v="NULL"/>
    <s v="wai.soto@msn.com"/>
    <n v="74"/>
    <d v="2010-12-01T10:19:00"/>
    <n v="4"/>
    <n v="16"/>
    <s v="JAM JAR WITH GREEN LID"/>
    <s v="Debit Card"/>
    <n v="536390"/>
    <n v="22963"/>
    <n v="0.72"/>
    <n v="48"/>
    <n v="0.05"/>
    <x v="2"/>
    <n v="34.56"/>
    <n v="1.7280000000000002"/>
    <n v="32.832000000000001"/>
    <n v="1575.9360000000001"/>
  </r>
  <r>
    <n v="217"/>
    <s v="Carline"/>
    <s v="Collier"/>
    <s v="(559) 810-6070"/>
    <s v="carline.collier@msn.com"/>
    <n v="74"/>
    <d v="2010-12-01T10:19:00"/>
    <n v="4"/>
    <n v="6"/>
    <s v="ROSE COTTAGE KEEPSAKE BOX "/>
    <s v="Debit Card"/>
    <n v="536390"/>
    <n v="22968"/>
    <n v="8.5"/>
    <n v="8"/>
    <n v="7.0000000000000007E-2"/>
    <x v="2"/>
    <n v="68"/>
    <n v="4.7600000000000007"/>
    <n v="63.24"/>
    <n v="505.92"/>
  </r>
  <r>
    <n v="218"/>
    <s v="Casey"/>
    <s v="Gill"/>
    <s v="NULL"/>
    <s v="casey.gill@gmail.com"/>
    <n v="75"/>
    <d v="2010-12-01T10:19:00"/>
    <n v="4"/>
    <n v="3"/>
    <s v="HANGING HEART ZINC T-LIGHT HOLDER"/>
    <s v="Debit Card"/>
    <n v="536390"/>
    <s v="84970S"/>
    <n v="0.64"/>
    <n v="144"/>
    <n v="0.1"/>
    <x v="2"/>
    <n v="92.16"/>
    <n v="9.2159999999999993"/>
    <n v="82.944000000000003"/>
    <n v="11943.936"/>
  </r>
  <r>
    <n v="219"/>
    <s v="Darcie"/>
    <s v="Morgan"/>
    <s v="(442) 618-7068"/>
    <s v="darcie.morgan@aol.com"/>
    <n v="75"/>
    <d v="2010-12-01T10:19:00"/>
    <n v="4"/>
    <n v="7"/>
    <s v="PAPER CHAIN KIT VINTAGE CHRISTMAS"/>
    <s v="Debit Card"/>
    <n v="536390"/>
    <n v="22910"/>
    <n v="2.5499999999999998"/>
    <n v="40"/>
    <n v="7.0000000000000007E-2"/>
    <x v="1"/>
    <n v="102"/>
    <n v="7.1400000000000006"/>
    <n v="94.86"/>
    <n v="3794.4"/>
  </r>
  <r>
    <n v="220"/>
    <s v="Lucio"/>
    <s v="Sherman"/>
    <s v="NULL"/>
    <s v="lucio.sherman@gmail.com"/>
    <n v="75"/>
    <d v="2010-12-01T10:19:00"/>
    <n v="4"/>
    <n v="15"/>
    <s v="DISCO BALL CHRISTMAS DECORATION"/>
    <s v="Debit Card"/>
    <n v="536390"/>
    <n v="20668"/>
    <n v="0.1"/>
    <n v="288"/>
    <n v="0.2"/>
    <x v="1"/>
    <n v="28.8"/>
    <n v="5.7600000000000007"/>
    <n v="23.04"/>
    <n v="6635.5199999999995"/>
  </r>
  <r>
    <n v="221"/>
    <s v="Clementine"/>
    <s v="Mooney"/>
    <s v="NULL"/>
    <s v="clementine.mooney@yahoo.com"/>
    <n v="76"/>
    <d v="2010-12-01T10:19:00"/>
    <n v="4"/>
    <n v="12"/>
    <s v="WHITE HANGING HEART T-LIGHT HOLDER"/>
    <s v="Debit Card"/>
    <n v="536390"/>
    <s v="85123A"/>
    <n v="2.5499999999999998"/>
    <n v="64"/>
    <n v="0.05"/>
    <x v="1"/>
    <n v="163.19999999999999"/>
    <n v="8.16"/>
    <n v="155.04"/>
    <n v="9922.56"/>
  </r>
  <r>
    <n v="222"/>
    <s v="Anya"/>
    <s v="Contreras"/>
    <s v="NULL"/>
    <s v="anya.contreras@msn.com"/>
    <n v="76"/>
    <d v="2010-12-01T10:19:00"/>
    <n v="4"/>
    <n v="11"/>
    <s v="SMALL POPCORN HOLDER"/>
    <s v="Debit Card"/>
    <n v="536390"/>
    <n v="22197"/>
    <n v="0.72"/>
    <n v="100"/>
    <n v="0.1"/>
    <x v="1"/>
    <n v="72"/>
    <n v="7.2"/>
    <n v="64.8"/>
    <n v="6480"/>
  </r>
  <r>
    <n v="223"/>
    <s v="Scarlet"/>
    <s v="Yates"/>
    <s v="NULL"/>
    <s v="scarlet.yates@hotmail.com"/>
    <n v="76"/>
    <d v="2010-12-01T10:19:00"/>
    <n v="4"/>
    <n v="5"/>
    <s v="LARGE POPCORN HOLDER "/>
    <s v="Debit Card"/>
    <n v="536390"/>
    <n v="22198"/>
    <n v="1.45"/>
    <n v="50"/>
    <n v="7.0000000000000007E-2"/>
    <x v="1"/>
    <n v="72.5"/>
    <n v="5.0750000000000002"/>
    <n v="67.424999999999997"/>
    <n v="3371.25"/>
  </r>
  <r>
    <n v="224"/>
    <s v="Moses"/>
    <s v="Pope"/>
    <s v="NULL"/>
    <s v="moses.pope@yahoo.com"/>
    <n v="77"/>
    <d v="2010-12-01T10:19:00"/>
    <n v="4"/>
    <n v="20"/>
    <s v="RETROSPOT LARGE MILK JUG"/>
    <s v="Debit Card"/>
    <n v="536390"/>
    <n v="21533"/>
    <n v="4.25"/>
    <n v="12"/>
    <n v="7.0000000000000007E-2"/>
    <x v="1"/>
    <n v="51"/>
    <n v="3.5700000000000003"/>
    <n v="47.43"/>
    <n v="569.16"/>
  </r>
  <r>
    <n v="225"/>
    <s v="Barbera"/>
    <s v="Riggs"/>
    <s v="NULL"/>
    <s v="barbera.riggs@aol.com"/>
    <n v="77"/>
    <d v="2010-12-01T10:19:00"/>
    <n v="4"/>
    <n v="24"/>
    <s v="SET/20 RED RETROSPOT PAPER NAPKINS "/>
    <s v="Debit Card"/>
    <n v="536390"/>
    <n v="21080"/>
    <n v="0.64"/>
    <n v="96"/>
    <n v="0.1"/>
    <x v="1"/>
    <n v="61.44"/>
    <n v="6.1440000000000001"/>
    <n v="55.295999999999999"/>
    <n v="5308.4160000000002"/>
  </r>
  <r>
    <n v="226"/>
    <s v="Kiana"/>
    <s v="Rivera"/>
    <s v="NULL"/>
    <s v="kiana.rivera@gmail.com"/>
    <n v="77"/>
    <d v="2010-12-01T10:19:00"/>
    <n v="4"/>
    <n v="26"/>
    <s v="SET/6 RED SPOTTY PAPER PLATES"/>
    <s v="Debit Card"/>
    <n v="536390"/>
    <n v="21094"/>
    <n v="0.64"/>
    <n v="96"/>
    <n v="0.2"/>
    <x v="1"/>
    <n v="61.44"/>
    <n v="12.288"/>
    <n v="49.152000000000001"/>
    <n v="4718.5920000000006"/>
  </r>
  <r>
    <n v="227"/>
    <s v="Danielle"/>
    <s v="Bond"/>
    <s v="NULL"/>
    <s v="danielle.bond@msn.com"/>
    <n v="77"/>
    <d v="2010-12-01T10:19:00"/>
    <n v="4"/>
    <n v="25"/>
    <s v="SET/6 RED SPOTTY PAPER CUPS"/>
    <s v="Debit Card"/>
    <n v="536390"/>
    <n v="21086"/>
    <n v="0.65"/>
    <n v="48"/>
    <n v="0.2"/>
    <x v="1"/>
    <n v="31.200000000000003"/>
    <n v="6.2400000000000011"/>
    <n v="24.96"/>
    <n v="1198.08"/>
  </r>
  <r>
    <n v="228"/>
    <s v="Whitney"/>
    <s v="Estes"/>
    <s v="(631) 315-4020"/>
    <s v="whitney.estes@gmail.com"/>
    <n v="78"/>
    <d v="2010-12-01T10:19:00"/>
    <n v="4"/>
    <n v="17"/>
    <s v="POLKADOT RAIN HAT "/>
    <s v="Debit Card"/>
    <n v="536390"/>
    <n v="21786"/>
    <n v="0.32"/>
    <n v="144"/>
    <n v="7.0000000000000007E-2"/>
    <x v="1"/>
    <n v="46.08"/>
    <n v="3.2256"/>
    <n v="42.854399999999998"/>
    <n v="6171.0335999999998"/>
  </r>
  <r>
    <n v="229"/>
    <s v="Molly"/>
    <s v="Langley"/>
    <s v="NULL"/>
    <s v="molly.langley@aol.com"/>
    <n v="78"/>
    <d v="2010-12-01T10:19:00"/>
    <n v="4"/>
    <n v="19"/>
    <s v="DELUXE SEWING KIT "/>
    <s v="Debit Card"/>
    <n v="536390"/>
    <n v="22654"/>
    <n v="4.95"/>
    <n v="100"/>
    <n v="0.2"/>
    <x v="1"/>
    <n v="495"/>
    <n v="99"/>
    <n v="396"/>
    <n v="39600"/>
  </r>
  <r>
    <n v="230"/>
    <s v="Chelsey"/>
    <s v="Hardin"/>
    <s v="NULL"/>
    <s v="chelsey.hardin@hotmail.com"/>
    <n v="78"/>
    <d v="2010-12-01T10:19:00"/>
    <n v="4"/>
    <n v="18"/>
    <s v="RETROSPOT HEART HOT WATER BOTTLE"/>
    <s v="Debit Card"/>
    <n v="536390"/>
    <n v="21485"/>
    <n v="4.25"/>
    <n v="100"/>
    <n v="0.1"/>
    <x v="1"/>
    <n v="425"/>
    <n v="42.5"/>
    <n v="382.5"/>
    <n v="38250"/>
  </r>
  <r>
    <n v="231"/>
    <s v="Jenee"/>
    <s v="Rasmussen"/>
    <s v="(916) 219-1774"/>
    <s v="jenee.rasmussen@hotmail.com"/>
    <n v="78"/>
    <d v="2010-12-01T10:19:00"/>
    <n v="4"/>
    <n v="14"/>
    <s v="KNITTED UNION FLAG HOT WATER BOTTLE"/>
    <s v="Debit Card"/>
    <n v="536390"/>
    <s v="84029G"/>
    <n v="3.39"/>
    <n v="100"/>
    <n v="0.1"/>
    <x v="1"/>
    <n v="339"/>
    <n v="33.9"/>
    <n v="305.10000000000002"/>
    <n v="30510.000000000004"/>
  </r>
  <r>
    <n v="232"/>
    <s v="Freddie"/>
    <s v="Mathis"/>
    <s v="NULL"/>
    <s v="freddie.mathis@hotmail.com"/>
    <n v="79"/>
    <d v="2010-12-01T10:19:00"/>
    <n v="4"/>
    <n v="9"/>
    <s v="ENGLISH ROSE HOT WATER BOTTLE"/>
    <s v="Debit Card"/>
    <n v="536390"/>
    <s v="84030E"/>
    <n v="3.75"/>
    <n v="100"/>
    <n v="0.1"/>
    <x v="1"/>
    <n v="375"/>
    <n v="37.5"/>
    <n v="337.5"/>
    <n v="33750"/>
  </r>
  <r>
    <n v="233"/>
    <s v="Mariana"/>
    <s v="Strong"/>
    <s v="NULL"/>
    <s v="mariana.strong@msn.com"/>
    <n v="79"/>
    <d v="2010-12-01T10:19:00"/>
    <n v="4"/>
    <n v="17"/>
    <s v="PHOTO CUBE"/>
    <s v="Debit Card"/>
    <n v="536390"/>
    <n v="22174"/>
    <n v="1.48"/>
    <n v="48"/>
    <n v="0.05"/>
    <x v="1"/>
    <n v="71.039999999999992"/>
    <n v="3.5519999999999996"/>
    <n v="67.488"/>
    <n v="3239.424"/>
  </r>
  <r>
    <n v="234"/>
    <s v="Winfred"/>
    <s v="Harris"/>
    <s v="NULL"/>
    <s v="winfred.harris@msn.com"/>
    <n v="79"/>
    <d v="2010-12-01T10:19:00"/>
    <n v="4"/>
    <n v="6"/>
    <s v="HOMEMADE JAM SCENTED CANDLES"/>
    <s v="Debit Card"/>
    <n v="536390"/>
    <n v="22969"/>
    <n v="1.25"/>
    <n v="96"/>
    <n v="0.1"/>
    <x v="1"/>
    <n v="120"/>
    <n v="12"/>
    <n v="108"/>
    <n v="10368"/>
  </r>
  <r>
    <n v="235"/>
    <s v="Jeromy"/>
    <s v="Elliott"/>
    <s v="NULL"/>
    <s v="jeromy.elliott@gmail.com"/>
    <n v="79"/>
    <d v="2010-12-01T10:19:00"/>
    <n v="4"/>
    <n v="25"/>
    <s v="JUMBO BAG RED RETROSPOT"/>
    <s v="Debit Card"/>
    <n v="536390"/>
    <s v="85099B"/>
    <n v="1.65"/>
    <n v="100"/>
    <n v="7.0000000000000007E-2"/>
    <x v="1"/>
    <n v="165"/>
    <n v="11.55"/>
    <n v="153.44999999999999"/>
    <n v="15344.999999999998"/>
  </r>
  <r>
    <n v="236"/>
    <s v="Verona"/>
    <s v="O'neill"/>
    <s v="NULL"/>
    <s v="verona.o'neill@hotmail.com"/>
    <n v="80"/>
    <d v="2010-12-01T10:24:00"/>
    <n v="4"/>
    <n v="26"/>
    <s v="PLASTERS IN TIN CIRCUS PARADE "/>
    <s v="Debit Card"/>
    <s v="C536391"/>
    <n v="22556"/>
    <n v="1.65"/>
    <n v="50"/>
    <n v="0.1"/>
    <x v="1"/>
    <n v="82.5"/>
    <n v="8.25"/>
    <n v="74.25"/>
    <n v="3712.5"/>
  </r>
  <r>
    <n v="237"/>
    <s v="Elvera"/>
    <s v="Peck"/>
    <s v="NULL"/>
    <s v="elvera.peck@yahoo.com"/>
    <n v="80"/>
    <d v="2010-12-01T10:24:00"/>
    <n v="4"/>
    <n v="24"/>
    <s v="PACK OF 12 PINK PAISLEY TISSUES "/>
    <s v="Debit Card"/>
    <s v="C536391"/>
    <n v="21984"/>
    <n v="0.28999999999999998"/>
    <n v="50"/>
    <n v="0.1"/>
    <x v="1"/>
    <n v="14.499999999999998"/>
    <n v="1.45"/>
    <n v="13.049999999999999"/>
    <n v="652.5"/>
  </r>
  <r>
    <n v="238"/>
    <s v="Cindi"/>
    <s v="Larson"/>
    <s v="NULL"/>
    <s v="cindi.larson@msn.com"/>
    <n v="80"/>
    <d v="2010-12-01T10:24:00"/>
    <n v="4"/>
    <n v="17"/>
    <s v="PACK OF 12 BLUE PAISLEY TISSUES "/>
    <s v="Debit Card"/>
    <s v="C536391"/>
    <n v="21983"/>
    <n v="0.28999999999999998"/>
    <n v="70"/>
    <n v="0.2"/>
    <x v="1"/>
    <n v="20.299999999999997"/>
    <n v="4.0599999999999996"/>
    <n v="16.239999999999998"/>
    <n v="1136.8"/>
  </r>
  <r>
    <n v="239"/>
    <s v="Felice"/>
    <s v="Guzman"/>
    <s v="NULL"/>
    <s v="felice.guzman@hotmail.com"/>
    <n v="81"/>
    <d v="2010-12-01T10:24:00"/>
    <n v="3"/>
    <n v="10"/>
    <s v="PACK OF 12 RED RETROSPOT TISSUES "/>
    <s v="Debit Card"/>
    <s v="C536391"/>
    <n v="21980"/>
    <n v="0.28999999999999998"/>
    <n v="200"/>
    <n v="0.2"/>
    <x v="1"/>
    <n v="57.999999999999993"/>
    <n v="11.6"/>
    <n v="46.399999999999991"/>
    <n v="9279.9999999999982"/>
  </r>
  <r>
    <n v="240"/>
    <s v="Le"/>
    <s v="Deleon"/>
    <s v="NULL"/>
    <s v="le.deleon@msn.com"/>
    <n v="81"/>
    <d v="2010-12-01T10:24:00"/>
    <n v="4"/>
    <n v="23"/>
    <s v="CHICK GREY HOT WATER BOTTLE"/>
    <s v="Debit Card"/>
    <s v="C536391"/>
    <n v="21484"/>
    <n v="3.45"/>
    <n v="300"/>
    <n v="0.05"/>
    <x v="1"/>
    <n v="1035"/>
    <n v="51.75"/>
    <n v="983.25"/>
    <n v="294975"/>
  </r>
  <r>
    <n v="241"/>
    <s v="Manie"/>
    <s v="Sanchez"/>
    <s v="NULL"/>
    <s v="manie.sanchez@hotmail.com"/>
    <n v="81"/>
    <d v="2010-12-01T10:24:00"/>
    <n v="4"/>
    <n v="25"/>
    <s v="PLASTERS IN TIN VINTAGE PAISLEY "/>
    <s v="Debit Card"/>
    <s v="C536391"/>
    <n v="22557"/>
    <n v="1.65"/>
    <n v="100"/>
    <n v="0.05"/>
    <x v="1"/>
    <n v="165"/>
    <n v="8.25"/>
    <n v="156.75"/>
    <n v="15675"/>
  </r>
  <r>
    <n v="242"/>
    <s v="Rutha"/>
    <s v="Howell"/>
    <s v="NULL"/>
    <s v="rutha.howell@gmail.com"/>
    <n v="82"/>
    <d v="2010-12-01T10:24:00"/>
    <n v="4"/>
    <n v="25"/>
    <s v="PLASTERS IN TIN SKULLS"/>
    <s v="Debit Card"/>
    <s v="C536391"/>
    <n v="22553"/>
    <n v="1.65"/>
    <n v="100"/>
    <n v="0.1"/>
    <x v="1"/>
    <n v="165"/>
    <n v="16.5"/>
    <n v="148.5"/>
    <n v="14850"/>
  </r>
  <r>
    <n v="243"/>
    <s v="Natosha"/>
    <s v="Rowland"/>
    <s v="NULL"/>
    <s v="natosha.rowland@aol.com"/>
    <n v="82"/>
    <d v="2010-12-01T10:29:00"/>
    <n v="4"/>
    <n v="11"/>
    <s v="3 STRIPEY MICE FELTCRAFT"/>
    <s v="Debit Card"/>
    <n v="536392"/>
    <n v="22150"/>
    <n v="1.95"/>
    <n v="50"/>
    <n v="0.2"/>
    <x v="1"/>
    <n v="97.5"/>
    <n v="19.5"/>
    <n v="78"/>
    <n v="3900"/>
  </r>
  <r>
    <n v="244"/>
    <s v="Jessika"/>
    <s v="Bray"/>
    <s v="NULL"/>
    <s v="jessika.bray@yahoo.com"/>
    <n v="83"/>
    <d v="2010-12-01T10:29:00"/>
    <n v="4"/>
    <n v="20"/>
    <s v="SET OF 6 SOLDIER SKITTLES"/>
    <s v="Debit Card"/>
    <n v="536392"/>
    <n v="22619"/>
    <n v="3.75"/>
    <n v="60"/>
    <n v="0.2"/>
    <x v="1"/>
    <n v="225"/>
    <n v="45"/>
    <n v="180"/>
    <n v="10800"/>
  </r>
  <r>
    <n v="245"/>
    <s v="Delila"/>
    <s v="Hamilton"/>
    <s v="NULL"/>
    <s v="delila.hamilton@yahoo.com"/>
    <n v="83"/>
    <d v="2010-12-01T10:29:00"/>
    <n v="4"/>
    <n v="3"/>
    <s v="TRADITIONAL WOODEN SKIPPING ROPE"/>
    <s v="Debit Card"/>
    <n v="536392"/>
    <n v="21891"/>
    <n v="1.25"/>
    <n v="12"/>
    <n v="0.05"/>
    <x v="1"/>
    <n v="15"/>
    <n v="0.75"/>
    <n v="14.25"/>
    <n v="171"/>
  </r>
  <r>
    <n v="246"/>
    <s v="Dionne"/>
    <s v="Norris"/>
    <s v="NULL"/>
    <s v="dionne.norris@yahoo.com"/>
    <n v="84"/>
    <d v="2010-12-01T10:29:00"/>
    <n v="3"/>
    <n v="23"/>
    <s v="WOODEN BOX OF DOMINOES"/>
    <s v="Debit Card"/>
    <n v="536392"/>
    <n v="21889"/>
    <n v="1.25"/>
    <n v="12"/>
    <n v="7.0000000000000007E-2"/>
    <x v="1"/>
    <n v="15"/>
    <n v="1.05"/>
    <n v="13.95"/>
    <n v="167.39999999999998"/>
  </r>
  <r>
    <n v="247"/>
    <s v="Muriel"/>
    <s v="Juarez"/>
    <s v="NULL"/>
    <s v="muriel.juarez@gmail.com"/>
    <n v="84"/>
    <d v="2010-12-01T10:29:00"/>
    <n v="4"/>
    <n v="15"/>
    <s v="RUSTIC  SEVENTEEN DRAWER SIDEBOARD"/>
    <s v="Debit Card"/>
    <n v="536392"/>
    <n v="22827"/>
    <n v="165"/>
    <n v="1"/>
    <n v="7.0000000000000007E-2"/>
    <x v="1"/>
    <n v="165"/>
    <n v="11.55"/>
    <n v="153.44999999999999"/>
    <n v="153.44999999999999"/>
  </r>
  <r>
    <n v="248"/>
    <s v="Cecelia"/>
    <s v="Gill"/>
    <s v="NULL"/>
    <s v="cecelia.gill@aol.com"/>
    <n v="85"/>
    <d v="2010-12-01T10:29:00"/>
    <n v="4"/>
    <n v="4"/>
    <s v="PARTY CONES CARNIVAL ASSORTED"/>
    <s v="Debit Card"/>
    <n v="536392"/>
    <n v="22127"/>
    <n v="1.25"/>
    <n v="12"/>
    <n v="0.05"/>
    <x v="1"/>
    <n v="15"/>
    <n v="0.75"/>
    <n v="14.25"/>
    <n v="171"/>
  </r>
  <r>
    <n v="249"/>
    <s v="Magda"/>
    <s v="Eaton"/>
    <s v="NULL"/>
    <s v="magda.eaton@aol.com"/>
    <n v="85"/>
    <d v="2010-12-01T10:29:00"/>
    <n v="4"/>
    <n v="18"/>
    <s v="PARTY CONES CANDY ASSORTED"/>
    <s v="Debit Card"/>
    <n v="536392"/>
    <n v="22128"/>
    <n v="1.25"/>
    <n v="12"/>
    <n v="7.0000000000000007E-2"/>
    <x v="1"/>
    <n v="15"/>
    <n v="1.05"/>
    <n v="13.95"/>
    <n v="167.39999999999998"/>
  </r>
  <r>
    <n v="250"/>
    <s v="Ivonne"/>
    <s v="Yang"/>
    <s v="(915) 181-1950"/>
    <s v="ivonne.yang@gmail.com"/>
    <n v="86"/>
    <d v="2010-12-01T10:29:00"/>
    <n v="4"/>
    <n v="9"/>
    <s v="PICNIC BASKET WICKER SMALL"/>
    <s v="Debit Card"/>
    <n v="536392"/>
    <n v="22502"/>
    <n v="5.95"/>
    <n v="4"/>
    <n v="0.1"/>
    <x v="1"/>
    <n v="23.8"/>
    <n v="2.3800000000000003"/>
    <n v="21.42"/>
    <n v="85.68"/>
  </r>
  <r>
    <n v="251"/>
    <s v="Kasie"/>
    <s v="Rodriquez"/>
    <s v="NULL"/>
    <s v="kasie.rodriquez@aol.com"/>
    <n v="86"/>
    <d v="2010-12-01T10:29:00"/>
    <n v="4"/>
    <n v="23"/>
    <s v="ASSORTED COLOUR BIRD ORNAMENT"/>
    <s v="Debit Card"/>
    <n v="536392"/>
    <n v="84879"/>
    <n v="1.69"/>
    <n v="16"/>
    <n v="7.0000000000000007E-2"/>
    <x v="1"/>
    <n v="27.04"/>
    <n v="1.8928"/>
    <n v="25.147199999999998"/>
    <n v="402.35519999999997"/>
  </r>
  <r>
    <n v="252"/>
    <s v="Eleni"/>
    <s v="Gordon"/>
    <s v="NULL"/>
    <s v="eleni.gordon@hotmail.com"/>
    <n v="86"/>
    <d v="2010-12-01T10:29:00"/>
    <n v="4"/>
    <n v="21"/>
    <s v="STAR DECORATION PAINTED ZINC "/>
    <s v="Debit Card"/>
    <n v="536392"/>
    <n v="22338"/>
    <n v="0.65"/>
    <n v="24"/>
    <n v="0.2"/>
    <x v="1"/>
    <n v="15.600000000000001"/>
    <n v="3.1200000000000006"/>
    <n v="12.48"/>
    <n v="299.52"/>
  </r>
  <r>
    <n v="253"/>
    <s v="Maurice"/>
    <s v="Norton"/>
    <s v="NULL"/>
    <s v="maurice.norton@hotmail.com"/>
    <n v="86"/>
    <d v="2010-12-01T10:37:00"/>
    <n v="4"/>
    <n v="15"/>
    <s v="RETROSPOT LAMP"/>
    <s v="Debit Card"/>
    <n v="536393"/>
    <n v="22180"/>
    <n v="9.9499999999999993"/>
    <n v="8"/>
    <n v="0.1"/>
    <x v="1"/>
    <n v="79.599999999999994"/>
    <n v="7.96"/>
    <n v="71.64"/>
    <n v="573.12"/>
  </r>
  <r>
    <n v="254"/>
    <s v="Cristobal"/>
    <s v="Hutchinson"/>
    <s v="NULL"/>
    <s v="cristobal.hutchinson@gmail.com"/>
    <n v="87"/>
    <d v="2010-12-01T10:39:00"/>
    <n v="4"/>
    <n v="20"/>
    <s v="FANCY FONT BIRTHDAY CARD, "/>
    <s v="Debit Card"/>
    <n v="536394"/>
    <n v="21506"/>
    <n v="0.42"/>
    <n v="24"/>
    <n v="0.2"/>
    <x v="1"/>
    <n v="10.08"/>
    <n v="2.016"/>
    <n v="8.0640000000000001"/>
    <n v="193.536"/>
  </r>
  <r>
    <n v="255"/>
    <s v="Flossie"/>
    <s v="Holder"/>
    <s v="NULL"/>
    <s v="flossie.holder@msn.com"/>
    <n v="87"/>
    <d v="2010-12-01T10:39:00"/>
    <n v="4"/>
    <n v="23"/>
    <s v="HAND WARMER UNION JACK"/>
    <s v="Debit Card"/>
    <n v="536394"/>
    <n v="22633"/>
    <n v="1.85"/>
    <n v="96"/>
    <n v="0.1"/>
    <x v="1"/>
    <n v="177.60000000000002"/>
    <n v="17.760000000000002"/>
    <n v="159.84000000000003"/>
    <n v="15344.640000000003"/>
  </r>
  <r>
    <n v="256"/>
    <s v="Erma"/>
    <s v="Salinas"/>
    <s v="NULL"/>
    <s v="erma.salinas@gmail.com"/>
    <n v="88"/>
    <d v="2010-12-01T10:39:00"/>
    <n v="4"/>
    <n v="10"/>
    <s v="HAND WARMER SCOTTY DOG DESIGN"/>
    <s v="Debit Card"/>
    <n v="536394"/>
    <n v="22866"/>
    <n v="1.85"/>
    <n v="96"/>
    <n v="7.0000000000000007E-2"/>
    <x v="1"/>
    <n v="177.60000000000002"/>
    <n v="12.432000000000002"/>
    <n v="165.16800000000001"/>
    <n v="15856.128000000001"/>
  </r>
  <r>
    <n v="257"/>
    <s v="Earl"/>
    <s v="Stanley"/>
    <s v="NULL"/>
    <s v="earl.stanley@gmail.com"/>
    <n v="88"/>
    <d v="2010-12-01T10:39:00"/>
    <n v="4"/>
    <n v="8"/>
    <s v="HAND WARMER OWL DESIGN"/>
    <s v="Debit Card"/>
    <n v="536394"/>
    <n v="22865"/>
    <n v="1.85"/>
    <n v="96"/>
    <n v="0.1"/>
    <x v="1"/>
    <n v="177.60000000000002"/>
    <n v="17.760000000000002"/>
    <n v="159.84000000000003"/>
    <n v="15344.640000000003"/>
  </r>
  <r>
    <n v="258"/>
    <s v="Maribel"/>
    <s v="William"/>
    <s v="NULL"/>
    <s v="maribel.william@aol.com"/>
    <n v="88"/>
    <d v="2010-12-01T10:39:00"/>
    <n v="4"/>
    <n v="7"/>
    <s v="HAND WARMER RED RETROSPOT"/>
    <s v="Debit Card"/>
    <n v="536394"/>
    <n v="22632"/>
    <n v="1.85"/>
    <n v="96"/>
    <n v="0.1"/>
    <x v="1"/>
    <n v="177.60000000000002"/>
    <n v="17.760000000000002"/>
    <n v="159.84000000000003"/>
    <n v="15344.640000000003"/>
  </r>
  <r>
    <n v="259"/>
    <s v="Johnathan"/>
    <s v="Velazquez"/>
    <s v="NULL"/>
    <s v="johnathan.velazquez@hotmail.com"/>
    <n v="89"/>
    <d v="2010-12-01T10:39:00"/>
    <n v="4"/>
    <n v="5"/>
    <s v="RETROSPOT HEART HOT WATER BOTTLE"/>
    <s v="Debit Card"/>
    <n v="536394"/>
    <n v="21485"/>
    <n v="4.95"/>
    <n v="12"/>
    <n v="0.05"/>
    <x v="1"/>
    <n v="59.400000000000006"/>
    <n v="2.9700000000000006"/>
    <n v="56.430000000000007"/>
    <n v="677.16000000000008"/>
  </r>
  <r>
    <n v="260"/>
    <s v="Rodrick"/>
    <s v="Shelton"/>
    <s v="NULL"/>
    <s v="rodrick.shelton@hotmail.com"/>
    <n v="89"/>
    <d v="2010-12-01T10:39:00"/>
    <n v="4"/>
    <n v="6"/>
    <s v="DOG BOWL CHASING BALL DESIGN"/>
    <s v="Debit Card"/>
    <n v="536394"/>
    <n v="22349"/>
    <n v="3.75"/>
    <n v="12"/>
    <n v="0.1"/>
    <x v="1"/>
    <n v="45"/>
    <n v="4.5"/>
    <n v="40.5"/>
    <n v="486"/>
  </r>
  <r>
    <n v="261"/>
    <s v="Ferne"/>
    <s v="Kline"/>
    <s v="NULL"/>
    <s v="ferne.kline@hotmail.com"/>
    <n v="90"/>
    <d v="2010-12-01T10:39:00"/>
    <n v="4"/>
    <n v="3"/>
    <s v="CLOTHES PEGS RETROSPOT PACK 24 "/>
    <s v="Debit Card"/>
    <n v="536394"/>
    <n v="22558"/>
    <n v="1.25"/>
    <n v="48"/>
    <n v="0.1"/>
    <x v="1"/>
    <n v="60"/>
    <n v="6"/>
    <n v="54"/>
    <n v="2592"/>
  </r>
  <r>
    <n v="262"/>
    <s v="Rubin"/>
    <s v="Decker"/>
    <s v="(716) 950-9835"/>
    <s v="rubin.decker@gmail.com"/>
    <n v="90"/>
    <d v="2010-12-01T10:39:00"/>
    <n v="4"/>
    <n v="6"/>
    <s v="HAND OVER THE CHOCOLATE   SIGN "/>
    <s v="Debit Card"/>
    <n v="536394"/>
    <n v="85152"/>
    <n v="2.1"/>
    <n v="12"/>
    <n v="7.0000000000000007E-2"/>
    <x v="1"/>
    <n v="25.200000000000003"/>
    <n v="1.7640000000000005"/>
    <n v="23.436000000000003"/>
    <n v="281.23200000000003"/>
  </r>
  <r>
    <n v="263"/>
    <s v="Dortha"/>
    <s v="Jarvis"/>
    <s v="(442) 919-8256"/>
    <s v="dortha.jarvis@yahoo.com"/>
    <n v="91"/>
    <d v="2010-12-01T10:39:00"/>
    <n v="4"/>
    <n v="11"/>
    <s v="WHITE HANGING HEART T-LIGHT HOLDER"/>
    <s v="Debit Card"/>
    <n v="536394"/>
    <s v="85123A"/>
    <n v="2.5499999999999998"/>
    <n v="32"/>
    <n v="0.1"/>
    <x v="1"/>
    <n v="81.599999999999994"/>
    <n v="8.16"/>
    <n v="73.44"/>
    <n v="2350.08"/>
  </r>
  <r>
    <n v="264"/>
    <s v="Mariela"/>
    <s v="Huffman"/>
    <s v="NULL"/>
    <s v="mariela.huffman@gmail.com"/>
    <n v="91"/>
    <d v="2010-12-01T10:39:00"/>
    <n v="3"/>
    <n v="25"/>
    <s v="TRAVEL SEWING KIT"/>
    <s v="Debit Card"/>
    <n v="536394"/>
    <n v="22652"/>
    <n v="1.65"/>
    <n v="20"/>
    <n v="0.05"/>
    <x v="1"/>
    <n v="33"/>
    <n v="1.6500000000000001"/>
    <n v="31.35"/>
    <n v="627"/>
  </r>
  <r>
    <n v="265"/>
    <s v="Mellisa"/>
    <s v="Farley"/>
    <s v="NULL"/>
    <s v="mellisa.farley@yahoo.com"/>
    <n v="91"/>
    <d v="2010-12-01T10:47:00"/>
    <n v="4"/>
    <n v="15"/>
    <s v="BLACK HEART CARD HOLDER"/>
    <s v="Debit Card"/>
    <n v="536395"/>
    <n v="22188"/>
    <n v="3.95"/>
    <n v="8"/>
    <n v="7.0000000000000007E-2"/>
    <x v="1"/>
    <n v="31.6"/>
    <n v="2.2120000000000002"/>
    <n v="29.388000000000002"/>
    <n v="235.10400000000001"/>
  </r>
  <r>
    <n v="266"/>
    <s v="Myung"/>
    <s v="Hooper"/>
    <s v="NULL"/>
    <s v="myung.hooper@gmail.com"/>
    <n v="91"/>
    <d v="2010-12-01T10:47:00"/>
    <n v="4"/>
    <n v="13"/>
    <s v="ASSORTED COLOUR BIRD ORNAMENT"/>
    <s v="Debit Card"/>
    <n v="536395"/>
    <n v="84879"/>
    <n v="1.69"/>
    <n v="32"/>
    <n v="7.0000000000000007E-2"/>
    <x v="1"/>
    <n v="54.08"/>
    <n v="3.7856000000000001"/>
    <n v="50.294399999999996"/>
    <n v="1609.4207999999999"/>
  </r>
  <r>
    <n v="267"/>
    <s v="Angelina"/>
    <s v="Lloyd"/>
    <s v="NULL"/>
    <s v="angelina.lloyd@yahoo.com"/>
    <n v="92"/>
    <d v="2010-12-01T10:47:00"/>
    <n v="4"/>
    <n v="8"/>
    <s v="PACK OF 60 PINK PAISLEY CAKE CASES"/>
    <s v="Debit Card"/>
    <n v="536395"/>
    <n v="21977"/>
    <n v="0.55000000000000004"/>
    <n v="24"/>
    <n v="0.1"/>
    <x v="1"/>
    <n v="13.200000000000001"/>
    <n v="1.3200000000000003"/>
    <n v="11.88"/>
    <n v="285.12"/>
  </r>
  <r>
    <n v="268"/>
    <s v="Trinity"/>
    <s v="Riddle"/>
    <s v="NULL"/>
    <s v="trinity.riddle@aol.com"/>
    <n v="93"/>
    <d v="2010-12-01T10:47:00"/>
    <n v="4"/>
    <n v="22"/>
    <s v="60 TEATIME FAIRY CAKE CASES"/>
    <s v="Debit Card"/>
    <n v="536395"/>
    <n v="84991"/>
    <n v="0.55000000000000004"/>
    <n v="24"/>
    <n v="7.0000000000000007E-2"/>
    <x v="1"/>
    <n v="13.200000000000001"/>
    <n v="0.92400000000000015"/>
    <n v="12.276000000000002"/>
    <n v="294.62400000000002"/>
  </r>
  <r>
    <n v="269"/>
    <s v="Barton"/>
    <s v="Crosby"/>
    <s v="NULL"/>
    <s v="barton.crosby@msn.com"/>
    <n v="93"/>
    <d v="2010-12-01T10:47:00"/>
    <n v="4"/>
    <n v="17"/>
    <s v="PACK OF 72 RETROSPOT CAKE CASES"/>
    <s v="Debit Card"/>
    <n v="536395"/>
    <n v="21212"/>
    <n v="0.55000000000000004"/>
    <n v="24"/>
    <n v="0.05"/>
    <x v="1"/>
    <n v="13.200000000000001"/>
    <n v="0.66000000000000014"/>
    <n v="12.540000000000001"/>
    <n v="300.96000000000004"/>
  </r>
  <r>
    <n v="270"/>
    <s v="Claudio"/>
    <s v="Wise"/>
    <s v="NULL"/>
    <s v="claudio.wise@hotmail.com"/>
    <n v="93"/>
    <d v="2010-12-01T10:47:00"/>
    <n v="4"/>
    <n v="21"/>
    <s v="CHICK GREY HOT WATER BOTTLE"/>
    <s v="Debit Card"/>
    <n v="536395"/>
    <n v="21484"/>
    <n v="3.45"/>
    <n v="8"/>
    <n v="0.1"/>
    <x v="1"/>
    <n v="27.6"/>
    <n v="2.7600000000000002"/>
    <n v="24.84"/>
    <n v="198.72"/>
  </r>
  <r>
    <n v="271"/>
    <s v="Katheleen"/>
    <s v="Marks"/>
    <s v="NULL"/>
    <s v="katheleen.marks@yahoo.com"/>
    <n v="93"/>
    <d v="2010-12-01T10:47:00"/>
    <n v="4"/>
    <n v="2"/>
    <s v="SMALL GLASS HEART TRINKET POT"/>
    <s v="Debit Card"/>
    <n v="536395"/>
    <n v="21314"/>
    <n v="2.1"/>
    <n v="8"/>
    <n v="0.2"/>
    <x v="1"/>
    <n v="16.8"/>
    <n v="3.3600000000000003"/>
    <n v="13.440000000000001"/>
    <n v="107.52000000000001"/>
  </r>
  <r>
    <n v="272"/>
    <s v="Deja"/>
    <s v="Chaney"/>
    <s v="NULL"/>
    <s v="deja.chaney@hotmail.com"/>
    <n v="93"/>
    <d v="2010-12-01T10:47:00"/>
    <n v="4"/>
    <n v="10"/>
    <s v="ALARM CLOCK BAKELIKE IVORY"/>
    <s v="Debit Card"/>
    <n v="536395"/>
    <n v="22730"/>
    <n v="3.75"/>
    <n v="4"/>
    <n v="7.0000000000000007E-2"/>
    <x v="1"/>
    <n v="15"/>
    <n v="1.05"/>
    <n v="13.95"/>
    <n v="55.8"/>
  </r>
  <r>
    <n v="273"/>
    <s v="Queenie"/>
    <s v="Vance"/>
    <s v="NULL"/>
    <s v="queenie.vance@gmail.com"/>
    <n v="94"/>
    <d v="2010-12-01T10:47:00"/>
    <n v="4"/>
    <n v="12"/>
    <s v="ALARM CLOCK BAKELIKE RED "/>
    <s v="Debit Card"/>
    <n v="536395"/>
    <n v="22727"/>
    <n v="3.75"/>
    <n v="8"/>
    <n v="0.05"/>
    <x v="1"/>
    <n v="30"/>
    <n v="1.5"/>
    <n v="28.5"/>
    <n v="228"/>
  </r>
  <r>
    <n v="274"/>
    <s v="Josh"/>
    <s v="Shaw"/>
    <s v="NULL"/>
    <s v="josh.shaw@gmail.com"/>
    <n v="94"/>
    <d v="2010-12-01T10:47:00"/>
    <n v="4"/>
    <n v="4"/>
    <s v="ALARM CLOCK BAKELIKE ORANGE"/>
    <s v="Debit Card"/>
    <n v="536395"/>
    <n v="22729"/>
    <n v="3.75"/>
    <n v="8"/>
    <n v="0.2"/>
    <x v="1"/>
    <n v="30"/>
    <n v="6"/>
    <n v="24"/>
    <n v="192"/>
  </r>
  <r>
    <n v="275"/>
    <s v="Pinkie"/>
    <s v="Kirkland"/>
    <s v="NULL"/>
    <s v="pinkie.kirkland@yahoo.com"/>
    <n v="94"/>
    <d v="2010-12-01T10:47:00"/>
    <n v="4"/>
    <n v="11"/>
    <s v="ALARM CLOCK BAKELIKE GREEN"/>
    <s v="Debit Card"/>
    <n v="536395"/>
    <n v="22726"/>
    <n v="3.75"/>
    <n v="8"/>
    <n v="0.2"/>
    <x v="1"/>
    <n v="30"/>
    <n v="6"/>
    <n v="24"/>
    <n v="192"/>
  </r>
  <r>
    <n v="276"/>
    <s v="Lavette"/>
    <s v="Wright"/>
    <s v="NULL"/>
    <s v="lavette.wright@msn.com"/>
    <n v="94"/>
    <d v="2010-12-01T10:47:00"/>
    <n v="4"/>
    <n v="21"/>
    <s v="HOT WATER BOTTLE TEA AND SYMPATHY"/>
    <s v="Debit Card"/>
    <n v="536395"/>
    <n v="22114"/>
    <n v="3.95"/>
    <n v="8"/>
    <n v="7.0000000000000007E-2"/>
    <x v="1"/>
    <n v="31.6"/>
    <n v="2.2120000000000002"/>
    <n v="29.388000000000002"/>
    <n v="235.10400000000001"/>
  </r>
  <r>
    <n v="277"/>
    <s v="Mark"/>
    <s v="Garrett"/>
    <s v="NULL"/>
    <s v="mark.garrett@msn.com"/>
    <n v="95"/>
    <d v="2010-12-01T10:47:00"/>
    <n v="4"/>
    <n v="10"/>
    <s v="HAND WARMER BIRD DESIGN"/>
    <s v="Debit Card"/>
    <n v="536395"/>
    <n v="22867"/>
    <n v="2.1"/>
    <n v="48"/>
    <n v="0.2"/>
    <x v="1"/>
    <n v="100.80000000000001"/>
    <n v="20.160000000000004"/>
    <n v="80.640000000000015"/>
    <n v="3870.7200000000007"/>
  </r>
  <r>
    <n v="278"/>
    <s v="Myesha"/>
    <s v="Burgess"/>
    <s v="NULL"/>
    <s v="myesha.burgess@gmail.com"/>
    <n v="95"/>
    <d v="2010-12-01T10:47:00"/>
    <n v="4"/>
    <n v="19"/>
    <s v="HAND WARMER SCOTTY DOG DESIGN"/>
    <s v="Debit Card"/>
    <n v="536395"/>
    <n v="22866"/>
    <n v="2.1"/>
    <n v="48"/>
    <n v="0.1"/>
    <x v="1"/>
    <n v="100.80000000000001"/>
    <n v="10.080000000000002"/>
    <n v="90.720000000000013"/>
    <n v="4354.5600000000004"/>
  </r>
  <r>
    <n v="279"/>
    <s v="Justina"/>
    <s v="Long"/>
    <s v="NULL"/>
    <s v="justina.long@aol.com"/>
    <n v="95"/>
    <d v="2010-12-01T10:51:00"/>
    <n v="4"/>
    <n v="8"/>
    <s v="SET OF 3 BLACK FLYING DUCKS"/>
    <s v="Debit Card"/>
    <n v="536397"/>
    <s v="35004B"/>
    <n v="4.6500000000000004"/>
    <n v="12"/>
    <n v="0.2"/>
    <x v="1"/>
    <n v="55.800000000000004"/>
    <n v="11.160000000000002"/>
    <n v="44.64"/>
    <n v="535.68000000000006"/>
  </r>
  <r>
    <n v="280"/>
    <s v="Brenda"/>
    <s v="Tate"/>
    <s v="NULL"/>
    <s v="brenda.tate@msn.com"/>
    <n v="95"/>
    <d v="2010-12-01T10:51:00"/>
    <n v="4"/>
    <n v="20"/>
    <s v="SET OF 3 COLOURED  FLYING DUCKS"/>
    <s v="Debit Card"/>
    <n v="536397"/>
    <s v="35004C"/>
    <n v="4.6500000000000004"/>
    <n v="48"/>
    <n v="0.05"/>
    <x v="1"/>
    <n v="223.20000000000002"/>
    <n v="11.160000000000002"/>
    <n v="212.04000000000002"/>
    <n v="10177.920000000002"/>
  </r>
  <r>
    <n v="281"/>
    <s v="Rayna"/>
    <s v="Perry"/>
    <s v="NULL"/>
    <s v="rayna.perry@hotmail.com"/>
    <n v="96"/>
    <d v="2010-12-01T10:51:00"/>
    <n v="4"/>
    <n v="26"/>
    <s v="WHITE HANGING HEART T-LIGHT HOLDER"/>
    <s v="Debit Card"/>
    <n v="536396"/>
    <s v="85123A"/>
    <n v="2.5499999999999998"/>
    <n v="6"/>
    <n v="0.1"/>
    <x v="1"/>
    <n v="15.299999999999999"/>
    <n v="1.53"/>
    <n v="13.77"/>
    <n v="82.62"/>
  </r>
  <r>
    <n v="282"/>
    <s v="Randolph"/>
    <s v="Chase"/>
    <s v="NULL"/>
    <s v="randolph.chase@yahoo.com"/>
    <n v="96"/>
    <d v="2010-12-01T10:51:00"/>
    <n v="4"/>
    <n v="23"/>
    <s v="WHITE METAL LANTERN"/>
    <s v="Debit Card"/>
    <n v="536396"/>
    <n v="71053"/>
    <n v="3.39"/>
    <n v="6"/>
    <n v="0.05"/>
    <x v="1"/>
    <n v="20.34"/>
    <n v="1.0170000000000001"/>
    <n v="19.323"/>
    <n v="115.938"/>
  </r>
  <r>
    <n v="283"/>
    <s v="Jaimee"/>
    <s v="Day"/>
    <s v="NULL"/>
    <s v="jaimee.day@aol.com"/>
    <n v="97"/>
    <d v="2010-12-01T10:51:00"/>
    <n v="4"/>
    <n v="20"/>
    <s v="CREAM CUPID HEARTS COAT HANGER"/>
    <s v="Debit Card"/>
    <n v="536396"/>
    <s v="84406B"/>
    <n v="2.75"/>
    <n v="8"/>
    <n v="0.2"/>
    <x v="1"/>
    <n v="22"/>
    <n v="4.4000000000000004"/>
    <n v="17.600000000000001"/>
    <n v="140.80000000000001"/>
  </r>
  <r>
    <n v="284"/>
    <s v="Susann"/>
    <s v="Bass"/>
    <s v="NULL"/>
    <s v="susann.bass@msn.com"/>
    <n v="97"/>
    <d v="2010-12-01T10:51:00"/>
    <n v="4"/>
    <n v="2"/>
    <s v="EDWARDIAN PARASOL BLACK"/>
    <s v="Debit Card"/>
    <n v="536396"/>
    <s v="15056BL"/>
    <n v="4.95"/>
    <n v="6"/>
    <n v="7.0000000000000007E-2"/>
    <x v="1"/>
    <n v="29.700000000000003"/>
    <n v="2.0790000000000002"/>
    <n v="27.621000000000002"/>
    <n v="165.726"/>
  </r>
  <r>
    <n v="285"/>
    <s v="Leola"/>
    <s v="Gould"/>
    <s v="NULL"/>
    <s v="leola.gould@gmail.com"/>
    <n v="97"/>
    <d v="2010-12-01T10:51:00"/>
    <n v="4"/>
    <n v="6"/>
    <s v="EDWARDIAN PARASOL RED"/>
    <s v="Debit Card"/>
    <n v="536396"/>
    <n v="20679"/>
    <n v="4.95"/>
    <n v="6"/>
    <n v="0.2"/>
    <x v="1"/>
    <n v="29.700000000000003"/>
    <n v="5.9400000000000013"/>
    <n v="23.76"/>
    <n v="142.56"/>
  </r>
  <r>
    <n v="286"/>
    <s v="Virgil"/>
    <s v="Frost"/>
    <s v="NULL"/>
    <s v="virgil.frost@gmail.com"/>
    <n v="97"/>
    <d v="2010-12-01T10:51:00"/>
    <n v="4"/>
    <n v="19"/>
    <s v="RETRO COFFEE MUGS ASSORTED"/>
    <s v="Debit Card"/>
    <n v="536396"/>
    <n v="37370"/>
    <n v="1.06"/>
    <n v="6"/>
    <n v="0.1"/>
    <x v="1"/>
    <n v="6.36"/>
    <n v="0.63600000000000012"/>
    <n v="5.7240000000000002"/>
    <n v="34.344000000000001"/>
  </r>
  <r>
    <n v="287"/>
    <s v="Mireille"/>
    <s v="Puckett"/>
    <s v="(805) 961-9909"/>
    <s v="mireille.puckett@hotmail.com"/>
    <n v="98"/>
    <d v="2010-12-01T10:51:00"/>
    <n v="4"/>
    <n v="19"/>
    <s v="SAVE THE PLANET MUG"/>
    <s v="Debit Card"/>
    <n v="536396"/>
    <n v="21871"/>
    <n v="1.06"/>
    <n v="6"/>
    <n v="7.0000000000000007E-2"/>
    <x v="1"/>
    <n v="6.36"/>
    <n v="0.44520000000000004"/>
    <n v="5.9148000000000005"/>
    <n v="35.488800000000005"/>
  </r>
  <r>
    <n v="288"/>
    <s v="Keturah"/>
    <s v="Massey"/>
    <s v="NULL"/>
    <s v="keturah.massey@msn.com"/>
    <n v="98"/>
    <d v="2010-12-01T10:51:00"/>
    <n v="4"/>
    <n v="21"/>
    <s v="VINTAGE BILLBOARD DRINK ME MUG"/>
    <s v="Debit Card"/>
    <n v="536396"/>
    <n v="21071"/>
    <n v="1.06"/>
    <n v="6"/>
    <n v="0.1"/>
    <x v="1"/>
    <n v="6.36"/>
    <n v="0.63600000000000012"/>
    <n v="5.7240000000000002"/>
    <n v="34.344000000000001"/>
  </r>
  <r>
    <n v="289"/>
    <s v="Charmain"/>
    <s v="Webster"/>
    <s v="NULL"/>
    <s v="charmain.webster@hotmail.com"/>
    <n v="98"/>
    <d v="2010-12-01T10:51:00"/>
    <n v="4"/>
    <n v="2"/>
    <s v="VINTAGE BILLBOARD LOVE/HATE MUG"/>
    <s v="Debit Card"/>
    <n v="536396"/>
    <n v="21068"/>
    <n v="1.06"/>
    <n v="6"/>
    <n v="0.2"/>
    <x v="1"/>
    <n v="6.36"/>
    <n v="1.2720000000000002"/>
    <n v="5.0880000000000001"/>
    <n v="30.527999999999999"/>
  </r>
  <r>
    <n v="290"/>
    <s v="Barry"/>
    <s v="Buckner"/>
    <s v="NULL"/>
    <s v="barry.buckner@gmail.com"/>
    <n v="98"/>
    <d v="2010-12-01T10:51:00"/>
    <n v="4"/>
    <n v="22"/>
    <s v="WOOD 2 DRAWER CABINET WHITE FINISH"/>
    <s v="Debit Card"/>
    <n v="536396"/>
    <n v="82483"/>
    <n v="4.95"/>
    <n v="2"/>
    <n v="0.2"/>
    <x v="1"/>
    <n v="9.9"/>
    <n v="1.9800000000000002"/>
    <n v="7.92"/>
    <n v="15.84"/>
  </r>
  <r>
    <n v="291"/>
    <s v="Boyce"/>
    <s v="Burks"/>
    <s v="NULL"/>
    <s v="boyce.burks@gmail.com"/>
    <n v="99"/>
    <d v="2010-12-01T10:51:00"/>
    <n v="4"/>
    <n v="13"/>
    <s v="WOOD S/3 CABINET ANT WHITE FINISH"/>
    <s v="Debit Card"/>
    <n v="536396"/>
    <n v="82486"/>
    <n v="6.95"/>
    <n v="4"/>
    <n v="0.2"/>
    <x v="1"/>
    <n v="27.8"/>
    <n v="5.5600000000000005"/>
    <n v="22.240000000000002"/>
    <n v="88.960000000000008"/>
  </r>
  <r>
    <n v="292"/>
    <s v="Monty"/>
    <s v="Frost"/>
    <s v="(516) 460-5396"/>
    <s v="monty.frost@aol.com"/>
    <n v="99"/>
    <d v="2010-12-01T10:51:00"/>
    <n v="4"/>
    <n v="21"/>
    <s v="WOODEN PICTURE FRAME WHITE FINISH"/>
    <s v="Debit Card"/>
    <n v="536396"/>
    <n v="82482"/>
    <n v="2.1"/>
    <n v="6"/>
    <n v="0.2"/>
    <x v="1"/>
    <n v="12.600000000000001"/>
    <n v="2.5200000000000005"/>
    <n v="10.080000000000002"/>
    <n v="60.480000000000011"/>
  </r>
  <r>
    <n v="293"/>
    <s v="Tiny"/>
    <s v="French"/>
    <s v="NULL"/>
    <s v="tiny.french@hotmail.com"/>
    <n v="99"/>
    <d v="2010-12-01T10:51:00"/>
    <n v="4"/>
    <n v="25"/>
    <s v="WOODEN FRAME ANTIQUE WHITE "/>
    <s v="Debit Card"/>
    <n v="536396"/>
    <s v="82494L"/>
    <n v="2.5499999999999998"/>
    <n v="12"/>
    <n v="0.05"/>
    <x v="1"/>
    <n v="30.599999999999998"/>
    <n v="1.53"/>
    <n v="29.069999999999997"/>
    <n v="348.84"/>
  </r>
  <r>
    <n v="294"/>
    <s v="Clementina"/>
    <s v="Sargent"/>
    <s v="NULL"/>
    <s v="clementina.sargent@hotmail.com"/>
    <n v="99"/>
    <d v="2010-12-01T10:51:00"/>
    <n v="4"/>
    <n v="7"/>
    <s v="KNITTED UNION FLAG HOT WATER BOTTLE"/>
    <s v="Debit Card"/>
    <n v="536396"/>
    <s v="84029G"/>
    <n v="3.39"/>
    <n v="6"/>
    <n v="7.0000000000000007E-2"/>
    <x v="1"/>
    <n v="20.34"/>
    <n v="1.4238000000000002"/>
    <n v="18.9162"/>
    <n v="113.49719999999999"/>
  </r>
  <r>
    <n v="295"/>
    <s v="Danny"/>
    <s v="Kim"/>
    <s v="NULL"/>
    <s v="danny.kim@msn.com"/>
    <n v="99"/>
    <d v="2010-12-01T10:51:00"/>
    <n v="4"/>
    <n v="23"/>
    <s v="RED WOOLLY HOTTIE WHITE HEART."/>
    <s v="Debit Card"/>
    <n v="536396"/>
    <s v="84029E"/>
    <n v="3.39"/>
    <n v="6"/>
    <n v="0.2"/>
    <x v="1"/>
    <n v="20.34"/>
    <n v="4.0680000000000005"/>
    <n v="16.271999999999998"/>
    <n v="97.631999999999991"/>
  </r>
  <r>
    <n v="296"/>
    <s v="Sophia"/>
    <s v="Mcmillan"/>
    <s v="NULL"/>
    <s v="sophia.mcmillan@msn.com"/>
    <n v="100"/>
    <d v="2010-12-01T10:51:00"/>
    <n v="4"/>
    <n v="12"/>
    <s v="SET 7 BABUSHKA NESTING BOXES"/>
    <s v="Debit Card"/>
    <n v="536396"/>
    <n v="22752"/>
    <n v="7.65"/>
    <n v="2"/>
    <n v="0.05"/>
    <x v="1"/>
    <n v="15.3"/>
    <n v="0.76500000000000012"/>
    <n v="14.535"/>
    <n v="29.07"/>
  </r>
  <r>
    <n v="297"/>
    <s v="Christia"/>
    <s v="Carson"/>
    <s v="NULL"/>
    <s v="christia.carson@gmail.com"/>
    <n v="100"/>
    <d v="2010-12-01T10:51:00"/>
    <n v="4"/>
    <n v="11"/>
    <s v="IVORY EMBROIDERED QUILT "/>
    <s v="Debit Card"/>
    <n v="536396"/>
    <n v="22803"/>
    <n v="35.75"/>
    <n v="2"/>
    <n v="0.1"/>
    <x v="1"/>
    <n v="71.5"/>
    <n v="7.15"/>
    <n v="64.349999999999994"/>
    <n v="128.69999999999999"/>
  </r>
  <r>
    <n v="298"/>
    <s v="Jennie"/>
    <s v="Middleton"/>
    <s v="NULL"/>
    <s v="jennie.middleton@gmail.com"/>
    <n v="100"/>
    <d v="2010-12-01T10:51:00"/>
    <n v="4"/>
    <n v="7"/>
    <s v="GLASS STAR FROSTED T-LIGHT HOLDER"/>
    <s v="Debit Card"/>
    <n v="536396"/>
    <n v="21730"/>
    <n v="4.25"/>
    <n v="6"/>
    <n v="0.2"/>
    <x v="1"/>
    <n v="25.5"/>
    <n v="5.1000000000000005"/>
    <n v="20.399999999999999"/>
    <n v="122.39999999999999"/>
  </r>
  <r>
    <n v="299"/>
    <s v="Jame"/>
    <s v="Riggs"/>
    <s v="NULL"/>
    <s v="jame.riggs@hotmail.com"/>
    <n v="100"/>
    <d v="2010-12-01T10:52:00"/>
    <n v="4"/>
    <n v="16"/>
    <s v="HAND WARMER RED POLKA DOT"/>
    <s v="Debit Card"/>
    <n v="536399"/>
    <n v="22632"/>
    <n v="1.85"/>
    <n v="6"/>
    <n v="0.2"/>
    <x v="1"/>
    <n v="11.100000000000001"/>
    <n v="2.2200000000000002"/>
    <n v="8.8800000000000008"/>
    <n v="53.28"/>
  </r>
  <r>
    <n v="300"/>
    <s v="Rayford"/>
    <s v="Simon"/>
    <s v="NULL"/>
    <s v="rayford.simon@msn.com"/>
    <n v="100"/>
    <d v="2010-12-01T10:52:00"/>
    <n v="4"/>
    <n v="24"/>
    <s v="HAND WARMER UNION JACK"/>
    <s v="Debit Card"/>
    <n v="536399"/>
    <n v="22633"/>
    <n v="1.85"/>
    <n v="6"/>
    <n v="0.1"/>
    <x v="1"/>
    <n v="11.100000000000001"/>
    <n v="1.1100000000000001"/>
    <n v="9.990000000000002"/>
    <n v="59.940000000000012"/>
  </r>
  <r>
    <n v="301"/>
    <s v="Annett"/>
    <s v="Garrett"/>
    <s v="NULL"/>
    <s v="annett.garrett@yahoo.com"/>
    <n v="101"/>
    <d v="2010-12-01T10:52:00"/>
    <n v="4"/>
    <n v="12"/>
    <s v="PACK OF 12 RED RETROSPOT TISSUES "/>
    <s v="Debit Card"/>
    <n v="536398"/>
    <n v="21980"/>
    <n v="0.28999999999999998"/>
    <n v="24"/>
    <n v="0.2"/>
    <x v="1"/>
    <n v="6.9599999999999991"/>
    <n v="1.3919999999999999"/>
    <n v="5.5679999999999996"/>
    <n v="133.63200000000001"/>
  </r>
  <r>
    <n v="302"/>
    <s v="Hayden"/>
    <s v="Cross"/>
    <s v="NULL"/>
    <s v="hayden.cross@gmail.com"/>
    <n v="102"/>
    <d v="2010-12-01T10:52:00"/>
    <n v="4"/>
    <n v="15"/>
    <s v="RED RETROSPOT MUG"/>
    <s v="Debit Card"/>
    <n v="536398"/>
    <n v="21844"/>
    <n v="2.95"/>
    <n v="6"/>
    <n v="0.05"/>
    <x v="1"/>
    <n v="17.700000000000003"/>
    <n v="0.88500000000000023"/>
    <n v="16.815000000000001"/>
    <n v="100.89000000000001"/>
  </r>
  <r>
    <n v="303"/>
    <s v="Rolanda"/>
    <s v="Larsen"/>
    <s v="NULL"/>
    <s v="rolanda.larsen@yahoo.com"/>
    <n v="102"/>
    <d v="2010-12-01T10:52:00"/>
    <n v="4"/>
    <n v="22"/>
    <s v="BABUSHKA LIGHTS STRING OF 10"/>
    <s v="Debit Card"/>
    <n v="536398"/>
    <n v="22468"/>
    <n v="6.75"/>
    <n v="4"/>
    <n v="7.0000000000000007E-2"/>
    <x v="1"/>
    <n v="27"/>
    <n v="1.8900000000000001"/>
    <n v="25.11"/>
    <n v="100.44"/>
  </r>
  <r>
    <n v="304"/>
    <s v="Jayme"/>
    <s v="Zamora"/>
    <s v="NULL"/>
    <s v="jayme.zamora@gmail.com"/>
    <n v="103"/>
    <d v="2010-12-01T10:52:00"/>
    <n v="4"/>
    <n v="17"/>
    <s v="PIGGY BANK RETROSPOT "/>
    <s v="Debit Card"/>
    <n v="536398"/>
    <n v="22637"/>
    <n v="2.5499999999999998"/>
    <n v="8"/>
    <n v="7.0000000000000007E-2"/>
    <x v="1"/>
    <n v="20.399999999999999"/>
    <n v="1.4279999999999999"/>
    <n v="18.971999999999998"/>
    <n v="151.77599999999998"/>
  </r>
  <r>
    <n v="305"/>
    <s v="Hope"/>
    <s v="Cotton"/>
    <s v="NULL"/>
    <s v="hope.cotton@aol.com"/>
    <n v="103"/>
    <d v="2010-12-01T10:52:00"/>
    <n v="4"/>
    <n v="3"/>
    <s v="SET 7 BABUSHKA NESTING BOXES"/>
    <s v="Debit Card"/>
    <n v="536398"/>
    <n v="22752"/>
    <n v="8.5"/>
    <n v="6"/>
    <n v="0.05"/>
    <x v="1"/>
    <n v="51"/>
    <n v="2.5500000000000003"/>
    <n v="48.45"/>
    <n v="290.70000000000005"/>
  </r>
  <r>
    <n v="306"/>
    <s v="Vikki"/>
    <s v="Erickson"/>
    <s v="NULL"/>
    <s v="vikki.erickson@yahoo.com"/>
    <n v="103"/>
    <d v="2010-12-01T10:52:00"/>
    <n v="4"/>
    <n v="18"/>
    <s v="DOORMAT FAIRY CAKE"/>
    <s v="Debit Card"/>
    <n v="536398"/>
    <n v="48185"/>
    <n v="7.95"/>
    <n v="2"/>
    <n v="0.2"/>
    <x v="1"/>
    <n v="15.9"/>
    <n v="3.18"/>
    <n v="12.72"/>
    <n v="25.44"/>
  </r>
  <r>
    <n v="307"/>
    <s v="Fransisca"/>
    <s v="Nicholson"/>
    <s v="NULL"/>
    <s v="fransisca.nicholson@aol.com"/>
    <n v="103"/>
    <d v="2010-12-01T10:52:00"/>
    <n v="4"/>
    <n v="15"/>
    <s v="HAND WARMER RED RETROSPOT"/>
    <s v="Debit Card"/>
    <n v="536398"/>
    <n v="22632"/>
    <n v="2.1"/>
    <n v="12"/>
    <n v="0.1"/>
    <x v="1"/>
    <n v="25.200000000000003"/>
    <n v="2.5200000000000005"/>
    <n v="22.680000000000003"/>
    <n v="272.16000000000003"/>
  </r>
  <r>
    <n v="308"/>
    <s v="Mazie"/>
    <s v="Fernandez"/>
    <s v="NULL"/>
    <s v="mazie.fernandez@hotmail.com"/>
    <n v="103"/>
    <d v="2010-12-01T10:52:00"/>
    <n v="4"/>
    <n v="9"/>
    <s v="HAND WARMER SCOTTY DOG DESIGN"/>
    <s v="Debit Card"/>
    <n v="536398"/>
    <n v="22866"/>
    <n v="2.1"/>
    <n v="12"/>
    <n v="0.1"/>
    <x v="1"/>
    <n v="25.200000000000003"/>
    <n v="2.5200000000000005"/>
    <n v="22.680000000000003"/>
    <n v="272.16000000000003"/>
  </r>
  <r>
    <n v="309"/>
    <s v="Anderson"/>
    <s v="Martin"/>
    <s v="NULL"/>
    <s v="anderson.martin@hotmail.com"/>
    <n v="104"/>
    <d v="2010-12-01T10:52:00"/>
    <n v="4"/>
    <n v="19"/>
    <s v="HAND WARMER OWL DESIGN"/>
    <s v="Debit Card"/>
    <n v="536398"/>
    <n v="22865"/>
    <n v="2.1"/>
    <n v="12"/>
    <n v="0.1"/>
    <x v="1"/>
    <n v="25.200000000000003"/>
    <n v="2.5200000000000005"/>
    <n v="22.680000000000003"/>
    <n v="272.16000000000003"/>
  </r>
  <r>
    <n v="310"/>
    <s v="Gilberto"/>
    <s v="Parsons"/>
    <s v="NULL"/>
    <s v="gilberto.parsons@gmail.com"/>
    <n v="104"/>
    <d v="2010-12-01T10:52:00"/>
    <n v="4"/>
    <n v="26"/>
    <s v="STRAWBERRY CERAMIC TRINKET BOX"/>
    <s v="Debit Card"/>
    <n v="536398"/>
    <n v="21232"/>
    <n v="1.25"/>
    <n v="12"/>
    <n v="0.05"/>
    <x v="1"/>
    <n v="15"/>
    <n v="0.75"/>
    <n v="14.25"/>
    <n v="171"/>
  </r>
  <r>
    <n v="311"/>
    <s v="Charise"/>
    <s v="Burt"/>
    <s v="(559) 888-2229"/>
    <s v="charise.burt@aol.com"/>
    <n v="105"/>
    <d v="2010-12-01T10:52:00"/>
    <n v="4"/>
    <n v="11"/>
    <s v="PINK DOUGHNUT TRINKET POT "/>
    <s v="Debit Card"/>
    <n v="536398"/>
    <n v="22064"/>
    <n v="1.65"/>
    <n v="12"/>
    <n v="0.2"/>
    <x v="1"/>
    <n v="19.799999999999997"/>
    <n v="3.9599999999999995"/>
    <n v="15.839999999999998"/>
    <n v="190.07999999999998"/>
  </r>
  <r>
    <n v="312"/>
    <s v="Cameron"/>
    <s v="Carroll"/>
    <s v="NULL"/>
    <s v="cameron.carroll@yahoo.com"/>
    <n v="105"/>
    <d v="2010-12-01T10:52:00"/>
    <n v="4"/>
    <n v="3"/>
    <s v="SILK PURSE BABUSHKA PINK"/>
    <s v="Debit Card"/>
    <n v="536398"/>
    <n v="22449"/>
    <n v="3.35"/>
    <n v="6"/>
    <n v="0.05"/>
    <x v="1"/>
    <n v="20.100000000000001"/>
    <n v="1.0050000000000001"/>
    <n v="19.095000000000002"/>
    <n v="114.57000000000002"/>
  </r>
  <r>
    <n v="313"/>
    <s v="Melani"/>
    <s v="Jarvis"/>
    <s v="NULL"/>
    <s v="melani.jarvis@hotmail.com"/>
    <n v="105"/>
    <d v="2010-12-01T10:52:00"/>
    <n v="4"/>
    <n v="9"/>
    <s v="HOT WATER BOTTLE TEA AND SYMPATHY"/>
    <s v="Debit Card"/>
    <n v="536398"/>
    <n v="22114"/>
    <n v="3.95"/>
    <n v="4"/>
    <n v="0.05"/>
    <x v="1"/>
    <n v="15.8"/>
    <n v="0.79"/>
    <n v="15.010000000000002"/>
    <n v="60.040000000000006"/>
  </r>
  <r>
    <n v="314"/>
    <s v="Javier"/>
    <s v="Nichols"/>
    <s v="NULL"/>
    <s v="javier.nichols@msn.com"/>
    <n v="106"/>
    <d v="2010-12-01T10:52:00"/>
    <n v="4"/>
    <n v="17"/>
    <s v="HOT WATER BOTTLE I AM SO POORLY"/>
    <s v="Debit Card"/>
    <n v="536398"/>
    <n v="22835"/>
    <n v="4.6500000000000004"/>
    <n v="8"/>
    <n v="0.1"/>
    <x v="1"/>
    <n v="37.200000000000003"/>
    <n v="3.7200000000000006"/>
    <n v="33.480000000000004"/>
    <n v="267.84000000000003"/>
  </r>
  <r>
    <n v="315"/>
    <s v="Justina"/>
    <s v="Jenkins"/>
    <s v="NULL"/>
    <s v="justina.jenkins@yahoo.com"/>
    <n v="106"/>
    <d v="2010-12-01T10:52:00"/>
    <n v="4"/>
    <n v="13"/>
    <s v="CHOCOLATE HOT WATER BOTTLE"/>
    <s v="Debit Card"/>
    <n v="536398"/>
    <n v="22112"/>
    <n v="4.95"/>
    <n v="9"/>
    <n v="0.1"/>
    <x v="1"/>
    <n v="44.550000000000004"/>
    <n v="4.455000000000001"/>
    <n v="40.095000000000006"/>
    <n v="360.85500000000008"/>
  </r>
  <r>
    <n v="316"/>
    <s v="Hortencia"/>
    <s v="Graham"/>
    <s v="NULL"/>
    <s v="hortencia.graham@aol.com"/>
    <n v="107"/>
    <d v="2010-12-01T10:52:00"/>
    <n v="4"/>
    <n v="19"/>
    <s v="WHITE SKULL HOT WATER BOTTLE "/>
    <s v="Debit Card"/>
    <n v="536398"/>
    <n v="21479"/>
    <n v="3.75"/>
    <n v="4"/>
    <n v="0.2"/>
    <x v="1"/>
    <n v="15"/>
    <n v="3"/>
    <n v="12"/>
    <n v="48"/>
  </r>
  <r>
    <n v="317"/>
    <s v="Christia"/>
    <s v="Wilkins"/>
    <s v="NULL"/>
    <s v="christia.wilkins@msn.com"/>
    <n v="107"/>
    <d v="2010-12-01T10:52:00"/>
    <n v="4"/>
    <n v="13"/>
    <s v="SCOTTIE DOG HOT WATER BOTTLE"/>
    <s v="Debit Card"/>
    <n v="536398"/>
    <n v="22111"/>
    <n v="4.95"/>
    <n v="9"/>
    <n v="0.1"/>
    <x v="1"/>
    <n v="44.550000000000004"/>
    <n v="4.455000000000001"/>
    <n v="40.095000000000006"/>
    <n v="360.85500000000008"/>
  </r>
  <r>
    <n v="318"/>
    <s v="Eliz"/>
    <s v="Whitney"/>
    <s v="NULL"/>
    <s v="eliz.whitney@msn.com"/>
    <n v="108"/>
    <d v="2010-12-01T10:53:00"/>
    <n v="4"/>
    <n v="11"/>
    <s v="HOMEMADE JAM SCENTED CANDLES"/>
    <s v="Debit Card"/>
    <n v="536400"/>
    <n v="22969"/>
    <n v="1.45"/>
    <n v="12"/>
    <n v="0.1"/>
    <x v="1"/>
    <n v="17.399999999999999"/>
    <n v="1.74"/>
    <n v="15.659999999999998"/>
    <n v="187.92"/>
  </r>
  <r>
    <n v="319"/>
    <s v="Justin"/>
    <s v="Newton"/>
    <s v="NULL"/>
    <s v="justin.newton@hotmail.com"/>
    <n v="108"/>
    <d v="2010-12-01T11:21:00"/>
    <n v="4"/>
    <n v="22"/>
    <s v="BIRD HOUSE HOT WATER BOTTLE"/>
    <s v="Debit Card"/>
    <n v="536401"/>
    <n v="22110"/>
    <n v="2.5499999999999998"/>
    <n v="1"/>
    <n v="7.0000000000000007E-2"/>
    <x v="1"/>
    <n v="2.5499999999999998"/>
    <n v="0.17849999999999999"/>
    <n v="2.3714999999999997"/>
    <n v="2.3714999999999997"/>
  </r>
  <r>
    <n v="320"/>
    <s v="Aron"/>
    <s v="Wiggins"/>
    <s v="(442) 497-3353"/>
    <s v="aron.wiggins@aol.com"/>
    <n v="108"/>
    <d v="2010-12-01T11:21:00"/>
    <n v="4"/>
    <n v="16"/>
    <s v="BOUDOIR SQUARE TISSUE BOX"/>
    <s v="Debit Card"/>
    <n v="536401"/>
    <n v="22098"/>
    <n v="1.25"/>
    <n v="1"/>
    <n v="0.05"/>
    <x v="2"/>
    <n v="1.25"/>
    <n v="6.25E-2"/>
    <n v="1.1875"/>
    <n v="1.1875"/>
  </r>
  <r>
    <n v="321"/>
    <s v="Chere"/>
    <s v="Hardin"/>
    <s v="NULL"/>
    <s v="chere.hardin@yahoo.com"/>
    <n v="109"/>
    <d v="2010-12-01T11:21:00"/>
    <n v="4"/>
    <n v="22"/>
    <s v="SKULLS SQUARE TISSUE BOX"/>
    <s v="Debit Card"/>
    <n v="536401"/>
    <n v="22100"/>
    <n v="1.25"/>
    <n v="2"/>
    <n v="0.1"/>
    <x v="2"/>
    <n v="2.5"/>
    <n v="0.25"/>
    <n v="2.25"/>
    <n v="4.5"/>
  </r>
  <r>
    <n v="322"/>
    <s v="Merideth"/>
    <s v="Preston"/>
    <s v="NULL"/>
    <s v="merideth.preston@yahoo.com"/>
    <n v="109"/>
    <d v="2010-12-01T11:21:00"/>
    <n v="4"/>
    <n v="6"/>
    <s v="PHOTO FRAME CORNICE"/>
    <s v="Debit Card"/>
    <n v="536401"/>
    <n v="22766"/>
    <n v="2.95"/>
    <n v="1"/>
    <n v="7.0000000000000007E-2"/>
    <x v="2"/>
    <n v="2.95"/>
    <n v="0.20650000000000004"/>
    <n v="2.7435"/>
    <n v="2.7435"/>
  </r>
  <r>
    <n v="323"/>
    <s v="Jeniffer"/>
    <s v="Slater"/>
    <s v="NULL"/>
    <s v="jeniffer.slater@aol.com"/>
    <n v="110"/>
    <d v="2010-12-01T11:21:00"/>
    <n v="4"/>
    <n v="14"/>
    <s v="SILK PURSE BABUSHKA RED"/>
    <s v="Debit Card"/>
    <n v="536401"/>
    <n v="22451"/>
    <n v="3.35"/>
    <n v="1"/>
    <n v="0.1"/>
    <x v="2"/>
    <n v="3.35"/>
    <n v="0.33500000000000002"/>
    <n v="3.0150000000000001"/>
    <n v="3.0150000000000001"/>
  </r>
  <r>
    <n v="324"/>
    <s v="Laureen"/>
    <s v="Paul"/>
    <s v="NULL"/>
    <s v="laureen.paul@yahoo.com"/>
    <n v="111"/>
    <d v="2010-12-01T11:21:00"/>
    <n v="4"/>
    <n v="14"/>
    <s v="PICTURE DOMINOES"/>
    <s v="Debit Card"/>
    <n v="536401"/>
    <n v="22549"/>
    <n v="1.45"/>
    <n v="1"/>
    <n v="0.1"/>
    <x v="2"/>
    <n v="1.45"/>
    <n v="0.14499999999999999"/>
    <n v="1.3049999999999999"/>
    <n v="1.3049999999999999"/>
  </r>
  <r>
    <n v="325"/>
    <s v="Berna"/>
    <s v="Moore"/>
    <s v="NULL"/>
    <s v="berna.moore@hotmail.com"/>
    <n v="111"/>
    <d v="2010-12-01T11:21:00"/>
    <n v="4"/>
    <n v="12"/>
    <s v="S/6 SEW ON CROCHET FLOWERS"/>
    <s v="Debit Card"/>
    <n v="536401"/>
    <n v="84744"/>
    <n v="1.25"/>
    <n v="1"/>
    <n v="7.0000000000000007E-2"/>
    <x v="2"/>
    <n v="1.25"/>
    <n v="8.7500000000000008E-2"/>
    <n v="1.1625000000000001"/>
    <n v="1.1625000000000001"/>
  </r>
  <r>
    <n v="326"/>
    <s v="Shiela"/>
    <s v="Calderon"/>
    <s v="NULL"/>
    <s v="shiela.calderon@msn.com"/>
    <n v="112"/>
    <d v="2010-12-01T11:21:00"/>
    <n v="4"/>
    <n v="23"/>
    <s v="SCANDINAVIAN REDS RIBBONS"/>
    <s v="Debit Card"/>
    <n v="536401"/>
    <s v="85049E"/>
    <n v="1.25"/>
    <n v="2"/>
    <n v="0.2"/>
    <x v="2"/>
    <n v="2.5"/>
    <n v="0.5"/>
    <n v="2"/>
    <n v="4"/>
  </r>
  <r>
    <n v="327"/>
    <s v="Sharie"/>
    <s v="Alvarez"/>
    <s v="(212) 211-7621"/>
    <s v="sharie.alvarez@msn.com"/>
    <n v="112"/>
    <d v="2010-12-01T11:21:00"/>
    <n v="4"/>
    <n v="25"/>
    <s v="BALLOONS  WRITING SET "/>
    <s v="Debit Card"/>
    <n v="536401"/>
    <n v="21328"/>
    <n v="1.65"/>
    <n v="1"/>
    <n v="7.0000000000000007E-2"/>
    <x v="2"/>
    <n v="1.65"/>
    <n v="0.11550000000000001"/>
    <n v="1.5345"/>
    <n v="1.5345"/>
  </r>
  <r>
    <n v="328"/>
    <s v="Bettie"/>
    <s v="Glover"/>
    <s v="NULL"/>
    <s v="bettie.glover@gmail.com"/>
    <n v="112"/>
    <d v="2010-12-01T11:21:00"/>
    <n v="4"/>
    <n v="24"/>
    <s v="JAM MAKING SET PRINTED"/>
    <s v="Debit Card"/>
    <n v="536401"/>
    <n v="22961"/>
    <n v="1.45"/>
    <n v="4"/>
    <n v="0.05"/>
    <x v="2"/>
    <n v="5.8"/>
    <n v="0.28999999999999998"/>
    <n v="5.51"/>
    <n v="22.04"/>
  </r>
  <r>
    <n v="329"/>
    <s v="Marilyn"/>
    <s v="Frank"/>
    <s v="NULL"/>
    <s v="marilyn.frank@aol.com"/>
    <n v="112"/>
    <d v="2010-12-01T11:21:00"/>
    <n v="4"/>
    <n v="5"/>
    <s v="LAVENDER INCENSE IN TIN"/>
    <s v="Debit Card"/>
    <n v="536401"/>
    <s v="17091A"/>
    <n v="1.25"/>
    <n v="1"/>
    <n v="0.2"/>
    <x v="2"/>
    <n v="1.25"/>
    <n v="0.25"/>
    <n v="1"/>
    <n v="1"/>
  </r>
  <r>
    <n v="330"/>
    <s v="Sheba"/>
    <s v="Knapp"/>
    <s v="NULL"/>
    <s v="sheba.knapp@aol.com"/>
    <n v="113"/>
    <d v="2010-12-01T11:21:00"/>
    <n v="4"/>
    <n v="12"/>
    <s v="TV DINNER TRAY VINTAGE PAISLEY"/>
    <s v="Debit Card"/>
    <n v="536401"/>
    <n v="22473"/>
    <n v="4.95"/>
    <n v="1"/>
    <n v="7.0000000000000007E-2"/>
    <x v="2"/>
    <n v="4.95"/>
    <n v="0.34650000000000003"/>
    <n v="4.6035000000000004"/>
    <n v="4.6035000000000004"/>
  </r>
  <r>
    <n v="331"/>
    <s v="Aleta"/>
    <s v="Mack"/>
    <s v="NULL"/>
    <s v="aleta.mack@yahoo.com"/>
    <n v="113"/>
    <d v="2010-12-01T11:21:00"/>
    <n v="4"/>
    <n v="24"/>
    <s v="SET OF 4 ENGLISH ROSE PLACEMATS"/>
    <s v="Debit Card"/>
    <n v="536401"/>
    <s v="84509A"/>
    <n v="3.75"/>
    <n v="2"/>
    <n v="0.1"/>
    <x v="2"/>
    <n v="7.5"/>
    <n v="0.75"/>
    <n v="6.75"/>
    <n v="13.5"/>
  </r>
  <r>
    <n v="332"/>
    <s v="Reena"/>
    <s v="Higgins"/>
    <s v="NULL"/>
    <s v="reena.higgins@gmail.com"/>
    <n v="113"/>
    <d v="2010-12-01T11:21:00"/>
    <n v="4"/>
    <n v="6"/>
    <s v="SET OF 4 ENGLISH ROSE COASTERS"/>
    <s v="Debit Card"/>
    <n v="536401"/>
    <s v="84510A"/>
    <n v="1.25"/>
    <n v="2"/>
    <n v="7.0000000000000007E-2"/>
    <x v="2"/>
    <n v="2.5"/>
    <n v="0.17500000000000002"/>
    <n v="2.3250000000000002"/>
    <n v="4.6500000000000004"/>
  </r>
  <r>
    <n v="333"/>
    <s v="Ami"/>
    <s v="Mcmahon"/>
    <s v="NULL"/>
    <s v="ami.mcmahon@aol.com"/>
    <n v="113"/>
    <d v="2010-12-01T11:21:00"/>
    <n v="4"/>
    <n v="23"/>
    <s v="TRIPLE PHOTO FRAME CORNICE "/>
    <s v="Debit Card"/>
    <n v="536401"/>
    <n v="22767"/>
    <n v="9.9499999999999993"/>
    <n v="2"/>
    <n v="0.2"/>
    <x v="2"/>
    <n v="19.899999999999999"/>
    <n v="3.98"/>
    <n v="15.919999999999998"/>
    <n v="31.839999999999996"/>
  </r>
  <r>
    <n v="334"/>
    <s v="Somer"/>
    <s v="Jordan"/>
    <s v="NULL"/>
    <s v="somer.jordan@msn.com"/>
    <n v="113"/>
    <d v="2010-12-01T11:21:00"/>
    <n v="4"/>
    <n v="5"/>
    <s v="FAMILY PHOTO FRAME CORNICE"/>
    <s v="Debit Card"/>
    <n v="536401"/>
    <n v="22768"/>
    <n v="9.9499999999999993"/>
    <n v="1"/>
    <n v="0.2"/>
    <x v="2"/>
    <n v="9.9499999999999993"/>
    <n v="1.99"/>
    <n v="7.9599999999999991"/>
    <n v="7.9599999999999991"/>
  </r>
  <r>
    <n v="335"/>
    <s v="Scarlet"/>
    <s v="Reed"/>
    <s v="NULL"/>
    <s v="scarlet.reed@hotmail.com"/>
    <n v="114"/>
    <d v="2010-12-01T11:21:00"/>
    <n v="4"/>
    <n v="12"/>
    <s v="MIRRORED DISCO BALL "/>
    <s v="Debit Card"/>
    <n v="536401"/>
    <n v="21463"/>
    <n v="5.95"/>
    <n v="1"/>
    <n v="0.05"/>
    <x v="2"/>
    <n v="5.95"/>
    <n v="0.29750000000000004"/>
    <n v="5.6524999999999999"/>
    <n v="5.6524999999999999"/>
  </r>
  <r>
    <n v="336"/>
    <s v="Trisha"/>
    <s v="Johnson"/>
    <s v="(717) 126-8787"/>
    <s v="trisha.johnson@msn.com"/>
    <n v="114"/>
    <d v="2010-12-01T11:21:00"/>
    <n v="4"/>
    <n v="2"/>
    <s v="DISCO BALL ROTATOR BATTERY OPERATED"/>
    <s v="Debit Card"/>
    <n v="536401"/>
    <n v="21464"/>
    <n v="4.25"/>
    <n v="1"/>
    <n v="7.0000000000000007E-2"/>
    <x v="2"/>
    <n v="4.25"/>
    <n v="0.29750000000000004"/>
    <n v="3.9525000000000001"/>
    <n v="3.9525000000000001"/>
  </r>
  <r>
    <n v="337"/>
    <s v="Majorie"/>
    <s v="Wyatt"/>
    <s v="NULL"/>
    <s v="majorie.wyatt@yahoo.com"/>
    <n v="114"/>
    <d v="2010-12-01T11:21:00"/>
    <n v="4"/>
    <n v="13"/>
    <s v="SILVER LOOKING MIRROR"/>
    <s v="Debit Card"/>
    <n v="536401"/>
    <n v="20820"/>
    <n v="4.95"/>
    <n v="3"/>
    <n v="0.1"/>
    <x v="2"/>
    <n v="14.850000000000001"/>
    <n v="1.4850000000000003"/>
    <n v="13.365000000000002"/>
    <n v="40.095000000000006"/>
  </r>
  <r>
    <n v="338"/>
    <s v="Abbey"/>
    <s v="Pugh"/>
    <s v="NULL"/>
    <s v="abbey.pugh@gmail.com"/>
    <n v="115"/>
    <d v="2010-12-01T11:21:00"/>
    <n v="4"/>
    <n v="22"/>
    <s v="LADIES &amp; GENTLEMEN METAL SIGN"/>
    <s v="Debit Card"/>
    <n v="536401"/>
    <n v="85150"/>
    <n v="2.5499999999999998"/>
    <n v="1"/>
    <n v="0.2"/>
    <x v="2"/>
    <n v="2.5499999999999998"/>
    <n v="0.51"/>
    <n v="2.04"/>
    <n v="2.04"/>
  </r>
  <r>
    <n v="339"/>
    <s v="Tamela"/>
    <s v="Harrell"/>
    <s v="NULL"/>
    <s v="tamela.harrell@aol.com"/>
    <n v="115"/>
    <d v="2010-12-01T11:21:00"/>
    <n v="4"/>
    <n v="19"/>
    <s v="METAL SIGN HER DINNER IS SERVED "/>
    <s v="Debit Card"/>
    <n v="536401"/>
    <n v="22117"/>
    <n v="2.95"/>
    <n v="1"/>
    <n v="0.1"/>
    <x v="2"/>
    <n v="2.95"/>
    <n v="0.29500000000000004"/>
    <n v="2.6550000000000002"/>
    <n v="2.6550000000000002"/>
  </r>
  <r>
    <n v="340"/>
    <s v="Yanira"/>
    <s v="Bradshaw"/>
    <s v="NULL"/>
    <s v="yanira.bradshaw@gmail.com"/>
    <n v="116"/>
    <d v="2010-12-01T11:21:00"/>
    <n v="4"/>
    <n v="26"/>
    <s v="YOU'RE CONFUSING ME METAL SIGN "/>
    <s v="Debit Card"/>
    <n v="536401"/>
    <n v="21169"/>
    <n v="1.69"/>
    <n v="2"/>
    <n v="0.05"/>
    <x v="2"/>
    <n v="3.38"/>
    <n v="0.16900000000000001"/>
    <n v="3.2109999999999999"/>
    <n v="6.4219999999999997"/>
  </r>
  <r>
    <n v="341"/>
    <s v="Delana"/>
    <s v="Scott"/>
    <s v="NULL"/>
    <s v="delana.scott@yahoo.com"/>
    <n v="117"/>
    <d v="2010-12-01T11:21:00"/>
    <n v="4"/>
    <n v="22"/>
    <s v="DOORMAT TOPIARY"/>
    <s v="Debit Card"/>
    <n v="536401"/>
    <n v="48129"/>
    <n v="7.95"/>
    <n v="1"/>
    <n v="0.2"/>
    <x v="2"/>
    <n v="7.95"/>
    <n v="1.59"/>
    <n v="6.36"/>
    <n v="6.36"/>
  </r>
  <r>
    <n v="342"/>
    <s v="Cassondra"/>
    <s v="Pruitt"/>
    <s v="NULL"/>
    <s v="cassondra.pruitt@aol.com"/>
    <n v="117"/>
    <d v="2010-12-01T11:21:00"/>
    <n v="4"/>
    <n v="26"/>
    <s v="BATHROOM METAL SIGN"/>
    <s v="Debit Card"/>
    <n v="536401"/>
    <n v="82580"/>
    <n v="0.55000000000000004"/>
    <n v="1"/>
    <n v="0.05"/>
    <x v="2"/>
    <n v="0.55000000000000004"/>
    <n v="2.7500000000000004E-2"/>
    <n v="0.52250000000000008"/>
    <n v="0.52250000000000008"/>
  </r>
  <r>
    <n v="343"/>
    <s v="Jesica"/>
    <s v="Fields"/>
    <s v="NULL"/>
    <s v="jesica.fields@yahoo.com"/>
    <n v="117"/>
    <d v="2010-12-01T11:21:00"/>
    <n v="4"/>
    <n v="14"/>
    <s v="KITCHEN METAL SIGN"/>
    <s v="Debit Card"/>
    <n v="536401"/>
    <n v="82578"/>
    <n v="0.55000000000000004"/>
    <n v="1"/>
    <n v="0.2"/>
    <x v="2"/>
    <n v="0.55000000000000004"/>
    <n v="0.11000000000000001"/>
    <n v="0.44000000000000006"/>
    <n v="0.44000000000000006"/>
  </r>
  <r>
    <n v="344"/>
    <s v="Herta"/>
    <s v="Rollins"/>
    <s v="NULL"/>
    <s v="herta.rollins@msn.com"/>
    <n v="117"/>
    <d v="2010-12-01T11:21:00"/>
    <n v="4"/>
    <n v="19"/>
    <s v="TOILET METAL SIGN"/>
    <s v="Debit Card"/>
    <n v="536401"/>
    <n v="82581"/>
    <n v="0.55000000000000004"/>
    <n v="2"/>
    <n v="0.05"/>
    <x v="2"/>
    <n v="1.1000000000000001"/>
    <n v="5.5000000000000007E-2"/>
    <n v="1.0450000000000002"/>
    <n v="2.0900000000000003"/>
  </r>
  <r>
    <n v="345"/>
    <s v="Mi"/>
    <s v="Gray"/>
    <s v="(229) 813-2130"/>
    <s v="mi.gray@aol.com"/>
    <n v="118"/>
    <d v="2010-12-01T11:21:00"/>
    <n v="4"/>
    <n v="18"/>
    <s v="METAL SIGN TAKE IT OR LEAVE IT "/>
    <s v="Debit Card"/>
    <n v="536401"/>
    <n v="22413"/>
    <n v="2.95"/>
    <n v="4"/>
    <n v="7.0000000000000007E-2"/>
    <x v="2"/>
    <n v="11.8"/>
    <n v="0.82600000000000018"/>
    <n v="10.974"/>
    <n v="43.896000000000001"/>
  </r>
  <r>
    <n v="346"/>
    <s v="Jacalyn"/>
    <s v="Barnett"/>
    <s v="NULL"/>
    <s v="jacalyn.barnett@gmail.com"/>
    <n v="118"/>
    <d v="2010-12-01T11:21:00"/>
    <n v="4"/>
    <n v="4"/>
    <s v="I'M ON HOLIDAY METAL SIGN"/>
    <s v="Debit Card"/>
    <n v="536401"/>
    <n v="21907"/>
    <n v="2.1"/>
    <n v="2"/>
    <n v="7.0000000000000007E-2"/>
    <x v="2"/>
    <n v="4.2"/>
    <n v="0.29400000000000004"/>
    <n v="3.9060000000000001"/>
    <n v="7.8120000000000003"/>
  </r>
  <r>
    <n v="347"/>
    <s v="Kanesha"/>
    <s v="Hudson"/>
    <s v="(510) 788-7298"/>
    <s v="kanesha.hudson@gmail.com"/>
    <n v="118"/>
    <d v="2010-12-01T11:21:00"/>
    <n v="4"/>
    <n v="6"/>
    <s v="GROW YOUR OWN BASIL IN ENAMEL MUG"/>
    <s v="Debit Card"/>
    <n v="536401"/>
    <n v="22441"/>
    <n v="2.1"/>
    <n v="1"/>
    <n v="7.0000000000000007E-2"/>
    <x v="2"/>
    <n v="2.1"/>
    <n v="0.14700000000000002"/>
    <n v="1.9530000000000001"/>
    <n v="1.9530000000000001"/>
  </r>
  <r>
    <n v="348"/>
    <s v="Darren"/>
    <s v="Witt"/>
    <s v="NULL"/>
    <s v="darren.witt@aol.com"/>
    <n v="118"/>
    <d v="2010-12-01T11:21:00"/>
    <n v="4"/>
    <n v="3"/>
    <s v="SET/10 PINK POLKADOT PARTY CANDLES"/>
    <s v="Debit Card"/>
    <n v="536401"/>
    <n v="21122"/>
    <n v="1.25"/>
    <n v="1"/>
    <n v="0.1"/>
    <x v="2"/>
    <n v="1.25"/>
    <n v="0.125"/>
    <n v="1.125"/>
    <n v="1.125"/>
  </r>
  <r>
    <n v="349"/>
    <s v="Mable"/>
    <s v="Pratt"/>
    <s v="NULL"/>
    <s v="mable.pratt@gmail.com"/>
    <n v="118"/>
    <d v="2010-12-01T11:21:00"/>
    <n v="3"/>
    <n v="23"/>
    <s v="SET 20 NAPKINS FAIRY CAKES DESIGN "/>
    <s v="Debit Card"/>
    <n v="536401"/>
    <n v="22851"/>
    <n v="0.85"/>
    <n v="1"/>
    <n v="7.0000000000000007E-2"/>
    <x v="2"/>
    <n v="0.85"/>
    <n v="5.9500000000000004E-2"/>
    <n v="0.79049999999999998"/>
    <n v="0.79049999999999998"/>
  </r>
  <r>
    <n v="350"/>
    <s v="Christoper"/>
    <s v="Mccall"/>
    <s v="NULL"/>
    <s v="christoper.mccall@msn.com"/>
    <n v="119"/>
    <d v="2010-12-01T11:21:00"/>
    <n v="3"/>
    <n v="25"/>
    <s v="60 TEATIME FAIRY CAKE CASES"/>
    <s v="Debit Card"/>
    <n v="536401"/>
    <n v="84991"/>
    <n v="0.55000000000000004"/>
    <n v="3"/>
    <n v="0.05"/>
    <x v="2"/>
    <n v="1.6500000000000001"/>
    <n v="8.2500000000000018E-2"/>
    <n v="1.5675000000000001"/>
    <n v="4.7025000000000006"/>
  </r>
  <r>
    <n v="351"/>
    <s v="Margorie"/>
    <s v="Wynn"/>
    <s v="NULL"/>
    <s v="margorie.wynn@gmail.com"/>
    <n v="120"/>
    <d v="2010-12-01T11:21:00"/>
    <n v="4"/>
    <n v="13"/>
    <s v="SET OF 6 T-LIGHTS SNOWMEN"/>
    <s v="Debit Card"/>
    <n v="536401"/>
    <n v="22810"/>
    <n v="2.95"/>
    <n v="1"/>
    <n v="0.05"/>
    <x v="2"/>
    <n v="2.95"/>
    <n v="0.14750000000000002"/>
    <n v="2.8025000000000002"/>
    <n v="2.8025000000000002"/>
  </r>
  <r>
    <n v="352"/>
    <s v="Josef"/>
    <s v="Greer"/>
    <s v="NULL"/>
    <s v="josef.greer@gmail.com"/>
    <n v="120"/>
    <d v="2010-12-01T11:21:00"/>
    <n v="4"/>
    <n v="6"/>
    <s v="SET OF 6 T-LIGHTS SANTA"/>
    <s v="Debit Card"/>
    <n v="536401"/>
    <n v="22809"/>
    <n v="2.95"/>
    <n v="1"/>
    <n v="0.05"/>
    <x v="2"/>
    <n v="2.95"/>
    <n v="0.14750000000000002"/>
    <n v="2.8025000000000002"/>
    <n v="2.8025000000000002"/>
  </r>
  <r>
    <n v="353"/>
    <s v="Tisa"/>
    <s v="Whitney"/>
    <s v="NULL"/>
    <s v="tisa.whitney@yahoo.com"/>
    <n v="120"/>
    <d v="2010-12-01T11:21:00"/>
    <n v="4"/>
    <n v="10"/>
    <s v="SET OF 9 HEART SHAPED BALLOONS"/>
    <s v="Debit Card"/>
    <n v="536401"/>
    <n v="22435"/>
    <n v="1.25"/>
    <n v="2"/>
    <n v="0.05"/>
    <x v="2"/>
    <n v="2.5"/>
    <n v="0.125"/>
    <n v="2.375"/>
    <n v="4.75"/>
  </r>
  <r>
    <n v="354"/>
    <s v="Tonda"/>
    <s v="Armstrong"/>
    <s v="NULL"/>
    <s v="tonda.armstrong@aol.com"/>
    <n v="120"/>
    <d v="2010-12-01T11:21:00"/>
    <n v="4"/>
    <n v="17"/>
    <s v="SANDWICH BATH SPONGE"/>
    <s v="Debit Card"/>
    <n v="536401"/>
    <n v="20966"/>
    <n v="1.25"/>
    <n v="3"/>
    <n v="0.05"/>
    <x v="2"/>
    <n v="3.75"/>
    <n v="0.1875"/>
    <n v="3.5625"/>
    <n v="10.6875"/>
  </r>
  <r>
    <n v="355"/>
    <s v="Arvilla"/>
    <s v="Weiss"/>
    <s v="NULL"/>
    <s v="arvilla.weiss@msn.com"/>
    <n v="120"/>
    <d v="2010-12-01T11:21:00"/>
    <n v="4"/>
    <n v="16"/>
    <s v="APPLE BATH SPONGE"/>
    <s v="Debit Card"/>
    <n v="536401"/>
    <n v="20963"/>
    <n v="1.25"/>
    <n v="1"/>
    <n v="0.2"/>
    <x v="2"/>
    <n v="1.25"/>
    <n v="0.25"/>
    <n v="1"/>
    <n v="1"/>
  </r>
  <r>
    <n v="356"/>
    <s v="Vashti"/>
    <s v="Rosario"/>
    <s v="NULL"/>
    <s v="vashti.rosario@yahoo.com"/>
    <n v="121"/>
    <d v="2010-12-01T11:21:00"/>
    <n v="4"/>
    <n v="5"/>
    <s v="STRAWBERRY BATH SPONGE "/>
    <s v="Debit Card"/>
    <n v="536401"/>
    <n v="20961"/>
    <n v="1.25"/>
    <n v="1"/>
    <n v="0.2"/>
    <x v="2"/>
    <n v="1.25"/>
    <n v="0.25"/>
    <n v="1"/>
    <n v="1"/>
  </r>
  <r>
    <n v="357"/>
    <s v="Sheri"/>
    <s v="Cole"/>
    <s v="(408) 658-2285"/>
    <s v="sheri.cole@aol.com"/>
    <n v="121"/>
    <d v="2010-12-01T11:21:00"/>
    <n v="3"/>
    <n v="14"/>
    <s v="BLACK PIRATE TREASURE CHEST"/>
    <s v="Debit Card"/>
    <n v="536401"/>
    <n v="22068"/>
    <n v="1.65"/>
    <n v="2"/>
    <n v="0.1"/>
    <x v="2"/>
    <n v="3.3"/>
    <n v="0.33"/>
    <n v="2.9699999999999998"/>
    <n v="5.9399999999999995"/>
  </r>
  <r>
    <n v="358"/>
    <s v="Kandace"/>
    <s v="Giles"/>
    <s v="NULL"/>
    <s v="kandace.giles@msn.com"/>
    <n v="121"/>
    <d v="2010-12-01T11:21:00"/>
    <n v="4"/>
    <n v="4"/>
    <s v="STAR PORTABLE TABLE LIGHT "/>
    <s v="Debit Card"/>
    <n v="536401"/>
    <n v="21743"/>
    <n v="2.95"/>
    <n v="2"/>
    <n v="0.1"/>
    <x v="2"/>
    <n v="5.9"/>
    <n v="0.59000000000000008"/>
    <n v="5.3100000000000005"/>
    <n v="10.620000000000001"/>
  </r>
  <r>
    <n v="359"/>
    <s v="Angie"/>
    <s v="Powers"/>
    <s v="NULL"/>
    <s v="angie.powers@aol.com"/>
    <n v="121"/>
    <d v="2010-12-01T11:21:00"/>
    <n v="4"/>
    <n v="24"/>
    <s v="SNOWFLAKE PORTABLE TABLE LIGHT "/>
    <s v="Debit Card"/>
    <n v="536401"/>
    <n v="21744"/>
    <n v="2.95"/>
    <n v="2"/>
    <n v="7.0000000000000007E-2"/>
    <x v="2"/>
    <n v="5.9"/>
    <n v="0.41300000000000009"/>
    <n v="5.4870000000000001"/>
    <n v="10.974"/>
  </r>
  <r>
    <n v="360"/>
    <s v="Van"/>
    <s v="Peters"/>
    <s v="(281) 658-7772"/>
    <s v="van.peters@yahoo.com"/>
    <n v="121"/>
    <d v="2010-12-01T11:21:00"/>
    <n v="4"/>
    <n v="2"/>
    <s v="PINK OVAL JEWELLED MIRROR"/>
    <s v="Debit Card"/>
    <n v="536401"/>
    <s v="84709B"/>
    <n v="5.95"/>
    <n v="1"/>
    <n v="0.05"/>
    <x v="2"/>
    <n v="5.95"/>
    <n v="0.29750000000000004"/>
    <n v="5.6524999999999999"/>
    <n v="5.6524999999999999"/>
  </r>
  <r>
    <n v="361"/>
    <s v="Virgina"/>
    <s v="Berg"/>
    <s v="NULL"/>
    <s v="virgina.berg@yahoo.com"/>
    <n v="122"/>
    <d v="2010-12-01T11:21:00"/>
    <n v="4"/>
    <n v="16"/>
    <s v="RETROSPOT CIGAR BOX MATCHES "/>
    <s v="Debit Card"/>
    <n v="536401"/>
    <n v="21592"/>
    <n v="1.25"/>
    <n v="1"/>
    <n v="0.1"/>
    <x v="2"/>
    <n v="1.25"/>
    <n v="0.125"/>
    <n v="1.125"/>
    <n v="1.125"/>
  </r>
  <r>
    <n v="362"/>
    <s v="Olevia"/>
    <s v="Noel"/>
    <s v="NULL"/>
    <s v="olevia.noel@yahoo.com"/>
    <n v="123"/>
    <d v="2010-12-01T11:21:00"/>
    <n v="4"/>
    <n v="12"/>
    <s v="COSY HOUR GIANT TUBE MATCHES"/>
    <s v="Debit Card"/>
    <n v="536401"/>
    <n v="21587"/>
    <n v="2.5499999999999998"/>
    <n v="2"/>
    <n v="0.1"/>
    <x v="2"/>
    <n v="5.0999999999999996"/>
    <n v="0.51"/>
    <n v="4.59"/>
    <n v="9.18"/>
  </r>
  <r>
    <n v="363"/>
    <s v="Kaci"/>
    <s v="Gallegos"/>
    <s v="NULL"/>
    <s v="kaci.gallegos@gmail.com"/>
    <n v="124"/>
    <d v="2010-12-01T11:21:00"/>
    <n v="4"/>
    <n v="16"/>
    <s v="JAZZ HEARTS PURSE NOTEBOOK"/>
    <s v="Debit Card"/>
    <n v="536401"/>
    <n v="20992"/>
    <n v="0.85"/>
    <n v="9"/>
    <n v="0.05"/>
    <x v="2"/>
    <n v="7.6499999999999995"/>
    <n v="0.38250000000000001"/>
    <n v="7.2674999999999992"/>
    <n v="65.407499999999999"/>
  </r>
  <r>
    <n v="364"/>
    <s v="Bev"/>
    <s v="Chang"/>
    <s v="NULL"/>
    <s v="bev.chang@yahoo.com"/>
    <n v="124"/>
    <d v="2010-12-01T11:21:00"/>
    <n v="4"/>
    <n v="4"/>
    <s v="LUNCH BAG DOLLY GIRL DESIGN"/>
    <s v="Debit Card"/>
    <n v="536401"/>
    <n v="22662"/>
    <n v="1.65"/>
    <n v="1"/>
    <n v="7.0000000000000007E-2"/>
    <x v="2"/>
    <n v="1.65"/>
    <n v="0.11550000000000001"/>
    <n v="1.5345"/>
    <n v="1.5345"/>
  </r>
  <r>
    <n v="365"/>
    <s v="Rodger"/>
    <s v="Rojas"/>
    <s v="NULL"/>
    <s v="rodger.rojas@yahoo.com"/>
    <n v="124"/>
    <d v="2010-12-01T11:21:00"/>
    <n v="4"/>
    <n v="7"/>
    <s v="WHITE HANGING HEART T-LIGHT HOLDER"/>
    <s v="Debit Card"/>
    <n v="536401"/>
    <s v="85123A"/>
    <n v="2.95"/>
    <n v="4"/>
    <n v="0.05"/>
    <x v="2"/>
    <n v="11.8"/>
    <n v="0.59000000000000008"/>
    <n v="11.21"/>
    <n v="44.84"/>
  </r>
  <r>
    <n v="366"/>
    <s v="Lavonne"/>
    <s v="Anderson"/>
    <s v="NULL"/>
    <s v="lavonne.anderson@aol.com"/>
    <n v="125"/>
    <d v="2010-12-01T11:21:00"/>
    <n v="4"/>
    <n v="17"/>
    <s v="CANDLEHOLDER PINK HANGING HEART"/>
    <s v="Debit Card"/>
    <n v="536401"/>
    <n v="22804"/>
    <n v="2.95"/>
    <n v="3"/>
    <n v="0.1"/>
    <x v="2"/>
    <n v="8.8500000000000014"/>
    <n v="0.88500000000000023"/>
    <n v="7.9650000000000016"/>
    <n v="23.895000000000003"/>
  </r>
  <r>
    <n v="367"/>
    <s v="Blanca"/>
    <s v="Hooper"/>
    <s v="NULL"/>
    <s v="blanca.hooper@msn.com"/>
    <n v="126"/>
    <d v="2010-12-01T11:21:00"/>
    <n v="4"/>
    <n v="9"/>
    <s v="WOOD 2 DRAWER CABINET WHITE FINISH"/>
    <s v="Debit Card"/>
    <n v="536401"/>
    <n v="82483"/>
    <n v="5.95"/>
    <n v="1"/>
    <n v="0.05"/>
    <x v="2"/>
    <n v="5.95"/>
    <n v="0.29750000000000004"/>
    <n v="5.6524999999999999"/>
    <n v="5.6524999999999999"/>
  </r>
  <r>
    <n v="368"/>
    <s v="Alysha"/>
    <s v="Powers"/>
    <s v="NULL"/>
    <s v="alysha.powers@msn.com"/>
    <n v="127"/>
    <d v="2010-12-01T11:21:00"/>
    <n v="4"/>
    <n v="17"/>
    <s v="ASSORTED COLOUR MINI CASES"/>
    <s v="Debit Card"/>
    <n v="536401"/>
    <n v="20749"/>
    <n v="7.95"/>
    <n v="1"/>
    <n v="7.0000000000000007E-2"/>
    <x v="2"/>
    <n v="7.95"/>
    <n v="0.55650000000000011"/>
    <n v="7.3935000000000004"/>
    <n v="7.3935000000000004"/>
  </r>
  <r>
    <n v="369"/>
    <s v="Mary"/>
    <s v="Singleton"/>
    <s v="NULL"/>
    <s v="mary.singleton@hotmail.com"/>
    <n v="127"/>
    <d v="2010-12-01T11:21:00"/>
    <n v="4"/>
    <n v="20"/>
    <s v="LUNCH BAG RED RETROSPOT"/>
    <s v="Debit Card"/>
    <n v="536401"/>
    <n v="20725"/>
    <n v="1.65"/>
    <n v="1"/>
    <n v="0.1"/>
    <x v="2"/>
    <n v="1.65"/>
    <n v="0.16500000000000001"/>
    <n v="1.4849999999999999"/>
    <n v="1.4849999999999999"/>
  </r>
  <r>
    <n v="370"/>
    <s v="Jina"/>
    <s v="Cooper"/>
    <s v="NULL"/>
    <s v="jina.cooper@aol.com"/>
    <n v="127"/>
    <d v="2010-12-01T11:21:00"/>
    <n v="4"/>
    <n v="4"/>
    <s v="LUNCH BAG SPACEBOY DESIGN "/>
    <s v="Debit Card"/>
    <n v="536401"/>
    <n v="22382"/>
    <n v="1.65"/>
    <n v="2"/>
    <n v="7.0000000000000007E-2"/>
    <x v="2"/>
    <n v="3.3"/>
    <n v="0.23100000000000001"/>
    <n v="3.069"/>
    <n v="6.1379999999999999"/>
  </r>
  <r>
    <n v="371"/>
    <s v="Loni"/>
    <s v="Duncan"/>
    <s v="NULL"/>
    <s v="loni.duncan@gmail.com"/>
    <n v="128"/>
    <d v="2010-12-01T11:21:00"/>
    <n v="4"/>
    <n v="24"/>
    <s v="LUNCH BAG WOODLAND"/>
    <s v="Debit Card"/>
    <n v="536401"/>
    <n v="20726"/>
    <n v="1.65"/>
    <n v="1"/>
    <n v="0.1"/>
    <x v="2"/>
    <n v="1.65"/>
    <n v="0.16500000000000001"/>
    <n v="1.4849999999999999"/>
    <n v="1.4849999999999999"/>
  </r>
  <r>
    <n v="372"/>
    <s v="Collene"/>
    <s v="Roman"/>
    <s v="NULL"/>
    <s v="collene.roman@aol.com"/>
    <n v="128"/>
    <d v="2010-12-01T11:21:00"/>
    <n v="4"/>
    <n v="16"/>
    <s v="LUNCH BAG PINK POLKADOT"/>
    <s v="Debit Card"/>
    <n v="536401"/>
    <n v="22384"/>
    <n v="1.65"/>
    <n v="1"/>
    <n v="0.1"/>
    <x v="2"/>
    <n v="1.65"/>
    <n v="0.16500000000000001"/>
    <n v="1.4849999999999999"/>
    <n v="1.4849999999999999"/>
  </r>
  <r>
    <n v="373"/>
    <s v="Mariette"/>
    <s v="Trevino"/>
    <s v="NULL"/>
    <s v="mariette.trevino@aol.com"/>
    <n v="128"/>
    <d v="2010-12-01T11:21:00"/>
    <n v="4"/>
    <n v="4"/>
    <s v="GUMBALL COAT RACK"/>
    <s v="Debit Card"/>
    <n v="536401"/>
    <n v="22467"/>
    <n v="2.5499999999999998"/>
    <n v="5"/>
    <n v="0.2"/>
    <x v="2"/>
    <n v="12.75"/>
    <n v="2.5500000000000003"/>
    <n v="10.199999999999999"/>
    <n v="51"/>
  </r>
  <r>
    <n v="374"/>
    <s v="Candelaria"/>
    <s v="Coffey"/>
    <s v="NULL"/>
    <s v="candelaria.coffey@aol.com"/>
    <n v="128"/>
    <d v="2010-12-01T11:21:00"/>
    <n v="4"/>
    <n v="3"/>
    <s v="BLUE NEW BAROQUE CANDLESTICK CANDLE"/>
    <s v="Debit Card"/>
    <n v="536401"/>
    <s v="84625C"/>
    <n v="2.95"/>
    <n v="3"/>
    <n v="0.2"/>
    <x v="2"/>
    <n v="8.8500000000000014"/>
    <n v="1.7700000000000005"/>
    <n v="7.080000000000001"/>
    <n v="21.240000000000002"/>
  </r>
  <r>
    <n v="375"/>
    <s v="Yan"/>
    <s v="Trevino"/>
    <s v="NULL"/>
    <s v="yan.trevino@gmail.com"/>
    <n v="129"/>
    <d v="2010-12-01T11:21:00"/>
    <n v="4"/>
    <n v="18"/>
    <s v="PINK NEW BAROQUECANDLESTICK CANDLE"/>
    <s v="Debit Card"/>
    <n v="536401"/>
    <s v="84625A"/>
    <n v="2.95"/>
    <n v="3"/>
    <n v="0.1"/>
    <x v="2"/>
    <n v="8.8500000000000014"/>
    <n v="0.88500000000000023"/>
    <n v="7.9650000000000016"/>
    <n v="23.895000000000003"/>
  </r>
  <r>
    <n v="376"/>
    <s v="Elanor"/>
    <s v="Patrick"/>
    <s v="NULL"/>
    <s v="elanor.patrick@aol.com"/>
    <n v="129"/>
    <d v="2010-12-01T11:21:00"/>
    <n v="4"/>
    <n v="9"/>
    <s v="FAIRY CAKE FLANNEL ASSORTED COLOUR"/>
    <s v="Debit Card"/>
    <n v="536401"/>
    <n v="21108"/>
    <n v="2.5499999999999998"/>
    <n v="9"/>
    <n v="0.1"/>
    <x v="2"/>
    <n v="22.95"/>
    <n v="2.2949999999999999"/>
    <n v="20.655000000000001"/>
    <n v="185.89500000000001"/>
  </r>
  <r>
    <n v="377"/>
    <s v="Klara"/>
    <s v="Mosley"/>
    <s v="NULL"/>
    <s v="klara.mosley@gmail.com"/>
    <n v="130"/>
    <d v="2010-12-01T11:21:00"/>
    <n v="4"/>
    <n v="26"/>
    <s v="BREAD BIN DINER STYLE PINK"/>
    <s v="Debit Card"/>
    <n v="536401"/>
    <n v="22848"/>
    <n v="16.95"/>
    <n v="1"/>
    <n v="0.05"/>
    <x v="2"/>
    <n v="16.95"/>
    <n v="0.84750000000000003"/>
    <n v="16.102499999999999"/>
    <n v="16.102499999999999"/>
  </r>
  <r>
    <n v="378"/>
    <s v="Rosalba"/>
    <s v="O'neal"/>
    <s v="NULL"/>
    <s v="rosalba.o'neal@yahoo.com"/>
    <n v="130"/>
    <d v="2010-12-01T11:21:00"/>
    <n v="4"/>
    <n v="5"/>
    <s v="JUMBO BAG CHARLIE AND LOLA TOYS"/>
    <s v="Debit Card"/>
    <n v="536401"/>
    <n v="21033"/>
    <n v="2.95"/>
    <n v="4"/>
    <n v="7.0000000000000007E-2"/>
    <x v="2"/>
    <n v="11.8"/>
    <n v="0.82600000000000018"/>
    <n v="10.974"/>
    <n v="43.896000000000001"/>
  </r>
  <r>
    <n v="379"/>
    <s v="Mina"/>
    <s v="Carrillo"/>
    <s v="NULL"/>
    <s v="mina.carrillo@aol.com"/>
    <n v="131"/>
    <d v="2010-12-01T11:21:00"/>
    <n v="4"/>
    <n v="22"/>
    <s v="TEA TIME TABLE CLOTH"/>
    <s v="Debit Card"/>
    <n v="536401"/>
    <s v="47570B"/>
    <n v="10.65"/>
    <n v="1"/>
    <n v="0.2"/>
    <x v="2"/>
    <n v="10.65"/>
    <n v="2.1300000000000003"/>
    <n v="8.52"/>
    <n v="8.52"/>
  </r>
  <r>
    <n v="380"/>
    <s v="Alesia"/>
    <s v="Horne"/>
    <s v="NULL"/>
    <s v="alesia.horne@aol.com"/>
    <n v="131"/>
    <d v="2010-12-01T11:21:00"/>
    <n v="4"/>
    <n v="4"/>
    <s v="ENGLISH ROSE HOT WATER BOTTLE"/>
    <s v="Debit Card"/>
    <n v="536401"/>
    <s v="84030E"/>
    <n v="4.25"/>
    <n v="1"/>
    <n v="7.0000000000000007E-2"/>
    <x v="2"/>
    <n v="4.25"/>
    <n v="0.29750000000000004"/>
    <n v="3.9525000000000001"/>
    <n v="3.9525000000000001"/>
  </r>
  <r>
    <n v="381"/>
    <s v="Kristen"/>
    <s v="Alvarez"/>
    <s v="NULL"/>
    <s v="kristen.alvarez@aol.com"/>
    <n v="131"/>
    <d v="2010-12-01T11:21:00"/>
    <n v="4"/>
    <n v="24"/>
    <s v="ENAMEL FIRE BUCKET CREAM"/>
    <s v="Debit Card"/>
    <n v="536401"/>
    <n v="22428"/>
    <n v="6.95"/>
    <n v="2"/>
    <n v="0.1"/>
    <x v="2"/>
    <n v="13.9"/>
    <n v="1.3900000000000001"/>
    <n v="12.51"/>
    <n v="25.02"/>
  </r>
  <r>
    <n v="382"/>
    <s v="Collin"/>
    <s v="Webster"/>
    <s v="NULL"/>
    <s v="collin.webster@aol.com"/>
    <n v="132"/>
    <d v="2010-12-01T11:21:00"/>
    <n v="4"/>
    <n v="2"/>
    <s v="PICNIC BASKET WICKER SMALL"/>
    <s v="Debit Card"/>
    <n v="536401"/>
    <n v="22502"/>
    <n v="5.95"/>
    <n v="2"/>
    <n v="0.05"/>
    <x v="2"/>
    <n v="11.9"/>
    <n v="0.59500000000000008"/>
    <n v="11.305"/>
    <n v="22.61"/>
  </r>
  <r>
    <n v="383"/>
    <s v="Ashlee"/>
    <s v="Pena"/>
    <s v="NULL"/>
    <s v="ashlee.pena@aol.com"/>
    <n v="132"/>
    <d v="2010-12-01T11:22:00"/>
    <n v="4"/>
    <n v="20"/>
    <s v="PAPER CHAIN KIT 50'S CHRISTMAS "/>
    <s v="Debit Card"/>
    <n v="536402"/>
    <n v="22086"/>
    <n v="2.5499999999999998"/>
    <n v="40"/>
    <n v="0.05"/>
    <x v="2"/>
    <n v="102"/>
    <n v="5.1000000000000005"/>
    <n v="96.9"/>
    <n v="3876"/>
  </r>
  <r>
    <n v="384"/>
    <s v="Aimee"/>
    <s v="Merritt"/>
    <s v="NULL"/>
    <s v="aimee.merritt@yahoo.com"/>
    <n v="132"/>
    <d v="2010-12-01T11:22:00"/>
    <n v="4"/>
    <n v="9"/>
    <s v="PAPER CHAIN KIT VINTAGE CHRISTMAS"/>
    <s v="Debit Card"/>
    <n v="536402"/>
    <n v="22910"/>
    <n v="2.5499999999999998"/>
    <n v="40"/>
    <n v="0.1"/>
    <x v="2"/>
    <n v="102"/>
    <n v="10.200000000000001"/>
    <n v="91.8"/>
    <n v="3672"/>
  </r>
  <r>
    <n v="385"/>
    <s v="Rochelle"/>
    <s v="Ward"/>
    <s v="NULL"/>
    <s v="rochelle.ward@yahoo.com"/>
    <n v="133"/>
    <d v="2010-12-01T11:22:00"/>
    <n v="4"/>
    <n v="13"/>
    <s v="HOT WATER BOTTLE BABUSHKA "/>
    <s v="Debit Card"/>
    <n v="536402"/>
    <n v="22837"/>
    <n v="4.25"/>
    <n v="36"/>
    <n v="0.05"/>
    <x v="2"/>
    <n v="153"/>
    <n v="7.65"/>
    <n v="145.35"/>
    <n v="5232.5999999999995"/>
  </r>
  <r>
    <n v="386"/>
    <s v="Nelle"/>
    <s v="Beck"/>
    <s v="NULL"/>
    <s v="nelle.beck@aol.com"/>
    <n v="133"/>
    <d v="2010-12-01T11:27:00"/>
    <n v="3"/>
    <n v="22"/>
    <s v="HAND WARMER BIRD DESIGN"/>
    <s v="Credit Card "/>
    <n v="536403"/>
    <n v="22867"/>
    <n v="1.85"/>
    <n v="96"/>
    <n v="0.2"/>
    <x v="4"/>
    <n v="177.60000000000002"/>
    <n v="35.520000000000003"/>
    <n v="142.08000000000001"/>
    <n v="13639.68"/>
  </r>
  <r>
    <n v="387"/>
    <s v="Kaila"/>
    <s v="Walters"/>
    <s v="NULL"/>
    <s v="kaila.walters@msn.com"/>
    <n v="134"/>
    <d v="2010-12-01T11:27:00"/>
    <n v="3"/>
    <n v="19"/>
    <s v="POSTAGE"/>
    <s v="Credit Card "/>
    <n v="536403"/>
    <s v="POST"/>
    <n v="15"/>
    <n v="100"/>
    <n v="0.1"/>
    <x v="4"/>
    <n v="1500"/>
    <n v="150"/>
    <n v="1350"/>
    <n v="135000"/>
  </r>
  <r>
    <n v="388"/>
    <s v="Aleta"/>
    <s v="Stone"/>
    <s v="NULL"/>
    <s v="aleta.stone@aol.com"/>
    <n v="134"/>
    <d v="2010-12-01T11:29:00"/>
    <n v="4"/>
    <n v="2"/>
    <s v="HEART IVORY TRELLIS SMALL"/>
    <s v="Debit Card"/>
    <n v="536404"/>
    <n v="22297"/>
    <n v="1.25"/>
    <n v="24"/>
    <n v="7.0000000000000007E-2"/>
    <x v="2"/>
    <n v="30"/>
    <n v="2.1"/>
    <n v="27.9"/>
    <n v="669.59999999999991"/>
  </r>
  <r>
    <n v="389"/>
    <s v="Leif"/>
    <s v="Short"/>
    <s v="NULL"/>
    <s v="leif.short@gmail.com"/>
    <n v="134"/>
    <d v="2010-12-01T11:29:00"/>
    <n v="4"/>
    <n v="18"/>
    <s v="CLEAR DRAWER KNOB ACRYLIC EDWARDIAN"/>
    <s v="Debit Card"/>
    <n v="536404"/>
    <n v="22771"/>
    <n v="1.25"/>
    <n v="12"/>
    <n v="7.0000000000000007E-2"/>
    <x v="2"/>
    <n v="15"/>
    <n v="1.05"/>
    <n v="13.95"/>
    <n v="167.39999999999998"/>
  </r>
  <r>
    <n v="390"/>
    <s v="Lorrie"/>
    <s v="Pollard"/>
    <s v="NULL"/>
    <s v="lorrie.pollard@yahoo.com"/>
    <n v="135"/>
    <d v="2010-12-01T11:29:00"/>
    <n v="4"/>
    <n v="5"/>
    <s v="PINK DRAWER KNOB ACRYLIC EDWARDIAN"/>
    <s v="Debit Card"/>
    <n v="536404"/>
    <n v="22772"/>
    <n v="1.25"/>
    <n v="12"/>
    <n v="0.05"/>
    <x v="2"/>
    <n v="15"/>
    <n v="0.75"/>
    <n v="14.25"/>
    <n v="171"/>
  </r>
  <r>
    <n v="391"/>
    <s v="Vernita"/>
    <s v="Ball"/>
    <s v="NULL"/>
    <s v="vernita.ball@gmail.com"/>
    <n v="135"/>
    <d v="2010-12-01T11:29:00"/>
    <n v="3"/>
    <n v="18"/>
    <s v="GREEN DRAWER KNOB ACRYLIC EDWARDIAN"/>
    <s v="Debit Card"/>
    <n v="536404"/>
    <n v="22773"/>
    <n v="1.25"/>
    <n v="12"/>
    <n v="0.05"/>
    <x v="2"/>
    <n v="15"/>
    <n v="0.75"/>
    <n v="14.25"/>
    <n v="171"/>
  </r>
  <r>
    <n v="392"/>
    <s v="Cyndi"/>
    <s v="Bush"/>
    <s v="NULL"/>
    <s v="cyndi.bush@gmail.com"/>
    <n v="135"/>
    <d v="2010-12-01T11:29:00"/>
    <n v="4"/>
    <n v="25"/>
    <s v="BLUE DRAWER KNOB ACRYLIC EDWARDIAN"/>
    <s v="Debit Card"/>
    <n v="536404"/>
    <n v="22805"/>
    <n v="1.25"/>
    <n v="12"/>
    <n v="0.2"/>
    <x v="2"/>
    <n v="15"/>
    <n v="3"/>
    <n v="12"/>
    <n v="144"/>
  </r>
  <r>
    <n v="393"/>
    <s v="Gertrude"/>
    <s v="Terry"/>
    <s v="NULL"/>
    <s v="gertrude.terry@hotmail.com"/>
    <n v="135"/>
    <d v="2010-12-01T11:29:00"/>
    <n v="4"/>
    <n v="2"/>
    <s v="HEART OF WICKER SMALL"/>
    <s v="Debit Card"/>
    <n v="536404"/>
    <n v="22469"/>
    <n v="1.65"/>
    <n v="12"/>
    <n v="0.05"/>
    <x v="2"/>
    <n v="19.799999999999997"/>
    <n v="0.98999999999999988"/>
    <n v="18.809999999999999"/>
    <n v="225.71999999999997"/>
  </r>
  <r>
    <n v="394"/>
    <s v="Virgen"/>
    <s v="Clemons"/>
    <s v="NULL"/>
    <s v="virgen.clemons@gmail.com"/>
    <n v="136"/>
    <d v="2010-12-01T11:29:00"/>
    <n v="4"/>
    <n v="7"/>
    <s v="SMALL POPCORN HOLDER"/>
    <s v="Debit Card"/>
    <n v="536404"/>
    <n v="22197"/>
    <n v="0.85"/>
    <n v="36"/>
    <n v="0.2"/>
    <x v="2"/>
    <n v="30.599999999999998"/>
    <n v="6.12"/>
    <n v="24.479999999999997"/>
    <n v="881.27999999999986"/>
  </r>
  <r>
    <n v="395"/>
    <s v="Fairy"/>
    <s v="Robinson"/>
    <s v="NULL"/>
    <s v="fairy.robinson@msn.com"/>
    <n v="136"/>
    <d v="2010-12-01T11:29:00"/>
    <n v="4"/>
    <n v="3"/>
    <s v="SET 6 FOOTBALL CELEBRATION CANDLES"/>
    <s v="Debit Card"/>
    <n v="536404"/>
    <n v="21125"/>
    <n v="1.25"/>
    <n v="12"/>
    <n v="0.05"/>
    <x v="2"/>
    <n v="15"/>
    <n v="0.75"/>
    <n v="14.25"/>
    <n v="171"/>
  </r>
  <r>
    <n v="396"/>
    <s v="Laverna"/>
    <s v="Hernandez"/>
    <s v="NULL"/>
    <s v="laverna.hernandez@hotmail.com"/>
    <n v="137"/>
    <d v="2010-12-01T11:29:00"/>
    <n v="4"/>
    <n v="23"/>
    <s v="SET OF 6 GIRLS CELEBRATION CANDLES"/>
    <s v="Debit Card"/>
    <n v="536404"/>
    <n v="21126"/>
    <n v="1.25"/>
    <n v="12"/>
    <n v="7.0000000000000007E-2"/>
    <x v="2"/>
    <n v="15"/>
    <n v="1.05"/>
    <n v="13.95"/>
    <n v="167.39999999999998"/>
  </r>
  <r>
    <n v="397"/>
    <s v="Jeannie"/>
    <s v="Wilcox"/>
    <s v="NULL"/>
    <s v="jeannie.wilcox@yahoo.com"/>
    <n v="137"/>
    <d v="2010-12-01T11:29:00"/>
    <n v="4"/>
    <n v="22"/>
    <s v="ROMANTIC PINKS RIBBONS "/>
    <s v="Debit Card"/>
    <n v="536404"/>
    <s v="85049C"/>
    <n v="1.25"/>
    <n v="12"/>
    <n v="0.1"/>
    <x v="2"/>
    <n v="15"/>
    <n v="1.5"/>
    <n v="13.5"/>
    <n v="162"/>
  </r>
  <r>
    <n v="398"/>
    <s v="Suellen"/>
    <s v="Mercado"/>
    <s v="NULL"/>
    <s v="suellen.mercado@yahoo.com"/>
    <n v="138"/>
    <d v="2010-12-01T11:29:00"/>
    <n v="4"/>
    <n v="16"/>
    <s v="BRIGHT BLUES RIBBONS "/>
    <s v="Debit Card"/>
    <n v="536404"/>
    <s v="85049D"/>
    <n v="1.25"/>
    <n v="12"/>
    <n v="0.1"/>
    <x v="2"/>
    <n v="15"/>
    <n v="1.5"/>
    <n v="13.5"/>
    <n v="162"/>
  </r>
  <r>
    <n v="399"/>
    <s v="Bart"/>
    <s v="Hess"/>
    <s v="NULL"/>
    <s v="bart.hess@aol.com"/>
    <n v="138"/>
    <d v="2010-12-01T11:29:00"/>
    <n v="4"/>
    <n v="6"/>
    <s v="SCANDINAVIAN REDS RIBBONS"/>
    <s v="Debit Card"/>
    <n v="536404"/>
    <s v="85049E"/>
    <n v="1.25"/>
    <n v="12"/>
    <n v="0.2"/>
    <x v="2"/>
    <n v="15"/>
    <n v="3"/>
    <n v="12"/>
    <n v="144"/>
  </r>
  <r>
    <n v="400"/>
    <s v="Alfredo"/>
    <s v="Dodson"/>
    <s v="NULL"/>
    <s v="alfredo.dodson@hotmail.com"/>
    <n v="139"/>
    <d v="2010-12-01T11:29:00"/>
    <n v="4"/>
    <n v="19"/>
    <s v="CHOCOLATE BOX RIBBONS "/>
    <s v="Debit Card"/>
    <n v="536404"/>
    <s v="85049G"/>
    <n v="1.25"/>
    <n v="12"/>
    <n v="7.0000000000000007E-2"/>
    <x v="2"/>
    <n v="15"/>
    <n v="1.05"/>
    <n v="13.95"/>
    <n v="167.39999999999998"/>
  </r>
  <r>
    <n v="401"/>
    <s v="Shaunda"/>
    <s v="Barnett"/>
    <s v="NULL"/>
    <s v="shaunda.barnett@gmail.com"/>
    <n v="139"/>
    <d v="2010-12-01T11:29:00"/>
    <n v="4"/>
    <n v="3"/>
    <s v="PARTY INVITES FOOTBALL"/>
    <s v="Debit Card"/>
    <n v="536404"/>
    <n v="21061"/>
    <n v="0.85"/>
    <n v="12"/>
    <n v="7.0000000000000007E-2"/>
    <x v="2"/>
    <n v="10.199999999999999"/>
    <n v="0.71399999999999997"/>
    <n v="9.4859999999999989"/>
    <n v="113.83199999999999"/>
  </r>
  <r>
    <n v="402"/>
    <s v="Kerrie"/>
    <s v="Morton"/>
    <s v="NULL"/>
    <s v="kerrie.morton@hotmail.com"/>
    <n v="140"/>
    <d v="2010-12-01T11:29:00"/>
    <n v="4"/>
    <n v="15"/>
    <s v="PARTY INVITES JAZZ HEARTS"/>
    <s v="Debit Card"/>
    <n v="536404"/>
    <n v="21063"/>
    <n v="0.85"/>
    <n v="12"/>
    <n v="0.2"/>
    <x v="2"/>
    <n v="10.199999999999999"/>
    <n v="2.04"/>
    <n v="8.16"/>
    <n v="97.92"/>
  </r>
  <r>
    <n v="403"/>
    <s v="Elouise"/>
    <s v="Fry"/>
    <s v="NULL"/>
    <s v="elouise.fry@aol.com"/>
    <n v="140"/>
    <d v="2010-12-01T11:29:00"/>
    <n v="4"/>
    <n v="21"/>
    <s v="PARTY INVITES SPACEMAN"/>
    <s v="Debit Card"/>
    <n v="536404"/>
    <n v="21062"/>
    <n v="0.85"/>
    <n v="12"/>
    <n v="0.2"/>
    <x v="2"/>
    <n v="10.199999999999999"/>
    <n v="2.04"/>
    <n v="8.16"/>
    <n v="97.92"/>
  </r>
  <r>
    <n v="404"/>
    <s v="Augustus"/>
    <s v="Steele"/>
    <s v="NULL"/>
    <s v="augustus.steele@aol.com"/>
    <n v="140"/>
    <d v="2010-12-01T11:29:00"/>
    <n v="4"/>
    <n v="12"/>
    <s v="SET OF 3 BUTTERFLY COOKIE CUTTERS"/>
    <s v="Debit Card"/>
    <n v="536404"/>
    <n v="84380"/>
    <n v="1.25"/>
    <n v="12"/>
    <n v="0.2"/>
    <x v="2"/>
    <n v="15"/>
    <n v="3"/>
    <n v="12"/>
    <n v="144"/>
  </r>
  <r>
    <n v="405"/>
    <s v="Greta"/>
    <s v="Page"/>
    <s v="NULL"/>
    <s v="greta.page@hotmail.com"/>
    <n v="140"/>
    <d v="2010-12-01T11:29:00"/>
    <n v="4"/>
    <n v="3"/>
    <s v="SET OF 3 HEART COOKIE CUTTERS"/>
    <s v="Debit Card"/>
    <n v="536404"/>
    <n v="84378"/>
    <n v="1.25"/>
    <n v="12"/>
    <n v="0.05"/>
    <x v="2"/>
    <n v="15"/>
    <n v="0.75"/>
    <n v="14.25"/>
    <n v="171"/>
  </r>
  <r>
    <n v="406"/>
    <s v="Kerrie"/>
    <s v="O'neill"/>
    <s v="NULL"/>
    <s v="kerrie.o'neill@gmail.com"/>
    <n v="141"/>
    <d v="2010-12-01T11:29:00"/>
    <n v="4"/>
    <n v="18"/>
    <s v="3 PIECE SPACEBOY COOKIE CUTTER SET"/>
    <s v="Debit Card"/>
    <n v="536404"/>
    <n v="22964"/>
    <n v="2.1"/>
    <n v="12"/>
    <n v="0.2"/>
    <x v="2"/>
    <n v="25.200000000000003"/>
    <n v="5.0400000000000009"/>
    <n v="20.160000000000004"/>
    <n v="241.92000000000004"/>
  </r>
  <r>
    <n v="407"/>
    <s v="Dannette"/>
    <s v="Guerrero"/>
    <s v="NULL"/>
    <s v="dannette.guerrero@gmail.com"/>
    <n v="142"/>
    <d v="2010-12-01T11:29:00"/>
    <n v="3"/>
    <n v="16"/>
    <s v="PACK OF 72 SKULL CAKE CASES"/>
    <s v="Debit Card"/>
    <n v="536404"/>
    <n v="21213"/>
    <n v="0.55000000000000004"/>
    <n v="24"/>
    <n v="0.1"/>
    <x v="2"/>
    <n v="13.200000000000001"/>
    <n v="1.3200000000000003"/>
    <n v="11.88"/>
    <n v="285.12"/>
  </r>
  <r>
    <n v="408"/>
    <s v="Edra"/>
    <s v="Fitzgerald"/>
    <s v="NULL"/>
    <s v="edra.fitzgerald@msn.com"/>
    <n v="142"/>
    <d v="2010-12-01T11:29:00"/>
    <n v="4"/>
    <n v="11"/>
    <s v="PACK OF 60 SPACEBOY CAKE CASES"/>
    <s v="Debit Card"/>
    <n v="536404"/>
    <n v="22417"/>
    <n v="0.55000000000000004"/>
    <n v="24"/>
    <n v="0.1"/>
    <x v="2"/>
    <n v="13.200000000000001"/>
    <n v="1.3200000000000003"/>
    <n v="11.88"/>
    <n v="285.12"/>
  </r>
  <r>
    <n v="409"/>
    <s v="Jerome"/>
    <s v="Bolton"/>
    <s v="NULL"/>
    <s v="jerome.bolton@msn.com"/>
    <n v="142"/>
    <d v="2010-12-01T11:29:00"/>
    <n v="4"/>
    <n v="19"/>
    <s v="PACK OF 72 RETROSPOT CAKE CASES"/>
    <s v="Debit Card"/>
    <n v="536404"/>
    <n v="21212"/>
    <n v="0.55000000000000004"/>
    <n v="24"/>
    <n v="7.0000000000000007E-2"/>
    <x v="2"/>
    <n v="13.200000000000001"/>
    <n v="0.92400000000000015"/>
    <n v="12.276000000000002"/>
    <n v="294.62400000000002"/>
  </r>
  <r>
    <n v="410"/>
    <s v="Conception"/>
    <s v="Slater"/>
    <s v="NULL"/>
    <s v="conception.slater@gmail.com"/>
    <n v="143"/>
    <d v="2010-12-01T11:29:00"/>
    <n v="4"/>
    <n v="6"/>
    <s v="72 SWEETHEART FAIRY CAKE CASES"/>
    <s v="Debit Card"/>
    <n v="536404"/>
    <n v="84992"/>
    <n v="0.55000000000000004"/>
    <n v="24"/>
    <n v="0.2"/>
    <x v="2"/>
    <n v="13.200000000000001"/>
    <n v="2.6400000000000006"/>
    <n v="10.56"/>
    <n v="253.44"/>
  </r>
  <r>
    <n v="411"/>
    <s v="Octavia"/>
    <s v="Case"/>
    <s v="(212) 171-1335"/>
    <s v="octavia.case@aol.com"/>
    <n v="144"/>
    <d v="2010-12-01T11:29:00"/>
    <n v="4"/>
    <n v="8"/>
    <s v="PACK OF 60 DINOSAUR CAKE CASES"/>
    <s v="Debit Card"/>
    <n v="536404"/>
    <n v="21975"/>
    <n v="0.55000000000000004"/>
    <n v="24"/>
    <n v="0.05"/>
    <x v="2"/>
    <n v="13.200000000000001"/>
    <n v="0.66000000000000014"/>
    <n v="12.540000000000001"/>
    <n v="300.96000000000004"/>
  </r>
  <r>
    <n v="412"/>
    <s v="Dexter"/>
    <s v="Roberts"/>
    <s v="NULL"/>
    <s v="dexter.roberts@gmail.com"/>
    <n v="145"/>
    <d v="2010-12-01T11:29:00"/>
    <n v="4"/>
    <n v="11"/>
    <s v="LUNCH BAG SUKI  DESIGN "/>
    <s v="Debit Card"/>
    <n v="536404"/>
    <n v="22383"/>
    <n v="1.65"/>
    <n v="10"/>
    <n v="0.2"/>
    <x v="2"/>
    <n v="16.5"/>
    <n v="3.3000000000000003"/>
    <n v="13.2"/>
    <n v="132"/>
  </r>
  <r>
    <n v="413"/>
    <s v="Ginette"/>
    <s v="Edwards"/>
    <s v="NULL"/>
    <s v="ginette.edwards@hotmail.com"/>
    <n v="145"/>
    <d v="2010-12-01T11:29:00"/>
    <n v="4"/>
    <n v="9"/>
    <s v="LUNCH BAG CARS BLUE"/>
    <s v="Debit Card"/>
    <n v="536404"/>
    <n v="20728"/>
    <n v="1.65"/>
    <n v="10"/>
    <n v="0.1"/>
    <x v="2"/>
    <n v="16.5"/>
    <n v="1.6500000000000001"/>
    <n v="14.85"/>
    <n v="148.5"/>
  </r>
  <r>
    <n v="414"/>
    <s v="Romaine"/>
    <s v="Haley"/>
    <s v="NULL"/>
    <s v="romaine.haley@aol.com"/>
    <n v="146"/>
    <d v="2010-12-01T11:29:00"/>
    <n v="4"/>
    <n v="3"/>
    <s v="LUNCH BAG  BLACK SKULL."/>
    <s v="Debit Card"/>
    <n v="536404"/>
    <n v="20727"/>
    <n v="1.65"/>
    <n v="10"/>
    <n v="0.2"/>
    <x v="2"/>
    <n v="16.5"/>
    <n v="3.3000000000000003"/>
    <n v="13.2"/>
    <n v="132"/>
  </r>
  <r>
    <n v="415"/>
    <s v="Gwendolyn"/>
    <s v="Miller"/>
    <s v="NULL"/>
    <s v="gwendolyn.miller@msn.com"/>
    <n v="146"/>
    <d v="2010-12-01T11:29:00"/>
    <n v="4"/>
    <n v="12"/>
    <s v="HEART IVORY TRELLIS LARGE"/>
    <s v="Debit Card"/>
    <n v="536404"/>
    <n v="22296"/>
    <n v="1.65"/>
    <n v="24"/>
    <n v="0.1"/>
    <x v="2"/>
    <n v="39.599999999999994"/>
    <n v="3.9599999999999995"/>
    <n v="35.639999999999993"/>
    <n v="855.3599999999999"/>
  </r>
  <r>
    <n v="416"/>
    <s v="Luke"/>
    <s v="Fuller"/>
    <s v="(516) 363-2253"/>
    <s v="luke.fuller@hotmail.com"/>
    <n v="146"/>
    <d v="2010-12-01T11:32:00"/>
    <n v="4"/>
    <n v="20"/>
    <s v="SET/5 RED RETROSPOT LID GLASS BOWLS"/>
    <s v="Debit Card"/>
    <n v="536405"/>
    <n v="20914"/>
    <n v="2.5499999999999998"/>
    <n v="128"/>
    <n v="0.1"/>
    <x v="2"/>
    <n v="326.39999999999998"/>
    <n v="32.64"/>
    <n v="293.76"/>
    <n v="37601.279999999999"/>
  </r>
  <r>
    <n v="417"/>
    <s v="Zoraida"/>
    <s v="Patton"/>
    <s v="NULL"/>
    <s v="zoraida.patton@aol.com"/>
    <n v="146"/>
    <d v="2010-12-01T11:33:00"/>
    <n v="4"/>
    <n v="6"/>
    <s v="WHITE HANGING HEART T-LIGHT HOLDER"/>
    <s v="Debit Card"/>
    <n v="536406"/>
    <s v="85123A"/>
    <n v="2.5499999999999998"/>
    <n v="8"/>
    <n v="0.05"/>
    <x v="2"/>
    <n v="20.399999999999999"/>
    <n v="1.02"/>
    <n v="19.38"/>
    <n v="155.04"/>
  </r>
  <r>
    <n v="418"/>
    <s v="Georgeanna"/>
    <s v="Webster"/>
    <s v="(805) 885-8830"/>
    <s v="georgeanna.webster@msn.com"/>
    <n v="146"/>
    <d v="2010-12-01T11:33:00"/>
    <n v="4"/>
    <n v="2"/>
    <s v="WHITE METAL LANTERN"/>
    <s v="Debit Card"/>
    <n v="536406"/>
    <n v="71053"/>
    <n v="3.39"/>
    <n v="8"/>
    <n v="7.0000000000000007E-2"/>
    <x v="2"/>
    <n v="27.12"/>
    <n v="1.8984000000000003"/>
    <n v="25.221600000000002"/>
    <n v="201.77280000000002"/>
  </r>
  <r>
    <n v="419"/>
    <s v="Krystin"/>
    <s v="Marshall"/>
    <s v="NULL"/>
    <s v="krystin.marshall@hotmail.com"/>
    <n v="147"/>
    <d v="2010-12-01T11:33:00"/>
    <n v="4"/>
    <n v="26"/>
    <s v="CREAM CUPID HEARTS COAT HANGER"/>
    <s v="Debit Card"/>
    <n v="536406"/>
    <s v="84406B"/>
    <n v="2.75"/>
    <n v="8"/>
    <n v="0.2"/>
    <x v="2"/>
    <n v="22"/>
    <n v="4.4000000000000004"/>
    <n v="17.600000000000001"/>
    <n v="140.80000000000001"/>
  </r>
  <r>
    <n v="420"/>
    <s v="Vince"/>
    <s v="Schneider"/>
    <s v="NULL"/>
    <s v="vince.schneider@hotmail.com"/>
    <n v="148"/>
    <d v="2010-12-01T11:33:00"/>
    <n v="4"/>
    <n v="14"/>
    <s v="EDWARDIAN PARASOL RED"/>
    <s v="Debit Card"/>
    <n v="536406"/>
    <n v="20679"/>
    <n v="4.95"/>
    <n v="6"/>
    <n v="0.05"/>
    <x v="2"/>
    <n v="29.700000000000003"/>
    <n v="1.4850000000000003"/>
    <n v="28.215000000000003"/>
    <n v="169.29000000000002"/>
  </r>
  <r>
    <n v="421"/>
    <s v="Iola"/>
    <s v="Rasmussen"/>
    <s v="NULL"/>
    <s v="iola.rasmussen@yahoo.com"/>
    <n v="149"/>
    <d v="2010-12-01T11:33:00"/>
    <n v="4"/>
    <n v="12"/>
    <s v="RETRO COFFEE MUGS ASSORTED"/>
    <s v="Debit Card"/>
    <n v="536406"/>
    <n v="37370"/>
    <n v="1.06"/>
    <n v="6"/>
    <n v="7.0000000000000007E-2"/>
    <x v="2"/>
    <n v="6.36"/>
    <n v="0.44520000000000004"/>
    <n v="5.9148000000000005"/>
    <n v="35.488800000000005"/>
  </r>
  <r>
    <n v="422"/>
    <s v="Valery"/>
    <s v="Saunders"/>
    <s v="NULL"/>
    <s v="valery.saunders@msn.com"/>
    <n v="149"/>
    <d v="2010-12-01T11:33:00"/>
    <n v="4"/>
    <n v="21"/>
    <s v="SAVE THE PLANET MUG"/>
    <s v="Debit Card"/>
    <n v="536406"/>
    <n v="21871"/>
    <n v="1.06"/>
    <n v="6"/>
    <n v="7.0000000000000007E-2"/>
    <x v="2"/>
    <n v="6.36"/>
    <n v="0.44520000000000004"/>
    <n v="5.9148000000000005"/>
    <n v="35.488800000000005"/>
  </r>
  <r>
    <n v="423"/>
    <s v="Johna"/>
    <s v="Powers"/>
    <s v="NULL"/>
    <s v="johna.powers@hotmail.com"/>
    <n v="150"/>
    <d v="2010-12-01T11:33:00"/>
    <n v="4"/>
    <n v="7"/>
    <s v="VINTAGE BILLBOARD DRINK ME MUG"/>
    <s v="Debit Card"/>
    <n v="536406"/>
    <n v="21071"/>
    <n v="1.06"/>
    <n v="6"/>
    <n v="0.1"/>
    <x v="2"/>
    <n v="6.36"/>
    <n v="0.63600000000000012"/>
    <n v="5.7240000000000002"/>
    <n v="34.344000000000001"/>
  </r>
  <r>
    <n v="424"/>
    <s v="Charleen"/>
    <s v="Hurst"/>
    <s v="NULL"/>
    <s v="charleen.hurst@yahoo.com"/>
    <n v="150"/>
    <d v="2010-12-01T11:33:00"/>
    <n v="4"/>
    <n v="3"/>
    <s v="VINTAGE BILLBOARD LOVE/HATE MUG"/>
    <s v="Debit Card"/>
    <n v="536406"/>
    <n v="21068"/>
    <n v="1.06"/>
    <n v="6"/>
    <n v="0.2"/>
    <x v="2"/>
    <n v="6.36"/>
    <n v="1.2720000000000002"/>
    <n v="5.0880000000000001"/>
    <n v="30.527999999999999"/>
  </r>
  <r>
    <n v="425"/>
    <s v="Augustina"/>
    <s v="Joyner"/>
    <s v="NULL"/>
    <s v="augustina.joyner@aol.com"/>
    <n v="150"/>
    <d v="2010-12-01T11:33:00"/>
    <n v="4"/>
    <n v="17"/>
    <s v="WOOD 2 DRAWER CABINET WHITE FINISH"/>
    <s v="Debit Card"/>
    <n v="536406"/>
    <n v="82483"/>
    <n v="4.95"/>
    <n v="4"/>
    <n v="7.0000000000000007E-2"/>
    <x v="2"/>
    <n v="19.8"/>
    <n v="1.3860000000000001"/>
    <n v="18.414000000000001"/>
    <n v="73.656000000000006"/>
  </r>
  <r>
    <n v="426"/>
    <s v="Daisy"/>
    <s v="Ward"/>
    <s v="NULL"/>
    <s v="daisy.ward@msn.com"/>
    <n v="150"/>
    <d v="2010-12-01T11:33:00"/>
    <n v="4"/>
    <n v="25"/>
    <s v="WOOD S/3 CABINET ANT WHITE FINISH"/>
    <s v="Debit Card"/>
    <n v="536406"/>
    <n v="82486"/>
    <n v="6.95"/>
    <n v="4"/>
    <n v="7.0000000000000007E-2"/>
    <x v="2"/>
    <n v="27.8"/>
    <n v="1.9460000000000002"/>
    <n v="25.853999999999999"/>
    <n v="103.416"/>
  </r>
  <r>
    <n v="427"/>
    <s v="Latonya"/>
    <s v="Dixon"/>
    <s v="NULL"/>
    <s v="latonya.dixon@hotmail.com"/>
    <n v="151"/>
    <d v="2010-12-01T11:33:00"/>
    <n v="4"/>
    <n v="17"/>
    <s v="WOODEN PICTURE FRAME WHITE FINISH"/>
    <s v="Debit Card"/>
    <n v="536406"/>
    <n v="82482"/>
    <n v="2.1"/>
    <n v="6"/>
    <n v="0.1"/>
    <x v="2"/>
    <n v="12.600000000000001"/>
    <n v="1.2600000000000002"/>
    <n v="11.340000000000002"/>
    <n v="68.040000000000006"/>
  </r>
  <r>
    <n v="428"/>
    <s v="Hipolito"/>
    <s v="Padilla"/>
    <s v="NULL"/>
    <s v="hipolito.padilla@hotmail.com"/>
    <n v="151"/>
    <d v="2010-12-01T11:33:00"/>
    <n v="4"/>
    <n v="26"/>
    <s v="WOODEN FRAME ANTIQUE WHITE "/>
    <s v="Debit Card"/>
    <n v="536406"/>
    <s v="82494L"/>
    <n v="2.5499999999999998"/>
    <n v="6"/>
    <n v="0.1"/>
    <x v="2"/>
    <n v="15.299999999999999"/>
    <n v="1.53"/>
    <n v="13.77"/>
    <n v="82.62"/>
  </r>
  <r>
    <n v="429"/>
    <s v="Emmett"/>
    <s v="Casey"/>
    <s v="NULL"/>
    <s v="emmett.casey@yahoo.com"/>
    <n v="152"/>
    <d v="2010-12-01T11:33:00"/>
    <n v="4"/>
    <n v="6"/>
    <s v="KNITTED UNION FLAG HOT WATER BOTTLE"/>
    <s v="Debit Card"/>
    <n v="536406"/>
    <s v="84029G"/>
    <n v="3.39"/>
    <n v="6"/>
    <n v="0.2"/>
    <x v="2"/>
    <n v="20.34"/>
    <n v="4.0680000000000005"/>
    <n v="16.271999999999998"/>
    <n v="97.631999999999991"/>
  </r>
  <r>
    <n v="430"/>
    <s v="Kandi"/>
    <s v="Mcneil"/>
    <s v="NULL"/>
    <s v="kandi.mcneil@msn.com"/>
    <n v="152"/>
    <d v="2010-12-01T11:33:00"/>
    <n v="4"/>
    <n v="22"/>
    <s v="RED WOOLLY HOTTIE WHITE HEART."/>
    <s v="Debit Card"/>
    <n v="536406"/>
    <s v="84029E"/>
    <n v="3.39"/>
    <n v="6"/>
    <n v="0.2"/>
    <x v="2"/>
    <n v="20.34"/>
    <n v="4.0680000000000005"/>
    <n v="16.271999999999998"/>
    <n v="97.631999999999991"/>
  </r>
  <r>
    <n v="431"/>
    <s v="Luciano"/>
    <s v="Marsh"/>
    <s v="NULL"/>
    <s v="luciano.marsh@aol.com"/>
    <n v="152"/>
    <d v="2010-12-01T11:33:00"/>
    <n v="4"/>
    <n v="16"/>
    <s v="SET 7 BABUSHKA NESTING BOXES"/>
    <s v="Debit Card"/>
    <n v="536406"/>
    <n v="22752"/>
    <n v="7.65"/>
    <n v="2"/>
    <n v="7.0000000000000007E-2"/>
    <x v="2"/>
    <n v="15.3"/>
    <n v="1.0710000000000002"/>
    <n v="14.229000000000001"/>
    <n v="28.458000000000002"/>
  </r>
  <r>
    <n v="432"/>
    <s v="Julius"/>
    <s v="Holt"/>
    <s v="NULL"/>
    <s v="julius.holt@aol.com"/>
    <n v="153"/>
    <d v="2010-12-01T11:33:00"/>
    <n v="4"/>
    <n v="16"/>
    <s v="IVORY EMBROIDERED QUILT "/>
    <s v="Debit Card"/>
    <n v="536406"/>
    <n v="22803"/>
    <n v="35.75"/>
    <n v="2"/>
    <n v="7.0000000000000007E-2"/>
    <x v="2"/>
    <n v="71.5"/>
    <n v="5.0050000000000008"/>
    <n v="66.495000000000005"/>
    <n v="132.99"/>
  </r>
  <r>
    <n v="433"/>
    <s v="Holly"/>
    <s v="Nieves"/>
    <s v="NULL"/>
    <s v="holly.nieves@aol.com"/>
    <n v="153"/>
    <d v="2010-12-01T11:33:00"/>
    <n v="4"/>
    <n v="8"/>
    <s v="GLASS STAR FROSTED T-LIGHT HOLDER"/>
    <s v="Debit Card"/>
    <n v="536406"/>
    <n v="21730"/>
    <n v="4.25"/>
    <n v="6"/>
    <n v="7.0000000000000007E-2"/>
    <x v="2"/>
    <n v="25.5"/>
    <n v="1.7850000000000001"/>
    <n v="23.715"/>
    <n v="142.29"/>
  </r>
  <r>
    <n v="434"/>
    <s v="Douglass"/>
    <s v="Little"/>
    <s v="NULL"/>
    <s v="douglass.little@hotmail.com"/>
    <n v="153"/>
    <d v="2010-12-01T11:34:00"/>
    <n v="4"/>
    <n v="15"/>
    <s v="HAND WARMER RED POLKA DOT"/>
    <s v="Debit Card"/>
    <n v="536407"/>
    <n v="22632"/>
    <n v="1.85"/>
    <n v="6"/>
    <n v="0.05"/>
    <x v="2"/>
    <n v="11.100000000000001"/>
    <n v="0.55500000000000005"/>
    <n v="10.545000000000002"/>
    <n v="63.27000000000001"/>
  </r>
  <r>
    <n v="435"/>
    <s v="Izola"/>
    <s v="Hobbs"/>
    <s v="NULL"/>
    <s v="izola.hobbs@gmail.com"/>
    <n v="154"/>
    <d v="2010-12-01T11:34:00"/>
    <n v="4"/>
    <n v="12"/>
    <s v="HAND WARMER UNION JACK"/>
    <s v="Debit Card"/>
    <n v="536407"/>
    <n v="22633"/>
    <n v="1.85"/>
    <n v="6"/>
    <n v="0.1"/>
    <x v="2"/>
    <n v="11.100000000000001"/>
    <n v="1.1100000000000001"/>
    <n v="9.990000000000002"/>
    <n v="59.940000000000012"/>
  </r>
  <r>
    <n v="436"/>
    <s v="Honey"/>
    <s v="Camacho"/>
    <s v="NULL"/>
    <s v="honey.camacho@gmail.com"/>
    <n v="155"/>
    <d v="2010-12-01T11:41:00"/>
    <n v="4"/>
    <n v="8"/>
    <s v="MAGIC DRAWING SLATE DINOSAUR"/>
    <s v="Debit Card"/>
    <n v="536408"/>
    <n v="22537"/>
    <n v="0.42"/>
    <n v="24"/>
    <n v="0.1"/>
    <x v="2"/>
    <n v="10.08"/>
    <n v="1.008"/>
    <n v="9.0719999999999992"/>
    <n v="217.72799999999998"/>
  </r>
  <r>
    <n v="437"/>
    <s v="Laureen"/>
    <s v="Barry"/>
    <s v="NULL"/>
    <s v="laureen.barry@yahoo.com"/>
    <n v="156"/>
    <d v="2010-12-01T11:41:00"/>
    <n v="4"/>
    <n v="18"/>
    <s v="MAGIC DRAWING SLATE BAKE A CAKE "/>
    <s v="Debit Card"/>
    <n v="536408"/>
    <n v="22533"/>
    <n v="0.42"/>
    <n v="24"/>
    <n v="0.2"/>
    <x v="2"/>
    <n v="10.08"/>
    <n v="2.016"/>
    <n v="8.0640000000000001"/>
    <n v="193.536"/>
  </r>
  <r>
    <n v="438"/>
    <s v="Katharine"/>
    <s v="Herrera"/>
    <s v="NULL"/>
    <s v="katharine.herrera@hotmail.com"/>
    <n v="156"/>
    <d v="2010-12-01T11:41:00"/>
    <n v="4"/>
    <n v="17"/>
    <s v="12 PENCILS TALL TUBE SKULLS"/>
    <s v="Debit Card"/>
    <n v="536408"/>
    <n v="20982"/>
    <n v="0.85"/>
    <n v="12"/>
    <n v="0.05"/>
    <x v="2"/>
    <n v="10.199999999999999"/>
    <n v="0.51"/>
    <n v="9.69"/>
    <n v="116.28"/>
  </r>
  <r>
    <n v="439"/>
    <s v="Sunshine"/>
    <s v="Rosario"/>
    <s v="NULL"/>
    <s v="sunshine.rosario@aol.com"/>
    <n v="156"/>
    <d v="2010-12-01T11:41:00"/>
    <n v="4"/>
    <n v="6"/>
    <s v="CHOCOLATE CALCULATOR"/>
    <s v="Debit Card"/>
    <n v="536408"/>
    <n v="21832"/>
    <n v="1.65"/>
    <n v="12"/>
    <n v="7.0000000000000007E-2"/>
    <x v="2"/>
    <n v="19.799999999999997"/>
    <n v="1.3859999999999999"/>
    <n v="18.413999999999998"/>
    <n v="220.96799999999996"/>
  </r>
  <r>
    <n v="440"/>
    <s v="Yevette"/>
    <s v="Todd"/>
    <s v="NULL"/>
    <s v="yevette.todd@aol.com"/>
    <n v="157"/>
    <d v="2010-12-01T11:41:00"/>
    <n v="4"/>
    <n v="4"/>
    <s v="RED  HARMONICA IN BOX "/>
    <s v="Debit Card"/>
    <n v="536408"/>
    <n v="21915"/>
    <n v="1.25"/>
    <n v="12"/>
    <n v="0.1"/>
    <x v="2"/>
    <n v="15"/>
    <n v="1.5"/>
    <n v="13.5"/>
    <n v="162"/>
  </r>
  <r>
    <n v="441"/>
    <s v="Dorthea"/>
    <s v="Walker"/>
    <s v="NULL"/>
    <s v="dorthea.walker@aol.com"/>
    <n v="157"/>
    <d v="2010-12-01T11:41:00"/>
    <n v="4"/>
    <n v="7"/>
    <s v="BLUE HARMONICA IN BOX "/>
    <s v="Debit Card"/>
    <n v="536408"/>
    <n v="21914"/>
    <n v="1.25"/>
    <n v="12"/>
    <n v="7.0000000000000007E-2"/>
    <x v="2"/>
    <n v="15"/>
    <n v="1.05"/>
    <n v="13.95"/>
    <n v="167.39999999999998"/>
  </r>
  <r>
    <n v="442"/>
    <s v="Alane"/>
    <s v="Munoz"/>
    <s v="(914) 706-7576"/>
    <s v="alane.munoz@gmail.com"/>
    <n v="158"/>
    <d v="2010-12-01T11:41:00"/>
    <n v="4"/>
    <n v="24"/>
    <s v="SKULLS  WATER TRANSFER TATTOOS "/>
    <s v="Debit Card"/>
    <n v="536408"/>
    <n v="21544"/>
    <n v="0.85"/>
    <n v="12"/>
    <n v="0.1"/>
    <x v="2"/>
    <n v="10.199999999999999"/>
    <n v="1.02"/>
    <n v="9.18"/>
    <n v="110.16"/>
  </r>
  <r>
    <n v="443"/>
    <s v="Ayana"/>
    <s v="Keith"/>
    <s v="(805) 230-2101"/>
    <s v="ayana.keith@hotmail.com"/>
    <n v="159"/>
    <d v="2010-12-01T11:41:00"/>
    <n v="4"/>
    <n v="13"/>
    <s v="PACK 3 BOXES BIRD PANNETONE "/>
    <s v="Debit Card"/>
    <n v="536408"/>
    <n v="22813"/>
    <n v="1.95"/>
    <n v="12"/>
    <n v="0.2"/>
    <x v="2"/>
    <n v="23.4"/>
    <n v="4.68"/>
    <n v="18.72"/>
    <n v="224.64"/>
  </r>
  <r>
    <n v="444"/>
    <s v="Caridad"/>
    <s v="Compton"/>
    <s v="NULL"/>
    <s v="caridad.compton@aol.com"/>
    <n v="160"/>
    <d v="2010-12-01T11:41:00"/>
    <n v="4"/>
    <n v="21"/>
    <s v="HOT WATER BOTTLE TEA AND SYMPATHY"/>
    <s v="Debit Card"/>
    <n v="536408"/>
    <n v="22114"/>
    <n v="3.95"/>
    <n v="4"/>
    <n v="7.0000000000000007E-2"/>
    <x v="2"/>
    <n v="15.8"/>
    <n v="1.1060000000000001"/>
    <n v="14.694000000000001"/>
    <n v="58.776000000000003"/>
  </r>
  <r>
    <n v="445"/>
    <s v="Earline"/>
    <s v="Ballard"/>
    <s v="NULL"/>
    <s v="earline.ballard@hotmail.com"/>
    <n v="160"/>
    <d v="2010-12-01T11:41:00"/>
    <n v="4"/>
    <n v="15"/>
    <s v="RED WOOLLY HOTTIE WHITE HEART."/>
    <s v="Debit Card"/>
    <n v="536408"/>
    <s v="84029E"/>
    <n v="3.75"/>
    <n v="4"/>
    <n v="7.0000000000000007E-2"/>
    <x v="2"/>
    <n v="15"/>
    <n v="1.05"/>
    <n v="13.95"/>
    <n v="55.8"/>
  </r>
  <r>
    <n v="446"/>
    <s v="Nathanael"/>
    <s v="Bradley"/>
    <s v="NULL"/>
    <s v="nathanael.bradley@aol.com"/>
    <n v="160"/>
    <d v="2010-12-01T11:41:00"/>
    <n v="4"/>
    <n v="18"/>
    <s v="WHITE SKULL HOT WATER BOTTLE "/>
    <s v="Debit Card"/>
    <n v="536408"/>
    <n v="21479"/>
    <n v="3.75"/>
    <n v="4"/>
    <n v="0.1"/>
    <x v="2"/>
    <n v="15"/>
    <n v="1.5"/>
    <n v="13.5"/>
    <n v="54"/>
  </r>
  <r>
    <n v="447"/>
    <s v="Chasidy"/>
    <s v="Tran"/>
    <s v="NULL"/>
    <s v="chasidy.tran@msn.com"/>
    <n v="160"/>
    <d v="2010-12-01T11:41:00"/>
    <n v="4"/>
    <n v="11"/>
    <s v="3 PIECE SPACEBOY COOKIE CUTTER SET"/>
    <s v="Debit Card"/>
    <n v="536408"/>
    <n v="22964"/>
    <n v="2.1"/>
    <n v="6"/>
    <n v="0.05"/>
    <x v="2"/>
    <n v="12.600000000000001"/>
    <n v="0.63000000000000012"/>
    <n v="11.97"/>
    <n v="71.820000000000007"/>
  </r>
  <r>
    <n v="448"/>
    <s v="Janella"/>
    <s v="Bright"/>
    <s v="(507) 616-2958"/>
    <s v="janella.bright@aol.com"/>
    <n v="161"/>
    <d v="2010-12-01T11:41:00"/>
    <n v="4"/>
    <n v="24"/>
    <s v="SET OF 20 KIDS COOKIE CUTTERS"/>
    <s v="Debit Card"/>
    <n v="536408"/>
    <n v="84375"/>
    <n v="2.1"/>
    <n v="12"/>
    <n v="7.0000000000000007E-2"/>
    <x v="2"/>
    <n v="25.200000000000003"/>
    <n v="1.7640000000000005"/>
    <n v="23.436000000000003"/>
    <n v="281.23200000000003"/>
  </r>
  <r>
    <n v="449"/>
    <s v="Josie"/>
    <s v="Schultz"/>
    <s v="NULL"/>
    <s v="josie.schultz@hotmail.com"/>
    <n v="161"/>
    <d v="2010-12-01T11:41:00"/>
    <n v="4"/>
    <n v="22"/>
    <s v="10 COLOUR SPACEBOY PEN"/>
    <s v="Debit Card"/>
    <n v="536408"/>
    <n v="22418"/>
    <n v="0.85"/>
    <n v="24"/>
    <n v="0.05"/>
    <x v="2"/>
    <n v="20.399999999999999"/>
    <n v="1.02"/>
    <n v="19.38"/>
    <n v="465.12"/>
  </r>
  <r>
    <n v="450"/>
    <s v="Ellsworth"/>
    <s v="Michael"/>
    <s v="NULL"/>
    <s v="ellsworth.michael@yahoo.com"/>
    <n v="161"/>
    <d v="2010-12-01T11:41:00"/>
    <n v="4"/>
    <n v="7"/>
    <s v="VICTORIAN GLASS HANGING T-LIGHT"/>
    <s v="Debit Card"/>
    <n v="536408"/>
    <n v="22178"/>
    <n v="1.25"/>
    <n v="12"/>
    <n v="0.05"/>
    <x v="2"/>
    <n v="15"/>
    <n v="0.75"/>
    <n v="14.25"/>
    <n v="171"/>
  </r>
  <r>
    <n v="451"/>
    <s v="Jennette"/>
    <s v="Wooten"/>
    <s v="NULL"/>
    <s v="jennette.wooten@msn.com"/>
    <n v="162"/>
    <d v="2010-12-01T11:41:00"/>
    <n v="4"/>
    <n v="18"/>
    <s v="SINGLE HEART ZINC T-LIGHT HOLDER"/>
    <s v="Debit Card"/>
    <n v="536408"/>
    <s v="84970L"/>
    <n v="0.95"/>
    <n v="12"/>
    <n v="7.0000000000000007E-2"/>
    <x v="2"/>
    <n v="11.399999999999999"/>
    <n v="0.79799999999999993"/>
    <n v="10.601999999999999"/>
    <n v="127.22399999999999"/>
  </r>
  <r>
    <n v="452"/>
    <s v="Cassandra"/>
    <s v="Nichols"/>
    <s v="NULL"/>
    <s v="cassandra.nichols@yahoo.com"/>
    <n v="162"/>
    <d v="2010-12-01T11:41:00"/>
    <n v="4"/>
    <n v="21"/>
    <s v="RED HANGING HEART T-LIGHT HOLDER"/>
    <s v="Debit Card"/>
    <n v="536408"/>
    <n v="21733"/>
    <n v="2.95"/>
    <n v="6"/>
    <n v="7.0000000000000007E-2"/>
    <x v="2"/>
    <n v="17.700000000000003"/>
    <n v="1.2390000000000003"/>
    <n v="16.461000000000002"/>
    <n v="98.76600000000002"/>
  </r>
  <r>
    <n v="453"/>
    <s v="Courtney"/>
    <s v="Wyatt"/>
    <s v="NULL"/>
    <s v="courtney.wyatt@gmail.com"/>
    <n v="162"/>
    <d v="2010-12-01T11:41:00"/>
    <n v="4"/>
    <n v="3"/>
    <s v="HANGING METAL STAR LANTERN"/>
    <s v="Debit Card"/>
    <n v="536408"/>
    <n v="22465"/>
    <n v="1.65"/>
    <n v="12"/>
    <n v="0.1"/>
    <x v="2"/>
    <n v="19.799999999999997"/>
    <n v="1.9799999999999998"/>
    <n v="17.819999999999997"/>
    <n v="213.83999999999997"/>
  </r>
  <r>
    <n v="454"/>
    <s v="Terese"/>
    <s v="Palmer"/>
    <s v="NULL"/>
    <s v="terese.palmer@hotmail.com"/>
    <n v="163"/>
    <d v="2010-12-01T11:41:00"/>
    <n v="4"/>
    <n v="12"/>
    <s v="SILVER HANGING T-LIGHT HOLDER"/>
    <s v="Debit Card"/>
    <n v="536408"/>
    <n v="84949"/>
    <n v="1.65"/>
    <n v="6"/>
    <n v="0.1"/>
    <x v="2"/>
    <n v="9.8999999999999986"/>
    <n v="0.98999999999999988"/>
    <n v="8.9099999999999984"/>
    <n v="53.459999999999994"/>
  </r>
  <r>
    <n v="455"/>
    <s v="Sherita"/>
    <s v="Cherry"/>
    <s v="NULL"/>
    <s v="sherita.cherry@gmail.com"/>
    <n v="163"/>
    <d v="2010-12-01T11:41:00"/>
    <n v="4"/>
    <n v="18"/>
    <s v="DOORMAT RED RETROSPOT"/>
    <s v="Debit Card"/>
    <n v="536408"/>
    <n v="20685"/>
    <n v="7.95"/>
    <n v="2"/>
    <n v="0.2"/>
    <x v="2"/>
    <n v="15.9"/>
    <n v="3.18"/>
    <n v="12.72"/>
    <n v="25.44"/>
  </r>
  <r>
    <n v="456"/>
    <s v="Serina"/>
    <s v="Hensley"/>
    <s v="NULL"/>
    <s v="serina.hensley@yahoo.com"/>
    <n v="164"/>
    <d v="2010-12-01T11:41:00"/>
    <n v="4"/>
    <n v="4"/>
    <s v="DOORMAT HEARTS"/>
    <s v="Debit Card"/>
    <n v="536408"/>
    <n v="48194"/>
    <n v="7.95"/>
    <n v="2"/>
    <n v="0.05"/>
    <x v="2"/>
    <n v="15.9"/>
    <n v="0.79500000000000004"/>
    <n v="15.105"/>
    <n v="30.21"/>
  </r>
  <r>
    <n v="457"/>
    <s v="Jeni"/>
    <s v="Farley"/>
    <s v="NULL"/>
    <s v="jeni.farley@aol.com"/>
    <n v="164"/>
    <d v="2010-12-01T11:41:00"/>
    <n v="4"/>
    <n v="10"/>
    <s v="NATURAL SLATE RECTANGLE CHALKBOARD"/>
    <s v="Debit Card"/>
    <n v="536408"/>
    <n v="22488"/>
    <n v="1.65"/>
    <n v="12"/>
    <n v="0.05"/>
    <x v="2"/>
    <n v="19.799999999999997"/>
    <n v="0.98999999999999988"/>
    <n v="18.809999999999999"/>
    <n v="225.71999999999997"/>
  </r>
  <r>
    <n v="458"/>
    <s v="Everett"/>
    <s v="Vega"/>
    <s v="NULL"/>
    <s v="everett.vega@yahoo.com"/>
    <n v="164"/>
    <d v="2010-12-01T11:41:00"/>
    <n v="4"/>
    <n v="14"/>
    <s v="LOVEBIRD HANGING DECORATION WHITE "/>
    <s v="Debit Card"/>
    <n v="536408"/>
    <n v="22219"/>
    <n v="0.85"/>
    <n v="12"/>
    <n v="0.1"/>
    <x v="2"/>
    <n v="10.199999999999999"/>
    <n v="1.02"/>
    <n v="9.18"/>
    <n v="110.16"/>
  </r>
  <r>
    <n v="459"/>
    <s v="Latosha"/>
    <s v="Dalton"/>
    <s v="(661) 529-4501"/>
    <s v="latosha.dalton@yahoo.com"/>
    <n v="165"/>
    <d v="2010-12-01T11:41:00"/>
    <n v="4"/>
    <n v="4"/>
    <s v="ASSORTED COLOUR BIRD ORNAMENT"/>
    <s v="Debit Card"/>
    <n v="536408"/>
    <n v="84879"/>
    <n v="1.69"/>
    <n v="8"/>
    <n v="0.05"/>
    <x v="2"/>
    <n v="13.52"/>
    <n v="0.67600000000000005"/>
    <n v="12.843999999999999"/>
    <n v="102.752"/>
  </r>
  <r>
    <n v="460"/>
    <s v="Romelia"/>
    <s v="Myers"/>
    <s v="NULL"/>
    <s v="romelia.myers@msn.com"/>
    <n v="165"/>
    <d v="2010-12-01T11:41:00"/>
    <n v="4"/>
    <n v="23"/>
    <s v="HOME BUILDING BLOCK WORD"/>
    <s v="Debit Card"/>
    <n v="536408"/>
    <n v="21754"/>
    <n v="5.95"/>
    <n v="3"/>
    <n v="0.2"/>
    <x v="2"/>
    <n v="17.850000000000001"/>
    <n v="3.5700000000000003"/>
    <n v="14.280000000000001"/>
    <n v="42.84"/>
  </r>
  <r>
    <n v="461"/>
    <s v="Effie"/>
    <s v="Jenkins"/>
    <s v="(631) 477-1277"/>
    <s v="effie.jenkins@msn.com"/>
    <n v="165"/>
    <d v="2010-12-01T11:41:00"/>
    <n v="4"/>
    <n v="2"/>
    <s v="LOVE BUILDING BLOCK WORD"/>
    <s v="Debit Card"/>
    <n v="536408"/>
    <n v="21755"/>
    <n v="5.95"/>
    <n v="3"/>
    <n v="0.05"/>
    <x v="2"/>
    <n v="17.850000000000001"/>
    <n v="0.89250000000000007"/>
    <n v="16.957500000000003"/>
    <n v="50.872500000000009"/>
  </r>
  <r>
    <n v="462"/>
    <s v="Efren"/>
    <s v="Oliver"/>
    <s v="NULL"/>
    <s v="efren.oliver@gmail.com"/>
    <n v="166"/>
    <d v="2010-12-01T11:41:00"/>
    <n v="4"/>
    <n v="10"/>
    <s v="PHOTO FRAME CORNICE"/>
    <s v="Debit Card"/>
    <n v="536408"/>
    <n v="22766"/>
    <n v="2.95"/>
    <n v="8"/>
    <n v="0.1"/>
    <x v="2"/>
    <n v="23.6"/>
    <n v="2.3600000000000003"/>
    <n v="21.240000000000002"/>
    <n v="169.92000000000002"/>
  </r>
  <r>
    <n v="463"/>
    <s v="Jerlene"/>
    <s v="Rios"/>
    <s v="NULL"/>
    <s v="jerlene.rios@yahoo.com"/>
    <n v="166"/>
    <d v="2010-12-01T11:41:00"/>
    <n v="4"/>
    <n v="11"/>
    <s v="PENS ASSORTED FUNNY FACE"/>
    <s v="Debit Card"/>
    <n v="536408"/>
    <n v="22610"/>
    <n v="0.85"/>
    <n v="36"/>
    <n v="0.2"/>
    <x v="2"/>
    <n v="30.599999999999998"/>
    <n v="6.12"/>
    <n v="24.479999999999997"/>
    <n v="881.27999999999986"/>
  </r>
  <r>
    <n v="464"/>
    <s v="Bess"/>
    <s v="Mcbride"/>
    <s v="NULL"/>
    <s v="bess.mcbride@yahoo.com"/>
    <n v="167"/>
    <d v="2010-12-01T11:41:00"/>
    <n v="4"/>
    <n v="12"/>
    <s v="CARD CIRCUS PARADE"/>
    <s v="Debit Card"/>
    <n v="536408"/>
    <n v="22716"/>
    <n v="0.42"/>
    <n v="12"/>
    <n v="0.05"/>
    <x v="2"/>
    <n v="5.04"/>
    <n v="0.252"/>
    <n v="4.7880000000000003"/>
    <n v="57.456000000000003"/>
  </r>
  <r>
    <n v="465"/>
    <s v="Birdie"/>
    <s v="Kramer"/>
    <s v="(248) 725-2174"/>
    <s v="birdie.kramer@hotmail.com"/>
    <n v="167"/>
    <d v="2010-12-01T11:41:00"/>
    <n v="4"/>
    <n v="10"/>
    <s v="WRAP COWBOYS  "/>
    <s v="Debit Card"/>
    <n v="536408"/>
    <n v="22706"/>
    <n v="0.42"/>
    <n v="25"/>
    <n v="0.2"/>
    <x v="2"/>
    <n v="10.5"/>
    <n v="2.1"/>
    <n v="8.4"/>
    <n v="210"/>
  </r>
  <r>
    <n v="466"/>
    <s v="Collen"/>
    <s v="Hayes"/>
    <s v="NULL"/>
    <s v="collen.hayes@yahoo.com"/>
    <n v="167"/>
    <d v="2010-12-01T11:41:00"/>
    <n v="4"/>
    <n v="13"/>
    <s v="AIRLINE BAG VINTAGE TOKYO 78"/>
    <s v="Debit Card"/>
    <n v="536408"/>
    <n v="22371"/>
    <n v="4.25"/>
    <n v="4"/>
    <n v="0.05"/>
    <x v="2"/>
    <n v="17"/>
    <n v="0.85000000000000009"/>
    <n v="16.149999999999999"/>
    <n v="64.599999999999994"/>
  </r>
  <r>
    <n v="467"/>
    <s v="Clare"/>
    <s v="Neal"/>
    <s v="NULL"/>
    <s v="clare.neal@msn.com"/>
    <n v="167"/>
    <d v="2010-12-01T11:41:00"/>
    <n v="4"/>
    <n v="7"/>
    <s v="RED RETROSPOT UMBRELLA"/>
    <s v="Debit Card"/>
    <n v="536408"/>
    <s v="85014B"/>
    <n v="5.95"/>
    <n v="3"/>
    <n v="0.05"/>
    <x v="2"/>
    <n v="17.850000000000001"/>
    <n v="0.89250000000000007"/>
    <n v="16.957500000000003"/>
    <n v="50.872500000000009"/>
  </r>
  <r>
    <n v="468"/>
    <s v="Jeanett"/>
    <s v="Herman"/>
    <s v="NULL"/>
    <s v="jeanett.herman@hotmail.com"/>
    <n v="168"/>
    <d v="2010-12-01T11:41:00"/>
    <n v="4"/>
    <n v="6"/>
    <s v="BLACK/BLUE POLKADOT UMBRELLA"/>
    <s v="Debit Card"/>
    <n v="536408"/>
    <s v="85014A"/>
    <n v="5.95"/>
    <n v="3"/>
    <n v="0.1"/>
    <x v="2"/>
    <n v="17.850000000000001"/>
    <n v="1.7850000000000001"/>
    <n v="16.065000000000001"/>
    <n v="48.195000000000007"/>
  </r>
  <r>
    <n v="469"/>
    <s v="Micki"/>
    <s v="Rutledge"/>
    <s v="NULL"/>
    <s v="micki.rutledge@aol.com"/>
    <n v="168"/>
    <d v="2010-12-01T11:41:00"/>
    <n v="4"/>
    <n v="11"/>
    <s v="RED 3 PIECE RETROSPOT CUTLERY SET"/>
    <s v="Debit Card"/>
    <n v="536408"/>
    <s v="84997B"/>
    <n v="3.75"/>
    <n v="6"/>
    <n v="7.0000000000000007E-2"/>
    <x v="2"/>
    <n v="22.5"/>
    <n v="1.5750000000000002"/>
    <n v="20.925000000000001"/>
    <n v="125.55000000000001"/>
  </r>
  <r>
    <n v="470"/>
    <s v="Loise"/>
    <s v="Walker"/>
    <s v="NULL"/>
    <s v="loise.walker@aol.com"/>
    <n v="168"/>
    <d v="2010-12-01T11:41:00"/>
    <n v="4"/>
    <n v="12"/>
    <s v="PACK OF 72 RETROSPOT CAKE CASES"/>
    <s v="Debit Card"/>
    <n v="536408"/>
    <n v="21212"/>
    <n v="0.55000000000000004"/>
    <n v="24"/>
    <n v="7.0000000000000007E-2"/>
    <x v="2"/>
    <n v="13.200000000000001"/>
    <n v="0.92400000000000015"/>
    <n v="12.276000000000002"/>
    <n v="294.62400000000002"/>
  </r>
  <r>
    <n v="471"/>
    <s v="Burma"/>
    <s v="Summers"/>
    <s v="NULL"/>
    <s v="burma.summers@yahoo.com"/>
    <n v="168"/>
    <d v="2010-12-01T11:41:00"/>
    <n v="4"/>
    <n v="22"/>
    <s v="SET OF 72 RETROSPOT PAPER  DOILIES"/>
    <s v="Debit Card"/>
    <n v="536408"/>
    <n v="21210"/>
    <n v="1.45"/>
    <n v="12"/>
    <n v="0.2"/>
    <x v="2"/>
    <n v="17.399999999999999"/>
    <n v="3.48"/>
    <n v="13.919999999999998"/>
    <n v="167.03999999999996"/>
  </r>
  <r>
    <n v="472"/>
    <s v="Myron"/>
    <s v="Ruiz"/>
    <s v="NULL"/>
    <s v="myron.ruiz@gmail.com"/>
    <n v="169"/>
    <d v="2010-12-01T11:41:00"/>
    <n v="4"/>
    <n v="20"/>
    <s v="BLUE COAT RACK PARIS FASHION"/>
    <s v="Debit Card"/>
    <n v="536408"/>
    <n v="22914"/>
    <n v="4.95"/>
    <n v="3"/>
    <n v="0.1"/>
    <x v="2"/>
    <n v="14.850000000000001"/>
    <n v="1.4850000000000003"/>
    <n v="13.365000000000002"/>
    <n v="40.095000000000006"/>
  </r>
  <r>
    <n v="473"/>
    <s v="Lashawna"/>
    <s v="Richardson"/>
    <s v="NULL"/>
    <s v="lashawna.richardson@hotmail.com"/>
    <n v="169"/>
    <d v="2010-12-01T11:41:00"/>
    <n v="4"/>
    <n v="5"/>
    <s v="PLASTERS IN TIN SKULLS"/>
    <s v="Debit Card"/>
    <n v="536408"/>
    <n v="22553"/>
    <n v="1.65"/>
    <n v="12"/>
    <n v="0.05"/>
    <x v="2"/>
    <n v="19.799999999999997"/>
    <n v="0.98999999999999988"/>
    <n v="18.809999999999999"/>
    <n v="225.71999999999997"/>
  </r>
  <r>
    <n v="474"/>
    <s v="Lavern"/>
    <s v="Orr"/>
    <s v="NULL"/>
    <s v="lavern.orr@hotmail.com"/>
    <n v="169"/>
    <d v="2010-12-01T11:41:00"/>
    <n v="4"/>
    <n v="10"/>
    <s v="SLEEPING CAT ERASERS"/>
    <s v="Debit Card"/>
    <n v="536408"/>
    <n v="16237"/>
    <n v="0.21"/>
    <n v="30"/>
    <n v="0.2"/>
    <x v="2"/>
    <n v="6.3"/>
    <n v="1.26"/>
    <n v="5.04"/>
    <n v="151.19999999999999"/>
  </r>
  <r>
    <n v="475"/>
    <s v="Alec"/>
    <s v="Peck"/>
    <s v="NULL"/>
    <s v="alec.peck@hotmail.com"/>
    <n v="169"/>
    <d v="2010-12-01T11:41:00"/>
    <n v="4"/>
    <n v="11"/>
    <s v="CARD BIRTHDAY COWBOY"/>
    <s v="Debit Card"/>
    <n v="536408"/>
    <n v="22714"/>
    <n v="0.42"/>
    <n v="12"/>
    <n v="0.2"/>
    <x v="2"/>
    <n v="5.04"/>
    <n v="1.008"/>
    <n v="4.032"/>
    <n v="48.384"/>
  </r>
  <r>
    <n v="476"/>
    <s v="Christopher"/>
    <s v="Richardson"/>
    <s v="NULL"/>
    <s v="christopher.richardson@gmail.com"/>
    <n v="169"/>
    <d v="2010-12-01T11:41:00"/>
    <n v="4"/>
    <n v="14"/>
    <s v="PACK 3 BOXES CHRISTMAS PANNETONE"/>
    <s v="Debit Card"/>
    <n v="536408"/>
    <n v="22812"/>
    <n v="1.95"/>
    <n v="12"/>
    <n v="0.05"/>
    <x v="2"/>
    <n v="23.4"/>
    <n v="1.17"/>
    <n v="22.229999999999997"/>
    <n v="266.76"/>
  </r>
  <r>
    <n v="477"/>
    <s v="Arminda"/>
    <s v="Weber"/>
    <s v="NULL"/>
    <s v="arminda.weber@yahoo.com"/>
    <n v="170"/>
    <d v="2010-12-01T11:41:00"/>
    <n v="4"/>
    <n v="12"/>
    <s v="ROTATING SILVER ANGELS T-LIGHT HLDR"/>
    <s v="Debit Card"/>
    <n v="536408"/>
    <n v="84347"/>
    <n v="2.5499999999999998"/>
    <n v="6"/>
    <n v="0.1"/>
    <x v="2"/>
    <n v="15.299999999999999"/>
    <n v="1.53"/>
    <n v="13.77"/>
    <n v="82.62"/>
  </r>
  <r>
    <n v="478"/>
    <s v="Emmett"/>
    <s v="Hahn"/>
    <s v="NULL"/>
    <s v="emmett.hahn@hotmail.com"/>
    <n v="170"/>
    <d v="2010-12-01T11:41:00"/>
    <n v="4"/>
    <n v="24"/>
    <s v="COSY HOUR GIANT TUBE MATCHES"/>
    <s v="Debit Card"/>
    <n v="536408"/>
    <n v="21587"/>
    <n v="2.5499999999999998"/>
    <n v="12"/>
    <n v="0.05"/>
    <x v="2"/>
    <n v="30.599999999999998"/>
    <n v="1.53"/>
    <n v="29.069999999999997"/>
    <n v="348.84"/>
  </r>
  <r>
    <n v="479"/>
    <s v="Gertha"/>
    <s v="Mejia"/>
    <s v="NULL"/>
    <s v="gertha.mejia@yahoo.com"/>
    <n v="170"/>
    <d v="2010-12-01T11:41:00"/>
    <n v="4"/>
    <n v="7"/>
    <s v="RIBBON REEL MAKING SNOWMEN "/>
    <s v="Debit Card"/>
    <n v="536408"/>
    <n v="22736"/>
    <n v="1.65"/>
    <n v="10"/>
    <n v="0.2"/>
    <x v="2"/>
    <n v="16.5"/>
    <n v="3.3000000000000003"/>
    <n v="13.2"/>
    <n v="132"/>
  </r>
  <r>
    <n v="480"/>
    <s v="Garland"/>
    <s v="Weaver"/>
    <s v="NULL"/>
    <s v="garland.weaver@gmail.com"/>
    <n v="170"/>
    <d v="2010-12-01T11:41:00"/>
    <n v="4"/>
    <n v="18"/>
    <s v="MINI PAINT SET VINTAGE "/>
    <s v="Debit Card"/>
    <n v="536408"/>
    <n v="22492"/>
    <n v="0.65"/>
    <n v="36"/>
    <n v="0.05"/>
    <x v="2"/>
    <n v="23.400000000000002"/>
    <n v="1.1700000000000002"/>
    <n v="22.23"/>
    <n v="800.28"/>
  </r>
  <r>
    <n v="481"/>
    <s v="Jayson"/>
    <s v="Rutledge"/>
    <s v="NULL"/>
    <s v="jayson.rutledge@yahoo.com"/>
    <n v="171"/>
    <d v="2010-12-01T11:41:00"/>
    <n v="4"/>
    <n v="8"/>
    <s v="4 TRADITIONAL SPINNING TOPS"/>
    <s v="Debit Card"/>
    <n v="536408"/>
    <n v="22620"/>
    <n v="1.25"/>
    <n v="12"/>
    <n v="0.05"/>
    <x v="2"/>
    <n v="15"/>
    <n v="0.75"/>
    <n v="14.25"/>
    <n v="171"/>
  </r>
  <r>
    <n v="482"/>
    <s v="Narcisa"/>
    <s v="Knapp"/>
    <s v="NULL"/>
    <s v="narcisa.knapp@aol.com"/>
    <n v="172"/>
    <d v="2010-12-01T11:41:00"/>
    <n v="4"/>
    <n v="23"/>
    <s v="SET OF 6 SOLDIER SKITTLES"/>
    <s v="Debit Card"/>
    <n v="536408"/>
    <n v="22619"/>
    <n v="3.75"/>
    <n v="4"/>
    <n v="7.0000000000000007E-2"/>
    <x v="2"/>
    <n v="15"/>
    <n v="1.05"/>
    <n v="13.95"/>
    <n v="55.8"/>
  </r>
  <r>
    <n v="483"/>
    <s v="Gayla"/>
    <s v="Sims"/>
    <s v="NULL"/>
    <s v="gayla.sims@gmail.com"/>
    <n v="172"/>
    <d v="2010-12-01T11:41:00"/>
    <n v="4"/>
    <n v="16"/>
    <s v="BAG 500g SWIRLY MARBLES"/>
    <s v="Debit Card"/>
    <n v="536408"/>
    <n v="21705"/>
    <n v="1.65"/>
    <n v="12"/>
    <n v="0.2"/>
    <x v="2"/>
    <n v="19.799999999999997"/>
    <n v="3.9599999999999995"/>
    <n v="15.839999999999998"/>
    <n v="190.07999999999998"/>
  </r>
  <r>
    <n v="484"/>
    <s v="Chelsey"/>
    <s v="Boyd"/>
    <s v="NULL"/>
    <s v="chelsey.boyd@yahoo.com"/>
    <n v="173"/>
    <d v="2010-12-01T11:45:00"/>
    <n v="4"/>
    <n v="14"/>
    <s v="5 STRAND GLASS NECKLACE CRYSTAL"/>
    <s v="Debit Card"/>
    <n v="536409"/>
    <s v="90199C"/>
    <n v="6.35"/>
    <n v="3"/>
    <n v="0.05"/>
    <x v="2"/>
    <n v="19.049999999999997"/>
    <n v="0.9524999999999999"/>
    <n v="18.097499999999997"/>
    <n v="54.29249999999999"/>
  </r>
  <r>
    <n v="485"/>
    <s v="Catherine"/>
    <s v="Miles"/>
    <s v="NULL"/>
    <s v="catherine.miles@msn.com"/>
    <n v="173"/>
    <d v="2010-12-01T11:45:00"/>
    <n v="4"/>
    <n v="16"/>
    <s v="WHITE SKULL HOT WATER BOTTLE "/>
    <s v="Debit Card"/>
    <n v="536409"/>
    <n v="21479"/>
    <n v="3.75"/>
    <n v="1"/>
    <n v="0.2"/>
    <x v="2"/>
    <n v="3.75"/>
    <n v="0.75"/>
    <n v="3"/>
    <n v="3"/>
  </r>
  <r>
    <n v="486"/>
    <s v="Valeri"/>
    <s v="Marshall"/>
    <s v="NULL"/>
    <s v="valeri.marshall@hotmail.com"/>
    <n v="173"/>
    <d v="2010-12-01T11:45:00"/>
    <n v="4"/>
    <n v="20"/>
    <s v="SCOTTIE DOG HOT WATER BOTTLE"/>
    <s v="Debit Card"/>
    <n v="536409"/>
    <n v="22111"/>
    <n v="4.95"/>
    <n v="1"/>
    <n v="0.05"/>
    <x v="2"/>
    <n v="4.95"/>
    <n v="0.24750000000000003"/>
    <n v="4.7025000000000006"/>
    <n v="4.7025000000000006"/>
  </r>
  <r>
    <n v="487"/>
    <s v="Grace"/>
    <s v="Madden"/>
    <s v="NULL"/>
    <s v="grace.madden@gmail.com"/>
    <n v="174"/>
    <d v="2010-12-01T11:45:00"/>
    <n v="4"/>
    <n v="22"/>
    <s v="SQUARECUSHION COVER PINK UNION FLAG"/>
    <s v="Debit Card"/>
    <n v="536409"/>
    <n v="22785"/>
    <n v="6.75"/>
    <n v="1"/>
    <n v="0.2"/>
    <x v="2"/>
    <n v="6.75"/>
    <n v="1.35"/>
    <n v="5.4"/>
    <n v="5.4"/>
  </r>
  <r>
    <n v="488"/>
    <s v="Joaquin"/>
    <s v="Hawkins"/>
    <s v="(657) 557-1746"/>
    <s v="joaquin.hawkins@aol.com"/>
    <n v="174"/>
    <d v="2010-12-01T11:45:00"/>
    <n v="4"/>
    <n v="19"/>
    <s v="SPACEBOY CHILDRENS EGG CUP"/>
    <s v="Debit Card"/>
    <n v="536409"/>
    <n v="22975"/>
    <n v="1.25"/>
    <n v="1"/>
    <n v="0.1"/>
    <x v="2"/>
    <n v="1.25"/>
    <n v="0.125"/>
    <n v="1.125"/>
    <n v="1.125"/>
  </r>
  <r>
    <n v="489"/>
    <s v="Kirstie"/>
    <s v="Vazquez"/>
    <s v="NULL"/>
    <s v="kirstie.vazquez@gmail.com"/>
    <n v="175"/>
    <d v="2010-12-01T11:45:00"/>
    <n v="4"/>
    <n v="5"/>
    <s v="CHILDREN'S SPACEBOY MUG"/>
    <s v="Debit Card"/>
    <n v="536409"/>
    <n v="22972"/>
    <n v="1.65"/>
    <n v="1"/>
    <n v="0.1"/>
    <x v="2"/>
    <n v="1.65"/>
    <n v="0.16500000000000001"/>
    <n v="1.4849999999999999"/>
    <n v="1.4849999999999999"/>
  </r>
  <r>
    <n v="490"/>
    <s v="Yu"/>
    <s v="Mcdonald"/>
    <s v="NULL"/>
    <s v="yu.mcdonald@aol.com"/>
    <n v="175"/>
    <d v="2010-12-01T11:45:00"/>
    <n v="4"/>
    <n v="2"/>
    <s v="HAND WARMER SCOTTY DOG DESIGN"/>
    <s v="Debit Card"/>
    <n v="536409"/>
    <n v="22866"/>
    <n v="2.1"/>
    <n v="1"/>
    <n v="0.2"/>
    <x v="2"/>
    <n v="2.1"/>
    <n v="0.42000000000000004"/>
    <n v="1.6800000000000002"/>
    <n v="1.6800000000000002"/>
  </r>
  <r>
    <n v="491"/>
    <s v="Celestine"/>
    <s v="Jacobs"/>
    <s v="NULL"/>
    <s v="celestine.jacobs@gmail.com"/>
    <n v="175"/>
    <d v="2010-12-01T11:45:00"/>
    <n v="4"/>
    <n v="21"/>
    <s v="FELTCRAFT CUSHION OWL"/>
    <s v="Debit Card"/>
    <n v="536409"/>
    <n v="22568"/>
    <n v="3.75"/>
    <n v="1"/>
    <n v="0.1"/>
    <x v="2"/>
    <n v="3.75"/>
    <n v="0.375"/>
    <n v="3.375"/>
    <n v="3.375"/>
  </r>
  <r>
    <n v="492"/>
    <s v="Justa"/>
    <s v="Thompson"/>
    <s v="NULL"/>
    <s v="justa.thompson@aol.com"/>
    <n v="175"/>
    <d v="2010-12-01T11:45:00"/>
    <n v="4"/>
    <n v="19"/>
    <s v="BLACK CANDELABRA T-LIGHT HOLDER"/>
    <s v="Debit Card"/>
    <n v="536409"/>
    <n v="85116"/>
    <n v="2.1"/>
    <n v="1"/>
    <n v="7.0000000000000007E-2"/>
    <x v="2"/>
    <n v="2.1"/>
    <n v="0.14700000000000002"/>
    <n v="1.9530000000000001"/>
    <n v="1.9530000000000001"/>
  </r>
  <r>
    <n v="493"/>
    <s v="Lise"/>
    <s v="Alvarado"/>
    <s v="NULL"/>
    <s v="lise.alvarado@gmail.com"/>
    <n v="176"/>
    <d v="2010-12-01T11:45:00"/>
    <n v="4"/>
    <n v="2"/>
    <s v="TOY TIDY DOLLY GIRL DESIGN"/>
    <s v="Debit Card"/>
    <n v="536409"/>
    <n v="22664"/>
    <n v="2.1"/>
    <n v="1"/>
    <n v="7.0000000000000007E-2"/>
    <x v="2"/>
    <n v="2.1"/>
    <n v="0.14700000000000002"/>
    <n v="1.9530000000000001"/>
    <n v="1.9530000000000001"/>
  </r>
  <r>
    <n v="494"/>
    <s v="Pearl"/>
    <s v="Fox"/>
    <s v="NULL"/>
    <s v="pearl.fox@yahoo.com"/>
    <n v="176"/>
    <d v="2010-12-01T11:45:00"/>
    <n v="4"/>
    <n v="11"/>
    <s v="SET 12 LAVENDER  BOTANICAL T-LIGHTS"/>
    <s v="Debit Card"/>
    <n v="536409"/>
    <n v="21609"/>
    <n v="2.95"/>
    <n v="1"/>
    <n v="0.2"/>
    <x v="2"/>
    <n v="2.95"/>
    <n v="0.59000000000000008"/>
    <n v="2.3600000000000003"/>
    <n v="2.3600000000000003"/>
  </r>
  <r>
    <n v="495"/>
    <s v="Travis"/>
    <s v="Goodman"/>
    <s v="NULL"/>
    <s v="travis.goodman@yahoo.com"/>
    <n v="176"/>
    <d v="2010-12-01T11:45:00"/>
    <n v="4"/>
    <n v="16"/>
    <s v="UNION JACK FLAG LUGGAGE TAG"/>
    <s v="Debit Card"/>
    <n v="536409"/>
    <n v="21866"/>
    <n v="1.25"/>
    <n v="1"/>
    <n v="0.05"/>
    <x v="2"/>
    <n v="1.25"/>
    <n v="6.25E-2"/>
    <n v="1.1875"/>
    <n v="1.1875"/>
  </r>
  <r>
    <n v="496"/>
    <s v="Shu"/>
    <s v="Mays"/>
    <s v="NULL"/>
    <s v="shu.mays@gmail.com"/>
    <n v="177"/>
    <d v="2010-12-01T11:45:00"/>
    <n v="4"/>
    <n v="20"/>
    <s v="RED HEART LUGGAGE TAG"/>
    <s v="Debit Card"/>
    <n v="536409"/>
    <n v="20669"/>
    <n v="1.25"/>
    <n v="1"/>
    <n v="0.1"/>
    <x v="2"/>
    <n v="1.25"/>
    <n v="0.125"/>
    <n v="1.125"/>
    <n v="1.125"/>
  </r>
  <r>
    <n v="497"/>
    <s v="Ezra"/>
    <s v="Fowler"/>
    <s v="NULL"/>
    <s v="ezra.fowler@hotmail.com"/>
    <n v="178"/>
    <d v="2010-12-01T11:45:00"/>
    <n v="4"/>
    <n v="10"/>
    <s v="RED GLASS TASSLE BAG CHARM"/>
    <s v="Debit Card"/>
    <n v="536409"/>
    <s v="90129F"/>
    <n v="2.95"/>
    <n v="1"/>
    <n v="0.2"/>
    <x v="2"/>
    <n v="2.95"/>
    <n v="0.59000000000000008"/>
    <n v="2.3600000000000003"/>
    <n v="2.3600000000000003"/>
  </r>
  <r>
    <n v="498"/>
    <s v="Edda"/>
    <s v="Young"/>
    <s v="NULL"/>
    <s v="edda.young@gmail.com"/>
    <n v="178"/>
    <d v="2010-12-01T11:45:00"/>
    <n v="4"/>
    <n v="12"/>
    <s v="CLEAR ACRYLIC FACETED BANGLE"/>
    <s v="Debit Card"/>
    <n v="536409"/>
    <s v="90210B"/>
    <n v="2.95"/>
    <n v="1"/>
    <n v="0.05"/>
    <x v="2"/>
    <n v="2.95"/>
    <n v="0.14750000000000002"/>
    <n v="2.8025000000000002"/>
    <n v="2.8025000000000002"/>
  </r>
  <r>
    <n v="499"/>
    <s v="Lidia"/>
    <s v="Ashley"/>
    <s v="NULL"/>
    <s v="lidia.ashley@hotmail.com"/>
    <n v="178"/>
    <d v="2010-12-01T11:45:00"/>
    <n v="4"/>
    <n v="3"/>
    <s v="5 STRAND GLASS NECKLACE CRYSTAL"/>
    <s v="Debit Card"/>
    <n v="536409"/>
    <s v="90199C"/>
    <n v="6.35"/>
    <n v="1"/>
    <n v="0.1"/>
    <x v="2"/>
    <n v="6.35"/>
    <n v="0.63500000000000001"/>
    <n v="5.7149999999999999"/>
    <n v="5.7149999999999999"/>
  </r>
  <r>
    <n v="500"/>
    <s v="Moira"/>
    <s v="Lester"/>
    <s v="NULL"/>
    <s v="moira.lester@msn.com"/>
    <n v="178"/>
    <d v="2011-12-01T11:45:00"/>
    <n v="4"/>
    <n v="18"/>
    <s v="DOORMAT UNION JACK GUNS AND ROSES"/>
    <s v="Debit Card"/>
    <n v="536409"/>
    <n v="21955"/>
    <n v="7.95"/>
    <n v="1"/>
    <n v="7.0000000000000007E-2"/>
    <x v="2"/>
    <n v="7.95"/>
    <n v="0.55650000000000011"/>
    <n v="7.3935000000000004"/>
    <n v="7.3935000000000004"/>
  </r>
  <r>
    <n v="501"/>
    <s v="Tony"/>
    <s v="Hicks"/>
    <s v="(657) 260-6783"/>
    <s v="tony.hicks@gmail.com"/>
    <n v="179"/>
    <d v="2011-12-01T11:45:00"/>
    <n v="4"/>
    <n v="13"/>
    <s v="VANILLA SCENT CANDLE JEWELLED BOX"/>
    <s v="Debit Card"/>
    <n v="536409"/>
    <s v="72802C"/>
    <n v="4.25"/>
    <n v="1"/>
    <n v="0.05"/>
    <x v="2"/>
    <n v="4.25"/>
    <n v="0.21250000000000002"/>
    <n v="4.0374999999999996"/>
    <n v="4.0374999999999996"/>
  </r>
  <r>
    <n v="502"/>
    <s v="Malinda"/>
    <s v="Baxter"/>
    <s v="NULL"/>
    <s v="malinda.baxter@yahoo.com"/>
    <n v="179"/>
    <d v="2011-12-01T11:45:00"/>
    <n v="4"/>
    <n v="26"/>
    <s v="FULL ENGLISH BREAKFAST PLATE"/>
    <s v="Debit Card"/>
    <n v="536409"/>
    <n v="22109"/>
    <n v="3.75"/>
    <n v="1"/>
    <n v="0.1"/>
    <x v="2"/>
    <n v="3.75"/>
    <n v="0.375"/>
    <n v="3.375"/>
    <n v="3.375"/>
  </r>
  <r>
    <n v="503"/>
    <s v="Marlo"/>
    <s v="Jefferson"/>
    <s v="NULL"/>
    <s v="marlo.jefferson@gmail.com"/>
    <n v="179"/>
    <d v="2011-12-01T11:45:00"/>
    <n v="4"/>
    <n v="18"/>
    <s v="BLACK CANDELABRA T-LIGHT HOLDER"/>
    <s v="Debit Card"/>
    <n v="536409"/>
    <n v="85116"/>
    <n v="2.1"/>
    <n v="5"/>
    <n v="0.2"/>
    <x v="2"/>
    <n v="10.5"/>
    <n v="2.1"/>
    <n v="8.4"/>
    <n v="42"/>
  </r>
  <r>
    <n v="504"/>
    <s v="Tiana"/>
    <s v="Henderson"/>
    <s v="NULL"/>
    <s v="tiana.henderson@aol.com"/>
    <n v="179"/>
    <d v="2011-12-01T11:45:00"/>
    <n v="4"/>
    <n v="12"/>
    <s v="MAGIC DRAWING SLATE CIRCUS PARADE  "/>
    <s v="Debit Card"/>
    <n v="536409"/>
    <n v="22531"/>
    <n v="0.42"/>
    <n v="1"/>
    <n v="0.2"/>
    <x v="2"/>
    <n v="0.42"/>
    <n v="8.4000000000000005E-2"/>
    <n v="0.33599999999999997"/>
    <n v="0.33599999999999997"/>
  </r>
  <r>
    <n v="505"/>
    <s v="Wilda"/>
    <s v="Petersen"/>
    <s v="NULL"/>
    <s v="wilda.petersen@aol.com"/>
    <n v="179"/>
    <d v="2011-12-01T11:45:00"/>
    <n v="4"/>
    <n v="20"/>
    <s v="CHRISTMAS HANGING HEART WITH BELL"/>
    <s v="Debit Card"/>
    <n v="536409"/>
    <n v="21811"/>
    <n v="1.25"/>
    <n v="1"/>
    <n v="0.1"/>
    <x v="2"/>
    <n v="1.25"/>
    <n v="0.125"/>
    <n v="1.125"/>
    <n v="1.125"/>
  </r>
  <r>
    <n v="506"/>
    <s v="Irving"/>
    <s v="Pitts"/>
    <s v="NULL"/>
    <s v="irving.pitts@msn.com"/>
    <n v="180"/>
    <d v="2011-12-01T11:45:00"/>
    <n v="4"/>
    <n v="16"/>
    <s v="CAKE STAND VICTORIAN FILIGREE MED"/>
    <s v="Debit Card"/>
    <n v="536409"/>
    <n v="22183"/>
    <n v="6.75"/>
    <n v="1"/>
    <n v="7.0000000000000007E-2"/>
    <x v="2"/>
    <n v="6.75"/>
    <n v="0.47250000000000003"/>
    <n v="6.2774999999999999"/>
    <n v="6.2774999999999999"/>
  </r>
  <r>
    <n v="507"/>
    <s v="Sheree"/>
    <s v="Pena"/>
    <s v="NULL"/>
    <s v="sheree.pena@yahoo.com"/>
    <n v="181"/>
    <d v="2011-12-01T11:45:00"/>
    <n v="4"/>
    <n v="10"/>
    <s v="PAISLEY PATTERN  STICKERS"/>
    <s v="Debit Card"/>
    <n v="536409"/>
    <n v="21678"/>
    <n v="0.85"/>
    <n v="6"/>
    <n v="0.05"/>
    <x v="2"/>
    <n v="5.0999999999999996"/>
    <n v="0.255"/>
    <n v="4.8449999999999998"/>
    <n v="29.07"/>
  </r>
  <r>
    <n v="508"/>
    <s v="Vance"/>
    <s v="Taylor"/>
    <s v="(717) 218-5607"/>
    <s v="vance.taylor@msn.com"/>
    <n v="181"/>
    <d v="2011-12-01T11:45:00"/>
    <n v="4"/>
    <n v="11"/>
    <s v="FLOWERS  STICKERS"/>
    <s v="Debit Card"/>
    <n v="536409"/>
    <n v="21676"/>
    <n v="0.85"/>
    <n v="6"/>
    <n v="0.1"/>
    <x v="2"/>
    <n v="5.0999999999999996"/>
    <n v="0.51"/>
    <n v="4.59"/>
    <n v="27.54"/>
  </r>
  <r>
    <n v="509"/>
    <s v="Terra"/>
    <s v="Pickett"/>
    <s v="NULL"/>
    <s v="terra.pickett@aol.com"/>
    <n v="181"/>
    <d v="2011-12-01T11:45:00"/>
    <n v="4"/>
    <n v="15"/>
    <s v="PINK NEW BAROQUECANDLESTICK CANDLE"/>
    <s v="Debit Card"/>
    <n v="536409"/>
    <s v="84625A"/>
    <n v="2.95"/>
    <n v="1"/>
    <n v="0.2"/>
    <x v="2"/>
    <n v="2.95"/>
    <n v="0.59000000000000008"/>
    <n v="2.3600000000000003"/>
    <n v="2.3600000000000003"/>
  </r>
  <r>
    <n v="510"/>
    <s v="Faustino"/>
    <s v="Delacruz"/>
    <s v="NULL"/>
    <s v="faustino.delacruz@msn.com"/>
    <n v="181"/>
    <d v="2011-12-01T11:45:00"/>
    <n v="4"/>
    <n v="24"/>
    <s v="BLUE NEW BAROQUE CANDLESTICK CANDLE"/>
    <s v="Debit Card"/>
    <n v="536409"/>
    <s v="84625C"/>
    <n v="2.95"/>
    <n v="3"/>
    <n v="0.05"/>
    <x v="2"/>
    <n v="8.8500000000000014"/>
    <n v="0.44250000000000012"/>
    <n v="8.4075000000000006"/>
    <n v="25.222500000000004"/>
  </r>
  <r>
    <n v="511"/>
    <s v="Julienne"/>
    <s v="Moody"/>
    <s v="(682) 841-4643"/>
    <s v="julienne.moody@hotmail.com"/>
    <n v="182"/>
    <d v="2011-12-01T11:45:00"/>
    <n v="4"/>
    <n v="25"/>
    <s v="JUMBO STORAGE BAG SUKI"/>
    <s v="Debit Card"/>
    <n v="536409"/>
    <n v="21931"/>
    <n v="1.95"/>
    <n v="2"/>
    <n v="0.05"/>
    <x v="2"/>
    <n v="3.9"/>
    <n v="0.19500000000000001"/>
    <n v="3.7050000000000001"/>
    <n v="7.41"/>
  </r>
  <r>
    <n v="512"/>
    <s v="Hee"/>
    <s v="Greer"/>
    <s v="NULL"/>
    <s v="hee.greer@hotmail.com"/>
    <n v="182"/>
    <d v="2011-12-01T11:45:00"/>
    <n v="4"/>
    <n v="24"/>
    <s v="BLACK LOVE BIRD CANDLE"/>
    <s v="Debit Card"/>
    <n v="536409"/>
    <s v="85169B"/>
    <n v="1.25"/>
    <n v="12"/>
    <n v="7.0000000000000007E-2"/>
    <x v="2"/>
    <n v="15"/>
    <n v="1.05"/>
    <n v="13.95"/>
    <n v="167.39999999999998"/>
  </r>
  <r>
    <n v="513"/>
    <s v="Whitney"/>
    <s v="Cash"/>
    <s v="NULL"/>
    <s v="whitney.cash@gmail.com"/>
    <n v="183"/>
    <d v="2011-12-01T11:45:00"/>
    <n v="4"/>
    <n v="11"/>
    <s v="PARTY TIME PENCIL ERASERS"/>
    <s v="Debit Card"/>
    <n v="536409"/>
    <n v="16238"/>
    <n v="0.21"/>
    <n v="28"/>
    <n v="0.2"/>
    <x v="2"/>
    <n v="5.88"/>
    <n v="1.1759999999999999"/>
    <n v="4.7039999999999997"/>
    <n v="131.71199999999999"/>
  </r>
  <r>
    <n v="514"/>
    <s v="Clarita"/>
    <s v="Curry"/>
    <s v="NULL"/>
    <s v="clarita.curry@hotmail.com"/>
    <n v="183"/>
    <d v="2011-12-01T11:45:00"/>
    <n v="4"/>
    <n v="12"/>
    <s v="DISCO BALL CHRISTMAS DECORATION"/>
    <s v="Debit Card"/>
    <n v="536409"/>
    <n v="20668"/>
    <n v="0.12"/>
    <n v="24"/>
    <n v="0.05"/>
    <x v="2"/>
    <n v="2.88"/>
    <n v="0.14399999999999999"/>
    <n v="2.7359999999999998"/>
    <n v="65.663999999999987"/>
  </r>
  <r>
    <n v="515"/>
    <s v="Reita"/>
    <s v="Dickson"/>
    <s v="NULL"/>
    <s v="reita.dickson@hotmail.com"/>
    <n v="183"/>
    <d v="2011-12-01T11:45:00"/>
    <n v="4"/>
    <n v="19"/>
    <s v="PINK B'FLY C/COVER W BOBBLES"/>
    <s v="Debit Card"/>
    <n v="536409"/>
    <n v="84906"/>
    <n v="5.95"/>
    <n v="1"/>
    <n v="7.0000000000000007E-2"/>
    <x v="2"/>
    <n v="5.95"/>
    <n v="0.41650000000000004"/>
    <n v="5.5335000000000001"/>
    <n v="5.5335000000000001"/>
  </r>
  <r>
    <n v="516"/>
    <s v="Rosa"/>
    <s v="Kinney"/>
    <s v="NULL"/>
    <s v="rosa.kinney@yahoo.com"/>
    <n v="183"/>
    <d v="2011-12-01T11:45:00"/>
    <n v="4"/>
    <n v="17"/>
    <s v="PINK UNION JACK  LUGGAGE TAG"/>
    <s v="Debit Card"/>
    <n v="536409"/>
    <n v="21867"/>
    <n v="1.25"/>
    <n v="1"/>
    <n v="7.0000000000000007E-2"/>
    <x v="2"/>
    <n v="1.25"/>
    <n v="8.7500000000000008E-2"/>
    <n v="1.1625000000000001"/>
    <n v="1.1625000000000001"/>
  </r>
  <r>
    <n v="517"/>
    <s v="Buford"/>
    <s v="Gilbert"/>
    <s v="NULL"/>
    <s v="buford.gilbert@yahoo.com"/>
    <n v="184"/>
    <d v="2011-12-01T11:45:00"/>
    <n v="4"/>
    <n v="4"/>
    <s v="6 RIBBONS ELEGANT CHRISTMAS "/>
    <s v="Debit Card"/>
    <n v="536409"/>
    <n v="22075"/>
    <n v="1.65"/>
    <n v="1"/>
    <n v="0.2"/>
    <x v="2"/>
    <n v="1.65"/>
    <n v="0.33"/>
    <n v="1.3199999999999998"/>
    <n v="1.3199999999999998"/>
  </r>
  <r>
    <n v="518"/>
    <s v="Homer"/>
    <s v="Powers"/>
    <s v="NULL"/>
    <s v="homer.powers@msn.com"/>
    <n v="184"/>
    <d v="2011-12-01T11:45:00"/>
    <n v="4"/>
    <n v="5"/>
    <s v="UNION JACK FLAG LUGGAGE TAG"/>
    <s v="Debit Card"/>
    <n v="536409"/>
    <n v="21866"/>
    <n v="1.25"/>
    <n v="1"/>
    <n v="0.1"/>
    <x v="2"/>
    <n v="1.25"/>
    <n v="0.125"/>
    <n v="1.125"/>
    <n v="1.125"/>
  </r>
  <r>
    <n v="519"/>
    <s v="Rudolf"/>
    <s v="Gilliam"/>
    <s v="NULL"/>
    <s v="rudolf.gilliam@aol.com"/>
    <n v="184"/>
    <d v="2011-12-01T11:45:00"/>
    <n v="4"/>
    <n v="14"/>
    <s v="AGED GLASS SILVER T-LIGHT HOLDER"/>
    <s v="Debit Card"/>
    <n v="536409"/>
    <n v="21326"/>
    <n v="0.65"/>
    <n v="12"/>
    <n v="0.1"/>
    <x v="2"/>
    <n v="7.8000000000000007"/>
    <n v="0.78000000000000014"/>
    <n v="7.0200000000000005"/>
    <n v="84.240000000000009"/>
  </r>
  <r>
    <n v="520"/>
    <s v="Andreas"/>
    <s v="Herman"/>
    <s v="NULL"/>
    <s v="andreas.herman@msn.com"/>
    <n v="185"/>
    <d v="2011-12-01T11:45:00"/>
    <n v="4"/>
    <n v="20"/>
    <s v="BOOM BOX SPEAKER GIRLS"/>
    <s v="Debit Card"/>
    <n v="536409"/>
    <n v="21065"/>
    <n v="5.95"/>
    <n v="1"/>
    <n v="0.1"/>
    <x v="2"/>
    <n v="5.95"/>
    <n v="0.59500000000000008"/>
    <n v="5.3550000000000004"/>
    <n v="5.3550000000000004"/>
  </r>
  <r>
    <n v="521"/>
    <s v="Max"/>
    <s v="Charles"/>
    <s v="NULL"/>
    <s v="max.charles@gmail.com"/>
    <n v="185"/>
    <d v="2011-12-01T11:45:00"/>
    <n v="4"/>
    <n v="8"/>
    <s v="6 RIBBONS SHIMMERING PINKS "/>
    <s v="Debit Card"/>
    <n v="536409"/>
    <n v="22074"/>
    <n v="1.65"/>
    <n v="1"/>
    <n v="0.05"/>
    <x v="2"/>
    <n v="1.65"/>
    <n v="8.2500000000000004E-2"/>
    <n v="1.5674999999999999"/>
    <n v="1.5674999999999999"/>
  </r>
  <r>
    <n v="522"/>
    <s v="Tammera"/>
    <s v="Fischer"/>
    <s v="(510) 534-8845"/>
    <s v="tammera.fischer@hotmail.com"/>
    <n v="186"/>
    <d v="2011-12-01T11:45:00"/>
    <n v="4"/>
    <n v="4"/>
    <s v=" SET 2 TEA TOWELS I LOVE LONDON "/>
    <s v="Debit Card"/>
    <n v="536409"/>
    <n v="22900"/>
    <n v="2.95"/>
    <n v="1"/>
    <n v="0.1"/>
    <x v="2"/>
    <n v="2.95"/>
    <n v="0.29500000000000004"/>
    <n v="2.6550000000000002"/>
    <n v="2.6550000000000002"/>
  </r>
  <r>
    <n v="523"/>
    <s v="Joshua"/>
    <s v="Robertson"/>
    <s v="NULL"/>
    <s v="joshua.robertson@gmail.com"/>
    <n v="186"/>
    <d v="2011-12-01T11:45:00"/>
    <n v="4"/>
    <n v="6"/>
    <s v="JUMBO BAG OWLS"/>
    <s v="Debit Card"/>
    <n v="536409"/>
    <n v="20713"/>
    <n v="1.95"/>
    <n v="1"/>
    <n v="0.1"/>
    <x v="2"/>
    <n v="1.95"/>
    <n v="0.19500000000000001"/>
    <n v="1.7549999999999999"/>
    <n v="1.7549999999999999"/>
  </r>
  <r>
    <n v="524"/>
    <s v="Larraine"/>
    <s v="Horn"/>
    <s v="NULL"/>
    <s v="larraine.horn@msn.com"/>
    <n v="187"/>
    <d v="2011-12-01T11:45:00"/>
    <n v="4"/>
    <n v="5"/>
    <s v="SANDWICH BATH SPONGE"/>
    <s v="Debit Card"/>
    <n v="536409"/>
    <n v="20966"/>
    <n v="1.25"/>
    <n v="2"/>
    <n v="0.05"/>
    <x v="2"/>
    <n v="2.5"/>
    <n v="0.125"/>
    <n v="2.375"/>
    <n v="4.75"/>
  </r>
  <r>
    <n v="525"/>
    <s v="Andreas"/>
    <s v="Mayer"/>
    <s v="NULL"/>
    <s v="andreas.mayer@hotmail.com"/>
    <n v="188"/>
    <d v="2011-12-01T11:45:00"/>
    <n v="4"/>
    <n v="7"/>
    <s v="OWL DOORSTOP"/>
    <s v="Debit Card"/>
    <n v="536409"/>
    <n v="21116"/>
    <n v="4.95"/>
    <n v="1"/>
    <n v="7.0000000000000007E-2"/>
    <x v="2"/>
    <n v="4.95"/>
    <n v="0.34650000000000003"/>
    <n v="4.6035000000000004"/>
    <n v="4.6035000000000004"/>
  </r>
  <r>
    <n v="526"/>
    <s v="Lazaro"/>
    <s v="Moran"/>
    <s v="NULL"/>
    <s v="lazaro.moran@gmail.com"/>
    <n v="189"/>
    <d v="2011-12-01T11:45:00"/>
    <n v="4"/>
    <n v="16"/>
    <s v="5 STRAND GLASS NECKLACE CRYSTAL"/>
    <s v="Debit Card"/>
    <n v="536409"/>
    <s v="90199C"/>
    <n v="6.35"/>
    <n v="2"/>
    <n v="0.2"/>
    <x v="2"/>
    <n v="12.7"/>
    <n v="2.54"/>
    <n v="10.16"/>
    <n v="20.32"/>
  </r>
  <r>
    <n v="527"/>
    <s v="Afton"/>
    <s v="Juarez"/>
    <s v="NULL"/>
    <s v="afton.juarez@gmail.com"/>
    <n v="190"/>
    <d v="2011-12-01T11:45:00"/>
    <n v="4"/>
    <n v="24"/>
    <s v="HAND WARMER UNION JACK"/>
    <s v="Debit Card"/>
    <n v="536409"/>
    <n v="22633"/>
    <n v="2.1"/>
    <n v="1"/>
    <n v="0.05"/>
    <x v="2"/>
    <n v="2.1"/>
    <n v="0.10500000000000001"/>
    <n v="1.9950000000000001"/>
    <n v="1.9950000000000001"/>
  </r>
  <r>
    <n v="528"/>
    <s v="Angele"/>
    <s v="Schroeder"/>
    <s v="(845) 804-6312"/>
    <s v="angele.schroeder@yahoo.com"/>
    <n v="190"/>
    <d v="2011-12-01T11:45:00"/>
    <n v="4"/>
    <n v="15"/>
    <s v="HAND WARMER SCOTTY DOG DESIGN"/>
    <s v="Debit Card"/>
    <n v="536409"/>
    <n v="22866"/>
    <n v="2.1"/>
    <n v="1"/>
    <n v="0.2"/>
    <x v="2"/>
    <n v="2.1"/>
    <n v="0.42000000000000004"/>
    <n v="1.6800000000000002"/>
    <n v="1.6800000000000002"/>
  </r>
  <r>
    <n v="529"/>
    <s v="Ellena"/>
    <s v="Clements"/>
    <s v="NULL"/>
    <s v="ellena.clements@aol.com"/>
    <n v="190"/>
    <d v="2011-12-01T11:45:00"/>
    <n v="4"/>
    <n v="3"/>
    <s v="LARGE POPCORN HOLDER "/>
    <s v="Debit Card"/>
    <n v="536409"/>
    <n v="22198"/>
    <n v="1.65"/>
    <n v="1"/>
    <n v="0.2"/>
    <x v="2"/>
    <n v="1.65"/>
    <n v="0.33"/>
    <n v="1.3199999999999998"/>
    <n v="1.3199999999999998"/>
  </r>
  <r>
    <n v="530"/>
    <s v="Selene"/>
    <s v="Austin"/>
    <s v="NULL"/>
    <s v="selene.austin@msn.com"/>
    <n v="191"/>
    <d v="2011-12-01T11:45:00"/>
    <n v="4"/>
    <n v="25"/>
    <s v="PAINTED METAL STAR WITH HOLLY BELLS"/>
    <s v="Debit Card"/>
    <n v="536409"/>
    <n v="21824"/>
    <n v="1.45"/>
    <n v="3"/>
    <n v="0.05"/>
    <x v="2"/>
    <n v="4.3499999999999996"/>
    <n v="0.2175"/>
    <n v="4.1324999999999994"/>
    <n v="12.397499999999997"/>
  </r>
  <r>
    <n v="531"/>
    <s v="Kimberely"/>
    <s v="Bowen"/>
    <s v="(248) 199-2582"/>
    <s v="kimberely.bowen@hotmail.com"/>
    <n v="191"/>
    <d v="2011-12-01T11:45:00"/>
    <n v="4"/>
    <n v="12"/>
    <s v="PAINTED METAL HEART WITH HOLLY BELL"/>
    <s v="Debit Card"/>
    <n v="536409"/>
    <n v="21823"/>
    <n v="1.45"/>
    <n v="3"/>
    <n v="0.2"/>
    <x v="2"/>
    <n v="4.3499999999999996"/>
    <n v="0.87"/>
    <n v="3.4799999999999995"/>
    <n v="10.439999999999998"/>
  </r>
  <r>
    <n v="532"/>
    <s v="Mia"/>
    <s v="Delgado"/>
    <s v="NULL"/>
    <s v="mia.delgado@yahoo.com"/>
    <n v="191"/>
    <d v="2011-12-01T11:45:00"/>
    <n v="4"/>
    <n v="3"/>
    <s v="ANGEL DECORATION STARS ON DRESS"/>
    <s v="Debit Card"/>
    <n v="536409"/>
    <n v="22153"/>
    <n v="0.42"/>
    <n v="6"/>
    <n v="7.0000000000000007E-2"/>
    <x v="2"/>
    <n v="2.52"/>
    <n v="0.17640000000000003"/>
    <n v="2.3435999999999999"/>
    <n v="14.061599999999999"/>
  </r>
  <r>
    <n v="533"/>
    <s v="Garret"/>
    <s v="Clay"/>
    <s v="(361) 687-9477"/>
    <s v="garret.clay@yahoo.com"/>
    <n v="191"/>
    <d v="2011-12-01T11:45:00"/>
    <n v="4"/>
    <n v="8"/>
    <s v="SMALL POPCORN HOLDER"/>
    <s v="Debit Card"/>
    <n v="536409"/>
    <n v="22197"/>
    <n v="0.85"/>
    <n v="2"/>
    <n v="0.05"/>
    <x v="2"/>
    <n v="1.7"/>
    <n v="8.5000000000000006E-2"/>
    <n v="1.615"/>
    <n v="3.23"/>
  </r>
  <r>
    <n v="534"/>
    <s v="Alejandro"/>
    <s v="Haney"/>
    <s v="NULL"/>
    <s v="alejandro.haney@msn.com"/>
    <n v="191"/>
    <d v="2011-12-01T11:45:00"/>
    <n v="4"/>
    <n v="23"/>
    <s v="JUMBO BAG RED RETROSPOT"/>
    <s v="Debit Card"/>
    <n v="536409"/>
    <s v="85099B"/>
    <n v="1.95"/>
    <n v="2"/>
    <n v="0.05"/>
    <x v="2"/>
    <n v="3.9"/>
    <n v="0.19500000000000001"/>
    <n v="3.7050000000000001"/>
    <n v="7.41"/>
  </r>
  <r>
    <n v="535"/>
    <s v="Inge"/>
    <s v="Olsen"/>
    <s v="(562) 719-5041"/>
    <s v="inge.olsen@msn.com"/>
    <n v="192"/>
    <d v="2011-12-01T11:45:00"/>
    <n v="4"/>
    <n v="8"/>
    <s v="JUMBO BAG STRAWBERRY"/>
    <s v="Debit Card"/>
    <n v="536409"/>
    <s v="85099F"/>
    <n v="1.95"/>
    <n v="1"/>
    <n v="0.1"/>
    <x v="2"/>
    <n v="1.95"/>
    <n v="0.19500000000000001"/>
    <n v="1.7549999999999999"/>
    <n v="1.7549999999999999"/>
  </r>
  <r>
    <n v="536"/>
    <s v="Christiane"/>
    <s v="Bradford"/>
    <s v="NULL"/>
    <s v="christiane.bradford@gmail.com"/>
    <n v="192"/>
    <d v="2011-12-01T11:45:00"/>
    <n v="4"/>
    <n v="25"/>
    <s v="STRAWBERRY SHOPPER BAG"/>
    <s v="Debit Card"/>
    <n v="536409"/>
    <n v="20717"/>
    <n v="1.25"/>
    <n v="1"/>
    <n v="7.0000000000000007E-2"/>
    <x v="2"/>
    <n v="1.25"/>
    <n v="8.7500000000000008E-2"/>
    <n v="1.1625000000000001"/>
    <n v="1.1625000000000001"/>
  </r>
  <r>
    <n v="537"/>
    <s v="Carter"/>
    <s v="Bentley"/>
    <s v="NULL"/>
    <s v="carter.bentley@yahoo.com"/>
    <n v="192"/>
    <d v="2011-12-01T11:45:00"/>
    <n v="4"/>
    <n v="2"/>
    <s v="STRAWBERRY CHARLOTTE BAG"/>
    <s v="Debit Card"/>
    <n v="536409"/>
    <n v="20723"/>
    <n v="0.85"/>
    <n v="1"/>
    <n v="0.05"/>
    <x v="2"/>
    <n v="0.85"/>
    <n v="4.2500000000000003E-2"/>
    <n v="0.8075"/>
    <n v="0.8075"/>
  </r>
  <r>
    <n v="538"/>
    <s v="Sherie"/>
    <s v="Ayala"/>
    <s v="NULL"/>
    <s v="sherie.ayala@msn.com"/>
    <n v="192"/>
    <d v="2011-12-01T11:45:00"/>
    <n v="4"/>
    <n v="24"/>
    <s v=" SET 2 TEA TOWELS I LOVE LONDON "/>
    <s v="Debit Card"/>
    <n v="536409"/>
    <n v="22900"/>
    <n v="2.95"/>
    <n v="1"/>
    <n v="7.0000000000000007E-2"/>
    <x v="2"/>
    <n v="2.95"/>
    <n v="0.20650000000000004"/>
    <n v="2.7435"/>
    <n v="2.7435"/>
  </r>
  <r>
    <n v="539"/>
    <s v="Jamika"/>
    <s v="Acevedo"/>
    <s v="NULL"/>
    <s v="jamika.acevedo@yahoo.com"/>
    <n v="192"/>
    <d v="2011-12-01T11:45:00"/>
    <n v="4"/>
    <n v="10"/>
    <s v="PACK OF 12 RED RETROSPOT TISSUES "/>
    <s v="Debit Card"/>
    <n v="536409"/>
    <n v="21980"/>
    <n v="0.28999999999999998"/>
    <n v="12"/>
    <n v="0.2"/>
    <x v="2"/>
    <n v="3.4799999999999995"/>
    <n v="0.69599999999999995"/>
    <n v="2.7839999999999998"/>
    <n v="33.408000000000001"/>
  </r>
  <r>
    <n v="540"/>
    <s v="Shery"/>
    <s v="Randolph"/>
    <s v="NULL"/>
    <s v="shery.randolph@hotmail.com"/>
    <n v="193"/>
    <d v="2011-12-01T11:45:00"/>
    <n v="4"/>
    <n v="12"/>
    <s v="SCOTTIE DOG HOT WATER BOTTLE"/>
    <s v="Debit Card"/>
    <n v="536409"/>
    <n v="22111"/>
    <n v="4.95"/>
    <n v="1"/>
    <n v="0.1"/>
    <x v="2"/>
    <n v="4.95"/>
    <n v="0.49500000000000005"/>
    <n v="4.4550000000000001"/>
    <n v="4.4550000000000001"/>
  </r>
  <r>
    <n v="541"/>
    <s v="Lanita"/>
    <s v="Burton"/>
    <s v="NULL"/>
    <s v="lanita.burton@msn.com"/>
    <n v="194"/>
    <d v="2011-12-01T11:45:00"/>
    <n v="4"/>
    <n v="21"/>
    <s v="CHOCOLATE HOT WATER BOTTLE"/>
    <s v="Debit Card"/>
    <n v="536409"/>
    <n v="22112"/>
    <n v="4.95"/>
    <n v="1"/>
    <n v="0.2"/>
    <x v="2"/>
    <n v="4.95"/>
    <n v="0.9900000000000001"/>
    <n v="3.96"/>
    <n v="3.96"/>
  </r>
  <r>
    <n v="542"/>
    <s v="Timothy"/>
    <s v="Byers"/>
    <s v="NULL"/>
    <s v="timothy.byers@msn.com"/>
    <n v="195"/>
    <d v="2011-12-01T11:45:00"/>
    <n v="4"/>
    <n v="18"/>
    <s v="LUNCH BAG CARS BLUE"/>
    <s v="Debit Card"/>
    <n v="536412"/>
    <n v="20728"/>
    <n v="1.65"/>
    <n v="3"/>
    <n v="0.2"/>
    <x v="2"/>
    <n v="4.9499999999999993"/>
    <n v="0.98999999999999988"/>
    <n v="3.9599999999999995"/>
    <n v="11.879999999999999"/>
  </r>
  <r>
    <n v="543"/>
    <s v="Jasmin"/>
    <s v="Young"/>
    <s v="NULL"/>
    <s v="jasmin.young@gmail.com"/>
    <n v="195"/>
    <d v="2011-12-01T11:45:00"/>
    <n v="4"/>
    <n v="14"/>
    <s v="LUNCH BAG SPACEBOY DESIGN "/>
    <s v="Debit Card"/>
    <n v="536412"/>
    <n v="22382"/>
    <n v="1.65"/>
    <n v="3"/>
    <n v="0.05"/>
    <x v="2"/>
    <n v="4.9499999999999993"/>
    <n v="0.24749999999999997"/>
    <n v="4.7024999999999997"/>
    <n v="14.107499999999998"/>
  </r>
  <r>
    <n v="544"/>
    <s v="Catarina"/>
    <s v="Mendez"/>
    <s v="NULL"/>
    <s v="catarina.mendez@hotmail.com"/>
    <n v="195"/>
    <d v="2011-12-01T11:45:00"/>
    <n v="4"/>
    <n v="5"/>
    <s v="ROUND SNACK BOXES SET OF4 WOODLAND "/>
    <s v="Debit Card"/>
    <n v="536412"/>
    <n v="22326"/>
    <n v="2.95"/>
    <n v="1"/>
    <n v="0.2"/>
    <x v="2"/>
    <n v="2.95"/>
    <n v="0.59000000000000008"/>
    <n v="2.3600000000000003"/>
    <n v="2.3600000000000003"/>
  </r>
  <r>
    <n v="545"/>
    <s v="Tajuana"/>
    <s v="Rollins"/>
    <s v="NULL"/>
    <s v="tajuana.rollins@msn.com"/>
    <n v="195"/>
    <d v="2011-12-01T11:45:00"/>
    <n v="4"/>
    <n v="4"/>
    <s v="LUNCH BAG DOLLY GIRL DESIGN"/>
    <s v="Debit Card"/>
    <n v="536412"/>
    <n v="22662"/>
    <n v="1.65"/>
    <n v="4"/>
    <n v="0.2"/>
    <x v="2"/>
    <n v="6.6"/>
    <n v="1.32"/>
    <n v="5.2799999999999994"/>
    <n v="21.119999999999997"/>
  </r>
  <r>
    <n v="546"/>
    <s v="Thad"/>
    <s v="Castro"/>
    <s v="(631) 943-1407"/>
    <s v="thad.castro@msn.com"/>
    <n v="195"/>
    <d v="2011-12-01T11:45:00"/>
    <n v="4"/>
    <n v="21"/>
    <s v="LUNCH BAG SUKI  DESIGN "/>
    <s v="Debit Card"/>
    <n v="536412"/>
    <n v="22383"/>
    <n v="1.65"/>
    <n v="3"/>
    <n v="0.1"/>
    <x v="2"/>
    <n v="4.9499999999999993"/>
    <n v="0.49499999999999994"/>
    <n v="4.4549999999999992"/>
    <n v="13.364999999999998"/>
  </r>
  <r>
    <n v="547"/>
    <s v="Tena"/>
    <s v="Huber"/>
    <s v="NULL"/>
    <s v="tena.huber@gmail.com"/>
    <n v="196"/>
    <d v="2011-12-01T11:45:00"/>
    <n v="4"/>
    <n v="6"/>
    <s v="LUNCH BAG  BLACK SKULL."/>
    <s v="Debit Card"/>
    <n v="536412"/>
    <n v="20727"/>
    <n v="1.65"/>
    <n v="3"/>
    <n v="0.05"/>
    <x v="2"/>
    <n v="4.9499999999999993"/>
    <n v="0.24749999999999997"/>
    <n v="4.7024999999999997"/>
    <n v="14.107499999999998"/>
  </r>
  <r>
    <n v="548"/>
    <s v="Dori"/>
    <s v="Alvarez"/>
    <s v="NULL"/>
    <s v="dori.alvarez@msn.com"/>
    <n v="196"/>
    <d v="2011-12-01T11:45:00"/>
    <n v="4"/>
    <n v="3"/>
    <s v="ROUND SNACK BOXES SET OF 4 FRUITS "/>
    <s v="Debit Card"/>
    <n v="536412"/>
    <n v="22328"/>
    <n v="2.95"/>
    <n v="1"/>
    <n v="7.0000000000000007E-2"/>
    <x v="2"/>
    <n v="2.95"/>
    <n v="0.20650000000000004"/>
    <n v="2.7435"/>
    <n v="2.7435"/>
  </r>
  <r>
    <n v="549"/>
    <s v="Elmo"/>
    <s v="Arnold"/>
    <s v="(562) 841-9339"/>
    <s v="elmo.arnold@aol.com"/>
    <n v="196"/>
    <d v="2011-12-01T11:45:00"/>
    <n v="3"/>
    <n v="10"/>
    <s v="ROUND SNACK BOXES SET OF 4 SKULLS"/>
    <s v="Debit Card"/>
    <n v="536412"/>
    <n v="22327"/>
    <n v="2.95"/>
    <n v="1"/>
    <n v="7.0000000000000007E-2"/>
    <x v="2"/>
    <n v="2.95"/>
    <n v="0.20650000000000004"/>
    <n v="2.7435"/>
    <n v="2.7435"/>
  </r>
  <r>
    <n v="550"/>
    <s v="Felicidad"/>
    <s v="Golden"/>
    <s v="NULL"/>
    <s v="felicidad.golden@yahoo.com"/>
    <n v="196"/>
    <d v="2011-12-01T11:45:00"/>
    <n v="4"/>
    <n v="12"/>
    <s v="DOLLY GIRL LUNCH BOX"/>
    <s v="Debit Card"/>
    <n v="536412"/>
    <n v="22630"/>
    <n v="1.95"/>
    <n v="1"/>
    <n v="7.0000000000000007E-2"/>
    <x v="2"/>
    <n v="1.95"/>
    <n v="0.13650000000000001"/>
    <n v="1.8134999999999999"/>
    <n v="1.8134999999999999"/>
  </r>
  <r>
    <n v="551"/>
    <s v="Jenine"/>
    <s v="Crane"/>
    <s v="(682) 183-6555"/>
    <s v="jenine.crane@msn.com"/>
    <n v="196"/>
    <d v="2011-12-01T11:45:00"/>
    <n v="4"/>
    <n v="20"/>
    <s v="SPACEBOY LUNCH BOX "/>
    <s v="Debit Card"/>
    <n v="536412"/>
    <n v="22629"/>
    <n v="1.95"/>
    <n v="1"/>
    <n v="0.1"/>
    <x v="2"/>
    <n v="1.95"/>
    <n v="0.19500000000000001"/>
    <n v="1.7549999999999999"/>
    <n v="1.7549999999999999"/>
  </r>
  <r>
    <n v="552"/>
    <s v="Lea"/>
    <s v="Key"/>
    <s v="NULL"/>
    <s v="lea.key@yahoo.com"/>
    <n v="197"/>
    <d v="2011-12-01T11:45:00"/>
    <n v="4"/>
    <n v="4"/>
    <s v="GREEN POLKADOT PLATE "/>
    <s v="Debit Card"/>
    <n v="536412"/>
    <n v="21245"/>
    <n v="1.69"/>
    <n v="1"/>
    <n v="0.2"/>
    <x v="2"/>
    <n v="1.69"/>
    <n v="0.33800000000000002"/>
    <n v="1.3519999999999999"/>
    <n v="1.3519999999999999"/>
  </r>
  <r>
    <n v="553"/>
    <s v="Rory"/>
    <s v="Cooper"/>
    <s v="NULL"/>
    <s v="rory.cooper@gmail.com"/>
    <n v="197"/>
    <d v="2011-12-01T11:45:00"/>
    <n v="4"/>
    <n v="2"/>
    <s v="BLUE POLKADOT PLATE "/>
    <s v="Debit Card"/>
    <n v="536412"/>
    <n v="21244"/>
    <n v="1.69"/>
    <n v="1"/>
    <n v="7.0000000000000007E-2"/>
    <x v="2"/>
    <n v="1.69"/>
    <n v="0.1183"/>
    <n v="1.5716999999999999"/>
    <n v="1.5716999999999999"/>
  </r>
  <r>
    <n v="554"/>
    <s v="Hilde"/>
    <s v="Nieves"/>
    <s v="NULL"/>
    <s v="hilde.nieves@gmail.com"/>
    <n v="198"/>
    <d v="2011-12-01T11:45:00"/>
    <n v="4"/>
    <n v="6"/>
    <s v="RED RETROSPOT PLATE "/>
    <s v="Debit Card"/>
    <n v="536412"/>
    <n v="21242"/>
    <n v="1.69"/>
    <n v="1"/>
    <n v="0.05"/>
    <x v="2"/>
    <n v="1.69"/>
    <n v="8.4500000000000006E-2"/>
    <n v="1.6054999999999999"/>
    <n v="1.6054999999999999"/>
  </r>
  <r>
    <n v="555"/>
    <s v="Marry"/>
    <s v="Benjamin"/>
    <s v="NULL"/>
    <s v="marry.benjamin@yahoo.com"/>
    <n v="198"/>
    <d v="2011-12-01T11:45:00"/>
    <n v="4"/>
    <n v="20"/>
    <s v="PINK  POLKADOT PLATE "/>
    <s v="Debit Card"/>
    <n v="536412"/>
    <n v="21243"/>
    <n v="1.69"/>
    <n v="1"/>
    <n v="7.0000000000000007E-2"/>
    <x v="2"/>
    <n v="1.69"/>
    <n v="0.1183"/>
    <n v="1.5716999999999999"/>
    <n v="1.5716999999999999"/>
  </r>
  <r>
    <n v="556"/>
    <s v="Vernell"/>
    <s v="Goff"/>
    <s v="NULL"/>
    <s v="vernell.goff@msn.com"/>
    <n v="198"/>
    <d v="2011-12-01T11:45:00"/>
    <n v="4"/>
    <n v="8"/>
    <s v="ROUND SNACK BOXES SET OF 4 SKULLS"/>
    <s v="Debit Card"/>
    <n v="536412"/>
    <n v="22327"/>
    <n v="2.95"/>
    <n v="1"/>
    <n v="0.2"/>
    <x v="2"/>
    <n v="2.95"/>
    <n v="0.59000000000000008"/>
    <n v="2.3600000000000003"/>
    <n v="2.3600000000000003"/>
  </r>
  <r>
    <n v="557"/>
    <s v="Erlene"/>
    <s v="Cook"/>
    <s v="NULL"/>
    <s v="erlene.cook@gmail.com"/>
    <n v="198"/>
    <d v="2011-12-01T11:45:00"/>
    <n v="4"/>
    <n v="13"/>
    <s v="FELTCRAFT DOLL MOLLY"/>
    <s v="Debit Card"/>
    <n v="536412"/>
    <n v="22273"/>
    <n v="2.95"/>
    <n v="1"/>
    <n v="0.05"/>
    <x v="2"/>
    <n v="2.95"/>
    <n v="0.14750000000000002"/>
    <n v="2.8025000000000002"/>
    <n v="2.8025000000000002"/>
  </r>
  <r>
    <n v="558"/>
    <s v="Carroll"/>
    <s v="Kelly"/>
    <s v="NULL"/>
    <s v="carroll.kelly@yahoo.com"/>
    <n v="198"/>
    <d v="2011-12-01T11:45:00"/>
    <n v="4"/>
    <n v="17"/>
    <s v="FELTCRAFT CHRISTMAS FAIRY"/>
    <s v="Debit Card"/>
    <n v="536412"/>
    <n v="22940"/>
    <n v="4.25"/>
    <n v="3"/>
    <n v="0.05"/>
    <x v="2"/>
    <n v="12.75"/>
    <n v="0.63750000000000007"/>
    <n v="12.112500000000001"/>
    <n v="36.337500000000006"/>
  </r>
  <r>
    <n v="559"/>
    <s v="Basilia"/>
    <s v="Thornton"/>
    <s v="(631) 592-9548"/>
    <s v="basilia.thornton@hotmail.com"/>
    <n v="199"/>
    <d v="2011-12-01T11:45:00"/>
    <n v="4"/>
    <n v="25"/>
    <s v="TRAVEL SEWING KIT"/>
    <s v="Debit Card"/>
    <n v="536412"/>
    <n v="22652"/>
    <n v="1.65"/>
    <n v="5"/>
    <n v="0.05"/>
    <x v="2"/>
    <n v="8.25"/>
    <n v="0.41250000000000003"/>
    <n v="7.8375000000000004"/>
    <n v="39.1875"/>
  </r>
  <r>
    <n v="560"/>
    <s v="Tricia"/>
    <s v="Daniels"/>
    <s v="NULL"/>
    <s v="tricia.daniels@gmail.com"/>
    <n v="199"/>
    <d v="2011-12-01T11:45:00"/>
    <n v="4"/>
    <n v="18"/>
    <s v="SET OF 3 NOTEBOOKS IN PARCEL"/>
    <s v="Debit Card"/>
    <n v="536412"/>
    <n v="22759"/>
    <n v="1.65"/>
    <n v="1"/>
    <n v="7.0000000000000007E-2"/>
    <x v="2"/>
    <n v="1.65"/>
    <n v="0.11550000000000001"/>
    <n v="1.5345"/>
    <n v="1.5345"/>
  </r>
  <r>
    <n v="561"/>
    <s v="Kandace"/>
    <s v="Hughes"/>
    <s v="NULL"/>
    <s v="kandace.hughes@hotmail.com"/>
    <n v="199"/>
    <d v="2011-12-01T11:45:00"/>
    <n v="4"/>
    <n v="4"/>
    <s v="RED RETROSPOT TAPE"/>
    <s v="Debit Card"/>
    <n v="536412"/>
    <n v="21880"/>
    <n v="0.65"/>
    <n v="10"/>
    <n v="0.2"/>
    <x v="2"/>
    <n v="6.5"/>
    <n v="1.3"/>
    <n v="5.2"/>
    <n v="52"/>
  </r>
  <r>
    <n v="562"/>
    <s v="Alejandro"/>
    <s v="Norman"/>
    <s v="NULL"/>
    <s v="alejandro.norman@yahoo.com"/>
    <n v="200"/>
    <d v="2011-12-01T11:45:00"/>
    <n v="4"/>
    <n v="23"/>
    <s v="COSY SLIPPER SHOES SMALL  RED "/>
    <s v="Debit Card"/>
    <n v="536412"/>
    <n v="21738"/>
    <n v="2.95"/>
    <n v="1"/>
    <n v="0.05"/>
    <x v="2"/>
    <n v="2.95"/>
    <n v="0.14750000000000002"/>
    <n v="2.8025000000000002"/>
    <n v="2.8025000000000002"/>
  </r>
  <r>
    <n v="563"/>
    <s v="Rodney"/>
    <s v="Odom"/>
    <s v="NULL"/>
    <s v="rodney.odom@yahoo.com"/>
    <n v="200"/>
    <d v="2011-12-01T11:45:00"/>
    <n v="4"/>
    <n v="22"/>
    <s v="6 RIBBONS RUSTIC CHARM"/>
    <s v="Debit Card"/>
    <n v="536412"/>
    <n v="22077"/>
    <n v="1.65"/>
    <n v="1"/>
    <n v="7.0000000000000007E-2"/>
    <x v="2"/>
    <n v="1.65"/>
    <n v="0.11550000000000001"/>
    <n v="1.5345"/>
    <n v="1.5345"/>
  </r>
  <r>
    <n v="564"/>
    <s v="Bettie"/>
    <s v="Pierce"/>
    <s v="NULL"/>
    <s v="bettie.pierce@gmail.com"/>
    <n v="201"/>
    <d v="2011-12-01T11:45:00"/>
    <n v="4"/>
    <n v="24"/>
    <s v="SCANDINAVIAN REDS RIBBONS"/>
    <s v="Debit Card"/>
    <n v="536412"/>
    <s v="85049E"/>
    <n v="1.25"/>
    <n v="3"/>
    <n v="0.05"/>
    <x v="2"/>
    <n v="3.75"/>
    <n v="0.1875"/>
    <n v="3.5625"/>
    <n v="10.6875"/>
  </r>
  <r>
    <n v="565"/>
    <s v="Dagny"/>
    <s v="Owen"/>
    <s v="NULL"/>
    <s v="dagny.owen@hotmail.com"/>
    <n v="201"/>
    <d v="2011-12-01T11:45:00"/>
    <n v="4"/>
    <n v="7"/>
    <s v="JAM MAKING SET PRINTED"/>
    <s v="Debit Card"/>
    <n v="536412"/>
    <n v="22961"/>
    <n v="1.45"/>
    <n v="24"/>
    <n v="0.2"/>
    <x v="2"/>
    <n v="34.799999999999997"/>
    <n v="6.96"/>
    <n v="27.839999999999996"/>
    <n v="668.15999999999985"/>
  </r>
  <r>
    <n v="566"/>
    <s v="Cinthia"/>
    <s v="Poole"/>
    <s v="NULL"/>
    <s v="cinthia.poole@aol.com"/>
    <n v="201"/>
    <d v="2011-12-01T11:45:00"/>
    <n v="4"/>
    <n v="14"/>
    <s v="12 DAISY PEGS IN WOOD BOX"/>
    <s v="Debit Card"/>
    <n v="536412"/>
    <n v="21448"/>
    <n v="1.65"/>
    <n v="2"/>
    <n v="0.1"/>
    <x v="2"/>
    <n v="3.3"/>
    <n v="0.33"/>
    <n v="2.9699999999999998"/>
    <n v="5.9399999999999995"/>
  </r>
  <r>
    <n v="567"/>
    <s v="Sheila"/>
    <s v="Travis"/>
    <s v="NULL"/>
    <s v="sheila.travis@yahoo.com"/>
    <n v="201"/>
    <d v="2011-12-01T11:45:00"/>
    <n v="4"/>
    <n v="17"/>
    <s v="HOT WATER BOTTLE BABUSHKA "/>
    <s v="Debit Card"/>
    <n v="536412"/>
    <n v="22837"/>
    <n v="4.6500000000000004"/>
    <n v="3"/>
    <n v="0.05"/>
    <x v="2"/>
    <n v="13.950000000000001"/>
    <n v="0.69750000000000012"/>
    <n v="13.252500000000001"/>
    <n v="39.757500000000007"/>
  </r>
  <r>
    <n v="568"/>
    <s v="Arcelia"/>
    <s v="Vinson"/>
    <s v="NULL"/>
    <s v="arcelia.vinson@gmail.com"/>
    <n v="202"/>
    <d v="2011-12-01T11:45:00"/>
    <n v="4"/>
    <n v="8"/>
    <s v="FELTCRAFT PRINCESS CHARLOTTE DOLL"/>
    <s v="Debit Card"/>
    <n v="536412"/>
    <n v="22749"/>
    <n v="3.75"/>
    <n v="2"/>
    <n v="7.0000000000000007E-2"/>
    <x v="2"/>
    <n v="7.5"/>
    <n v="0.52500000000000002"/>
    <n v="6.9749999999999996"/>
    <n v="13.95"/>
  </r>
  <r>
    <n v="569"/>
    <s v="Lucas"/>
    <s v="Estes"/>
    <s v="NULL"/>
    <s v="lucas.estes@yahoo.com"/>
    <n v="202"/>
    <d v="2011-12-01T11:45:00"/>
    <n v="4"/>
    <n v="17"/>
    <s v="FELTCRAFT CHRISTMAS FAIRY"/>
    <s v="Debit Card"/>
    <n v="536412"/>
    <n v="22940"/>
    <n v="4.25"/>
    <n v="1"/>
    <n v="0.05"/>
    <x v="2"/>
    <n v="4.25"/>
    <n v="0.21250000000000002"/>
    <n v="4.0374999999999996"/>
    <n v="4.0374999999999996"/>
  </r>
  <r>
    <n v="570"/>
    <s v="Marissa"/>
    <s v="Summers"/>
    <s v="NULL"/>
    <s v="marissa.summers@msn.com"/>
    <n v="202"/>
    <d v="2011-12-01T11:45:00"/>
    <n v="4"/>
    <n v="15"/>
    <s v="FELTCRAFT PRINCESS CHARLOTTE DOLL"/>
    <s v="Debit Card"/>
    <n v="536412"/>
    <n v="22749"/>
    <n v="3.75"/>
    <n v="1"/>
    <n v="0.05"/>
    <x v="2"/>
    <n v="3.75"/>
    <n v="0.1875"/>
    <n v="3.5625"/>
    <n v="3.5625"/>
  </r>
  <r>
    <n v="571"/>
    <s v="Kaley"/>
    <s v="Blanchard"/>
    <s v="NULL"/>
    <s v="kaley.blanchard@msn.com"/>
    <n v="202"/>
    <d v="2011-12-01T11:45:00"/>
    <n v="4"/>
    <n v="25"/>
    <s v="6 RIBBONS RUSTIC CHARM"/>
    <s v="Debit Card"/>
    <n v="536412"/>
    <n v="22077"/>
    <n v="1.65"/>
    <n v="2"/>
    <n v="0.05"/>
    <x v="2"/>
    <n v="3.3"/>
    <n v="0.16500000000000001"/>
    <n v="3.1349999999999998"/>
    <n v="6.27"/>
  </r>
  <r>
    <n v="572"/>
    <s v="Wm"/>
    <s v="Pope"/>
    <s v="NULL"/>
    <s v="wm.pope@msn.com"/>
    <n v="203"/>
    <d v="2011-12-01T11:45:00"/>
    <n v="4"/>
    <n v="26"/>
    <s v="COSY SLIPPER SHOES SMALL  RED "/>
    <s v="Debit Card"/>
    <n v="536412"/>
    <n v="21738"/>
    <n v="2.95"/>
    <n v="2"/>
    <n v="0.05"/>
    <x v="2"/>
    <n v="5.9"/>
    <n v="0.29500000000000004"/>
    <n v="5.6050000000000004"/>
    <n v="11.21"/>
  </r>
  <r>
    <n v="573"/>
    <s v="Rubye"/>
    <s v="Mccall"/>
    <s v="(248) 764-3359"/>
    <s v="rubye.mccall@hotmail.com"/>
    <n v="203"/>
    <d v="2011-12-01T11:45:00"/>
    <n v="4"/>
    <n v="3"/>
    <s v="SCANDINAVIAN REDS RIBBONS"/>
    <s v="Debit Card"/>
    <n v="536412"/>
    <s v="85049E"/>
    <n v="1.25"/>
    <n v="1"/>
    <n v="0.1"/>
    <x v="2"/>
    <n v="1.25"/>
    <n v="0.125"/>
    <n v="1.125"/>
    <n v="1.125"/>
  </r>
  <r>
    <n v="574"/>
    <s v="Adriene"/>
    <s v="Rivera"/>
    <s v="NULL"/>
    <s v="adriene.rivera@hotmail.com"/>
    <n v="203"/>
    <d v="2011-12-01T11:45:00"/>
    <n v="4"/>
    <n v="17"/>
    <s v="5 HOOK HANGER RED MAGIC TOADSTOOL"/>
    <s v="Debit Card"/>
    <n v="536412"/>
    <n v="22243"/>
    <n v="1.65"/>
    <n v="6"/>
    <n v="0.2"/>
    <x v="2"/>
    <n v="9.8999999999999986"/>
    <n v="1.9799999999999998"/>
    <n v="7.919999999999999"/>
    <n v="47.519999999999996"/>
  </r>
  <r>
    <n v="575"/>
    <s v="Laurence"/>
    <s v="Christian"/>
    <s v="NULL"/>
    <s v="laurence.christian@gmail.com"/>
    <n v="203"/>
    <d v="2011-12-01T11:45:00"/>
    <n v="4"/>
    <n v="19"/>
    <s v="CHRISTMAS CRAFT TREE TOP ANGEL"/>
    <s v="Debit Card"/>
    <n v="536412"/>
    <n v="22141"/>
    <n v="2.1"/>
    <n v="1"/>
    <n v="7.0000000000000007E-2"/>
    <x v="2"/>
    <n v="2.1"/>
    <n v="0.14700000000000002"/>
    <n v="1.9530000000000001"/>
    <n v="1.9530000000000001"/>
  </r>
  <r>
    <n v="576"/>
    <s v="Shirely"/>
    <s v="Stanley"/>
    <s v="(915) 437-6113"/>
    <s v="shirely.stanley@gmail.com"/>
    <n v="204"/>
    <d v="2011-12-01T11:45:00"/>
    <n v="4"/>
    <n v="6"/>
    <s v="CHRISTMAS CRAFT LITTLE FRIENDS"/>
    <s v="Debit Card"/>
    <n v="536412"/>
    <n v="22144"/>
    <n v="2.1"/>
    <n v="2"/>
    <n v="7.0000000000000007E-2"/>
    <x v="2"/>
    <n v="4.2"/>
    <n v="0.29400000000000004"/>
    <n v="3.9060000000000001"/>
    <n v="7.8120000000000003"/>
  </r>
  <r>
    <n v="577"/>
    <s v="Danille"/>
    <s v="Mcfarland"/>
    <s v="NULL"/>
    <s v="danille.mcfarland@msn.com"/>
    <n v="204"/>
    <d v="2011-12-01T11:45:00"/>
    <n v="4"/>
    <n v="17"/>
    <s v="5 HOOK HANGER RED MAGIC TOADSTOOL"/>
    <s v="Debit Card"/>
    <n v="536412"/>
    <n v="22243"/>
    <n v="1.65"/>
    <n v="3"/>
    <n v="0.1"/>
    <x v="2"/>
    <n v="4.9499999999999993"/>
    <n v="0.49499999999999994"/>
    <n v="4.4549999999999992"/>
    <n v="13.364999999999998"/>
  </r>
  <r>
    <n v="578"/>
    <s v="Salena"/>
    <s v="Day"/>
    <s v="NULL"/>
    <s v="salena.day@msn.com"/>
    <n v="205"/>
    <d v="2011-12-01T11:45:00"/>
    <n v="4"/>
    <n v="22"/>
    <s v="6 RIBBONS RUSTIC CHARM"/>
    <s v="Debit Card"/>
    <n v="536412"/>
    <n v="22077"/>
    <n v="1.65"/>
    <n v="7"/>
    <n v="0.05"/>
    <x v="2"/>
    <n v="11.549999999999999"/>
    <n v="0.57750000000000001"/>
    <n v="10.972499999999998"/>
    <n v="76.80749999999999"/>
  </r>
  <r>
    <n v="579"/>
    <s v="Matilda"/>
    <s v="Larson"/>
    <s v="NULL"/>
    <s v="matilda.larson@hotmail.com"/>
    <n v="205"/>
    <d v="2011-12-01T11:45:00"/>
    <n v="4"/>
    <n v="24"/>
    <s v="12 DAISY PEGS IN WOOD BOX"/>
    <s v="Debit Card"/>
    <n v="536412"/>
    <n v="21448"/>
    <n v="1.65"/>
    <n v="1"/>
    <n v="0.1"/>
    <x v="2"/>
    <n v="1.65"/>
    <n v="0.16500000000000001"/>
    <n v="1.4849999999999999"/>
    <n v="1.4849999999999999"/>
  </r>
  <r>
    <n v="580"/>
    <s v="Mellisa"/>
    <s v="Kim"/>
    <s v="(424) 151-6481"/>
    <s v="mellisa.kim@aol.com"/>
    <n v="206"/>
    <d v="2011-12-01T11:45:00"/>
    <n v="4"/>
    <n v="25"/>
    <s v="SET OF 3 NOTEBOOKS IN PARCEL"/>
    <s v="Debit Card"/>
    <n v="536412"/>
    <n v="22759"/>
    <n v="1.65"/>
    <n v="5"/>
    <n v="0.05"/>
    <x v="2"/>
    <n v="8.25"/>
    <n v="0.41250000000000003"/>
    <n v="7.8375000000000004"/>
    <n v="39.1875"/>
  </r>
  <r>
    <n v="581"/>
    <s v="Vonda"/>
    <s v="Berger"/>
    <s v="NULL"/>
    <s v="vonda.berger@yahoo.com"/>
    <n v="206"/>
    <d v="2011-12-01T11:45:00"/>
    <n v="4"/>
    <n v="20"/>
    <s v="5 HOOK HANGER MAGIC TOADSTOOL"/>
    <s v="Debit Card"/>
    <n v="536412"/>
    <n v="22242"/>
    <n v="1.65"/>
    <n v="5"/>
    <n v="0.2"/>
    <x v="2"/>
    <n v="8.25"/>
    <n v="1.6500000000000001"/>
    <n v="6.6"/>
    <n v="33"/>
  </r>
  <r>
    <n v="582"/>
    <s v="Soledad"/>
    <s v="Moses"/>
    <s v="NULL"/>
    <s v="soledad.moses@yahoo.com"/>
    <n v="207"/>
    <d v="2011-12-01T11:45:00"/>
    <n v="3"/>
    <n v="12"/>
    <s v="SCANDINAVIAN REDS RIBBONS"/>
    <s v="Debit Card"/>
    <n v="536412"/>
    <s v="85049E"/>
    <n v="1.25"/>
    <n v="12"/>
    <n v="0.2"/>
    <x v="2"/>
    <n v="15"/>
    <n v="3"/>
    <n v="12"/>
    <n v="144"/>
  </r>
  <r>
    <n v="583"/>
    <s v="Lashandra"/>
    <s v="Turner"/>
    <s v="(562) 327-9469"/>
    <s v="lashandra.turner@hotmail.com"/>
    <n v="207"/>
    <d v="2011-12-01T11:45:00"/>
    <n v="4"/>
    <n v="5"/>
    <s v="RED TOADSTOOL LED NIGHT LIGHT"/>
    <s v="Debit Card"/>
    <n v="536412"/>
    <n v="21731"/>
    <n v="1.65"/>
    <n v="5"/>
    <n v="0.05"/>
    <x v="2"/>
    <n v="8.25"/>
    <n v="0.41250000000000003"/>
    <n v="7.8375000000000004"/>
    <n v="39.1875"/>
  </r>
  <r>
    <n v="584"/>
    <s v="Lynne"/>
    <s v="Anderson"/>
    <s v="(915) 789-6666"/>
    <s v="lynne.anderson@msn.com"/>
    <n v="207"/>
    <d v="2011-12-01T11:45:00"/>
    <n v="4"/>
    <n v="11"/>
    <s v="5 HOOK HANGER RED MAGIC TOADSTOOL"/>
    <s v="Debit Card"/>
    <n v="536412"/>
    <n v="22243"/>
    <n v="1.65"/>
    <n v="1"/>
    <n v="7.0000000000000007E-2"/>
    <x v="2"/>
    <n v="1.65"/>
    <n v="0.11550000000000001"/>
    <n v="1.5345"/>
    <n v="1.5345"/>
  </r>
  <r>
    <n v="585"/>
    <s v="Chasidy"/>
    <s v="Webster"/>
    <s v="NULL"/>
    <s v="chasidy.webster@msn.com"/>
    <n v="207"/>
    <d v="2011-12-01T11:45:00"/>
    <n v="4"/>
    <n v="7"/>
    <s v="COSY SLIPPER SHOES SMALL GREEN"/>
    <s v="Debit Card"/>
    <n v="536412"/>
    <n v="21739"/>
    <n v="2.95"/>
    <n v="2"/>
    <n v="0.1"/>
    <x v="2"/>
    <n v="5.9"/>
    <n v="0.59000000000000008"/>
    <n v="5.3100000000000005"/>
    <n v="10.620000000000001"/>
  </r>
  <r>
    <n v="586"/>
    <s v="Ulysses"/>
    <s v="Gaines"/>
    <s v="NULL"/>
    <s v="ulysses.gaines@aol.com"/>
    <n v="208"/>
    <d v="2011-12-01T11:45:00"/>
    <n v="4"/>
    <n v="6"/>
    <s v="COSY SLIPPER SHOES SMALL  RED "/>
    <s v="Debit Card"/>
    <n v="536412"/>
    <n v="21738"/>
    <n v="2.95"/>
    <n v="5"/>
    <n v="0.05"/>
    <x v="2"/>
    <n v="14.75"/>
    <n v="0.73750000000000004"/>
    <n v="14.012499999999999"/>
    <n v="70.0625"/>
  </r>
  <r>
    <n v="587"/>
    <s v="Euna"/>
    <s v="Lopez"/>
    <s v="NULL"/>
    <s v="euna.lopez@gmail.com"/>
    <n v="208"/>
    <d v="2011-12-01T11:45:00"/>
    <n v="4"/>
    <n v="4"/>
    <s v="FELTCRAFT DOLL ROSIE"/>
    <s v="Debit Card"/>
    <n v="536412"/>
    <n v="22271"/>
    <n v="2.95"/>
    <n v="2"/>
    <n v="7.0000000000000007E-2"/>
    <x v="2"/>
    <n v="5.9"/>
    <n v="0.41300000000000009"/>
    <n v="5.4870000000000001"/>
    <n v="10.974"/>
  </r>
  <r>
    <n v="588"/>
    <s v="Cherelle"/>
    <s v="Key"/>
    <s v="NULL"/>
    <s v="cherelle.key@msn.com"/>
    <n v="208"/>
    <d v="2011-12-01T11:45:00"/>
    <n v="4"/>
    <n v="3"/>
    <s v="FELTCRAFT DOLL MOLLY"/>
    <s v="Debit Card"/>
    <n v="536412"/>
    <n v="22273"/>
    <n v="2.95"/>
    <n v="1"/>
    <n v="0.05"/>
    <x v="2"/>
    <n v="2.95"/>
    <n v="0.14750000000000002"/>
    <n v="2.8025000000000002"/>
    <n v="2.8025000000000002"/>
  </r>
  <r>
    <n v="589"/>
    <s v="Jeffry"/>
    <s v="Church"/>
    <s v="NULL"/>
    <s v="jeffry.church@msn.com"/>
    <n v="208"/>
    <d v="2011-12-01T11:45:00"/>
    <n v="4"/>
    <n v="12"/>
    <s v="FELTCRAFT DOLL EMILY"/>
    <s v="Debit Card"/>
    <n v="536412"/>
    <n v="22274"/>
    <n v="2.95"/>
    <n v="2"/>
    <n v="0.2"/>
    <x v="2"/>
    <n v="5.9"/>
    <n v="1.1800000000000002"/>
    <n v="4.7200000000000006"/>
    <n v="9.4400000000000013"/>
  </r>
  <r>
    <n v="590"/>
    <s v="Cyndi"/>
    <s v="Dyer"/>
    <s v="NULL"/>
    <s v="cyndi.dyer@msn.com"/>
    <n v="208"/>
    <d v="2011-12-01T11:45:00"/>
    <n v="4"/>
    <n v="10"/>
    <s v="FELTCRAFT PRINCESS CHARLOTTE DOLL"/>
    <s v="Debit Card"/>
    <n v="536412"/>
    <n v="22749"/>
    <n v="3.75"/>
    <n v="1"/>
    <n v="0.05"/>
    <x v="2"/>
    <n v="3.75"/>
    <n v="0.1875"/>
    <n v="3.5625"/>
    <n v="3.5625"/>
  </r>
  <r>
    <n v="591"/>
    <s v="Danilo"/>
    <s v="Holmes"/>
    <s v="NULL"/>
    <s v="danilo.holmes@gmail.com"/>
    <n v="209"/>
    <d v="2011-12-01T11:45:00"/>
    <n v="4"/>
    <n v="13"/>
    <s v="FELTCRAFT PRINCESS OLIVIA DOLL"/>
    <s v="Debit Card"/>
    <n v="536412"/>
    <n v="22751"/>
    <n v="3.75"/>
    <n v="2"/>
    <n v="0.1"/>
    <x v="2"/>
    <n v="7.5"/>
    <n v="0.75"/>
    <n v="6.75"/>
    <n v="13.5"/>
  </r>
  <r>
    <n v="592"/>
    <s v="Joni"/>
    <s v="Lee"/>
    <s v="NULL"/>
    <s v="joni.lee@gmail.com"/>
    <n v="210"/>
    <d v="2011-12-01T11:45:00"/>
    <n v="4"/>
    <n v="14"/>
    <s v="REX CASH+CARRY JUMBO SHOPPER"/>
    <s v="Debit Card"/>
    <n v="536412"/>
    <n v="21034"/>
    <n v="0.95"/>
    <n v="1"/>
    <n v="7.0000000000000007E-2"/>
    <x v="2"/>
    <n v="0.95"/>
    <n v="6.6500000000000004E-2"/>
    <n v="0.88349999999999995"/>
    <n v="0.88349999999999995"/>
  </r>
  <r>
    <n v="593"/>
    <s v="Antony"/>
    <s v="Atkinson"/>
    <s v="NULL"/>
    <s v="antony.atkinson@msn.com"/>
    <n v="210"/>
    <d v="2011-12-01T11:45:00"/>
    <n v="4"/>
    <n v="13"/>
    <s v="FELTCRAFT DOLL MOLLY"/>
    <s v="Debit Card"/>
    <n v="536412"/>
    <n v="22273"/>
    <n v="2.95"/>
    <n v="2"/>
    <n v="0.2"/>
    <x v="2"/>
    <n v="5.9"/>
    <n v="1.1800000000000002"/>
    <n v="4.7200000000000006"/>
    <n v="9.4400000000000013"/>
  </r>
  <r>
    <n v="594"/>
    <s v="Deanne"/>
    <s v="Parsons"/>
    <s v="NULL"/>
    <s v="deanne.parsons@aol.com"/>
    <n v="211"/>
    <d v="2011-12-01T11:45:00"/>
    <n v="4"/>
    <n v="10"/>
    <s v="FELTCRAFT CUSHION OWL"/>
    <s v="Debit Card"/>
    <n v="536412"/>
    <n v="22568"/>
    <n v="3.75"/>
    <n v="3"/>
    <n v="7.0000000000000007E-2"/>
    <x v="2"/>
    <n v="11.25"/>
    <n v="0.78750000000000009"/>
    <n v="10.4625"/>
    <n v="31.387500000000003"/>
  </r>
  <r>
    <n v="595"/>
    <s v="Frederica"/>
    <s v="Rojas"/>
    <s v="NULL"/>
    <s v="frederica.rojas@yahoo.com"/>
    <n v="211"/>
    <d v="2011-12-01T11:45:00"/>
    <n v="4"/>
    <n v="2"/>
    <s v="CHRISTMAS CRAFT TREE TOP ANGEL"/>
    <s v="Debit Card"/>
    <n v="536412"/>
    <n v="22141"/>
    <n v="2.1"/>
    <n v="1"/>
    <n v="7.0000000000000007E-2"/>
    <x v="2"/>
    <n v="2.1"/>
    <n v="0.14700000000000002"/>
    <n v="1.9530000000000001"/>
    <n v="1.9530000000000001"/>
  </r>
  <r>
    <n v="596"/>
    <s v="Emelda"/>
    <s v="Dickerson"/>
    <s v="NULL"/>
    <s v="emelda.dickerson@aol.com"/>
    <n v="212"/>
    <d v="2011-12-01T11:45:00"/>
    <n v="4"/>
    <n v="16"/>
    <s v="CHRISTMAS CRAFT LITTLE FRIENDS"/>
    <s v="Debit Card"/>
    <n v="536412"/>
    <n v="22144"/>
    <n v="2.1"/>
    <n v="1"/>
    <n v="7.0000000000000007E-2"/>
    <x v="2"/>
    <n v="2.1"/>
    <n v="0.14700000000000002"/>
    <n v="1.9530000000000001"/>
    <n v="1.9530000000000001"/>
  </r>
  <r>
    <n v="597"/>
    <s v="Rudolf"/>
    <s v="Moran"/>
    <s v="NULL"/>
    <s v="rudolf.moran@gmail.com"/>
    <n v="212"/>
    <d v="2011-12-01T11:45:00"/>
    <n v="4"/>
    <n v="12"/>
    <s v="FELTCRAFT CUSHION RABBIT"/>
    <s v="Debit Card"/>
    <n v="536412"/>
    <n v="22570"/>
    <n v="3.75"/>
    <n v="3"/>
    <n v="0.2"/>
    <x v="2"/>
    <n v="11.25"/>
    <n v="2.25"/>
    <n v="9"/>
    <n v="27"/>
  </r>
  <r>
    <n v="598"/>
    <s v="Benito"/>
    <s v="Hendrix"/>
    <s v="NULL"/>
    <s v="benito.hendrix@gmail.com"/>
    <n v="212"/>
    <d v="2011-12-01T11:45:00"/>
    <n v="3"/>
    <n v="19"/>
    <s v="FELTCRAFT CUSHION BUTTERFLY"/>
    <s v="Debit Card"/>
    <n v="536412"/>
    <n v="22569"/>
    <n v="3.75"/>
    <n v="2"/>
    <n v="0.1"/>
    <x v="2"/>
    <n v="7.5"/>
    <n v="0.75"/>
    <n v="6.75"/>
    <n v="13.5"/>
  </r>
  <r>
    <n v="599"/>
    <s v="Jonell"/>
    <s v="Rivas"/>
    <s v="NULL"/>
    <s v="jonell.rivas@msn.com"/>
    <n v="212"/>
    <d v="2011-12-01T11:45:00"/>
    <n v="4"/>
    <n v="7"/>
    <s v="12 DAISY PEGS IN WOOD BOX"/>
    <s v="Debit Card"/>
    <n v="536412"/>
    <n v="21448"/>
    <n v="1.65"/>
    <n v="1"/>
    <n v="0.2"/>
    <x v="2"/>
    <n v="1.65"/>
    <n v="0.33"/>
    <n v="1.3199999999999998"/>
    <n v="1.3199999999999998"/>
  </r>
  <r>
    <n v="600"/>
    <s v="Joi"/>
    <s v="Reeves"/>
    <s v="(619) 952-9613"/>
    <s v="joi.reeves@msn.com"/>
    <n v="213"/>
    <d v="2011-12-01T11:45:00"/>
    <n v="4"/>
    <n v="13"/>
    <s v="PAPER CHAIN KIT 50'S CHRISTMAS "/>
    <s v="Debit Card"/>
    <n v="536412"/>
    <n v="22086"/>
    <n v="2.95"/>
    <n v="1"/>
    <n v="0.1"/>
    <x v="2"/>
    <n v="2.95"/>
    <n v="0.29500000000000004"/>
    <n v="2.6550000000000002"/>
    <n v="2.6550000000000002"/>
  </r>
  <r>
    <n v="601"/>
    <s v="Leland"/>
    <s v="Mcdowell"/>
    <s v="NULL"/>
    <s v="leland.mcdowell@gmail.com"/>
    <n v="214"/>
    <d v="2011-12-01T11:45:00"/>
    <n v="4"/>
    <n v="21"/>
    <s v="FELTCRAFT CUSHION BUTTERFLY"/>
    <s v="Debit Card"/>
    <n v="536412"/>
    <n v="22569"/>
    <n v="3.75"/>
    <n v="2"/>
    <n v="0.1"/>
    <x v="2"/>
    <n v="7.5"/>
    <n v="0.75"/>
    <n v="6.75"/>
    <n v="13.5"/>
  </r>
  <r>
    <n v="602"/>
    <s v="Delaine"/>
    <s v="Estes"/>
    <s v="NULL"/>
    <s v="delaine.estes@yahoo.com"/>
    <n v="215"/>
    <d v="2011-12-01T11:45:00"/>
    <n v="4"/>
    <n v="19"/>
    <s v="12 DAISY PEGS IN WOOD BOX"/>
    <s v="Debit Card"/>
    <n v="536412"/>
    <n v="21448"/>
    <n v="1.65"/>
    <n v="2"/>
    <n v="7.0000000000000007E-2"/>
    <x v="2"/>
    <n v="3.3"/>
    <n v="0.23100000000000001"/>
    <n v="3.069"/>
    <n v="6.1379999999999999"/>
  </r>
  <r>
    <n v="603"/>
    <s v="Genevieve"/>
    <s v="Juarez"/>
    <s v="NULL"/>
    <s v="genevieve.juarez@gmail.com"/>
    <n v="215"/>
    <d v="2011-12-01T11:45:00"/>
    <n v="4"/>
    <n v="12"/>
    <s v="ROSE COTTAGE KEEPSAKE BOX "/>
    <s v="Debit Card"/>
    <n v="536412"/>
    <n v="22968"/>
    <n v="9.9499999999999993"/>
    <n v="4"/>
    <n v="0.1"/>
    <x v="2"/>
    <n v="39.799999999999997"/>
    <n v="3.98"/>
    <n v="35.82"/>
    <n v="143.28"/>
  </r>
  <r>
    <n v="604"/>
    <s v="Kylee"/>
    <s v="Dickson"/>
    <s v="NULL"/>
    <s v="kylee.dickson@gmail.com"/>
    <n v="216"/>
    <d v="2011-12-01T11:45:00"/>
    <n v="4"/>
    <n v="22"/>
    <s v="TOTE BAG I LOVE LONDON"/>
    <s v="Debit Card"/>
    <n v="536412"/>
    <n v="22902"/>
    <n v="2.1"/>
    <n v="7"/>
    <n v="0.1"/>
    <x v="2"/>
    <n v="14.700000000000001"/>
    <n v="1.4700000000000002"/>
    <n v="13.23"/>
    <n v="92.61"/>
  </r>
  <r>
    <n v="605"/>
    <s v="Renita"/>
    <s v="Henry"/>
    <s v="NULL"/>
    <s v="renita.henry@msn.com"/>
    <n v="216"/>
    <d v="2011-12-01T11:45:00"/>
    <n v="4"/>
    <n v="16"/>
    <s v="12 DAISY PEGS IN WOOD BOX"/>
    <s v="Debit Card"/>
    <n v="536412"/>
    <n v="21448"/>
    <n v="1.65"/>
    <n v="2"/>
    <n v="0.05"/>
    <x v="2"/>
    <n v="3.3"/>
    <n v="0.16500000000000001"/>
    <n v="3.1349999999999998"/>
    <n v="6.27"/>
  </r>
  <r>
    <n v="606"/>
    <s v="Sarah"/>
    <s v="Kirkland"/>
    <s v="NULL"/>
    <s v="sarah.kirkland@aol.com"/>
    <n v="217"/>
    <d v="2011-12-01T11:45:00"/>
    <n v="4"/>
    <n v="18"/>
    <s v="TOTE BAG I LOVE LONDON"/>
    <s v="Debit Card"/>
    <n v="536412"/>
    <n v="22902"/>
    <n v="2.1"/>
    <n v="7"/>
    <n v="0.1"/>
    <x v="2"/>
    <n v="14.700000000000001"/>
    <n v="1.4700000000000002"/>
    <n v="13.23"/>
    <n v="92.61"/>
  </r>
  <r>
    <n v="607"/>
    <s v="Paul"/>
    <s v="Lester"/>
    <s v="NULL"/>
    <s v="paul.lester@gmail.com"/>
    <n v="217"/>
    <d v="2011-12-01T11:45:00"/>
    <n v="4"/>
    <n v="10"/>
    <s v="FOLDING UMBRELLA PINKWHITE POLKADOT"/>
    <s v="Debit Card"/>
    <n v="536412"/>
    <n v="21710"/>
    <n v="4.95"/>
    <n v="1"/>
    <n v="0.1"/>
    <x v="2"/>
    <n v="4.95"/>
    <n v="0.49500000000000005"/>
    <n v="4.4550000000000001"/>
    <n v="4.4550000000000001"/>
  </r>
  <r>
    <n v="608"/>
    <s v="Taisha"/>
    <s v="Vang"/>
    <s v="NULL"/>
    <s v="taisha.vang@yahoo.com"/>
    <n v="217"/>
    <d v="2011-12-01T11:45:00"/>
    <n v="4"/>
    <n v="17"/>
    <s v="FOLDING UMBRELLA CREAM POLKADOT"/>
    <s v="Debit Card"/>
    <n v="536412"/>
    <n v="21708"/>
    <n v="4.95"/>
    <n v="1"/>
    <n v="7.0000000000000007E-2"/>
    <x v="2"/>
    <n v="4.95"/>
    <n v="0.34650000000000003"/>
    <n v="4.6035000000000004"/>
    <n v="4.6035000000000004"/>
  </r>
  <r>
    <n v="609"/>
    <s v="Eliana"/>
    <s v="Reese"/>
    <s v="NULL"/>
    <s v="eliana.reese@hotmail.com"/>
    <n v="218"/>
    <d v="2011-12-01T11:45:00"/>
    <n v="4"/>
    <n v="2"/>
    <s v="FOLDING UMBRELLA WHITE/RED POLKADOT"/>
    <s v="Debit Card"/>
    <n v="536412"/>
    <n v="21711"/>
    <n v="4.95"/>
    <n v="1"/>
    <n v="0.1"/>
    <x v="2"/>
    <n v="4.95"/>
    <n v="0.49500000000000005"/>
    <n v="4.4550000000000001"/>
    <n v="4.4550000000000001"/>
  </r>
  <r>
    <n v="610"/>
    <s v="Leonore"/>
    <s v="Dorsey"/>
    <s v="NULL"/>
    <s v="leonore.dorsey@yahoo.com"/>
    <n v="218"/>
    <d v="2011-12-01T11:45:00"/>
    <n v="4"/>
    <n v="13"/>
    <s v="SET 10 LIGHTS NIGHT OWL"/>
    <s v="Debit Card"/>
    <n v="536412"/>
    <n v="22179"/>
    <n v="6.75"/>
    <n v="2"/>
    <n v="7.0000000000000007E-2"/>
    <x v="2"/>
    <n v="13.5"/>
    <n v="0.94500000000000006"/>
    <n v="12.555"/>
    <n v="25.11"/>
  </r>
  <r>
    <n v="611"/>
    <s v="Ashleigh"/>
    <s v="Frank"/>
    <s v="NULL"/>
    <s v="ashleigh.frank@gmail.com"/>
    <n v="218"/>
    <d v="2011-12-01T11:45:00"/>
    <n v="4"/>
    <n v="12"/>
    <s v="SMALL POPCORN HOLDER"/>
    <s v="Debit Card"/>
    <n v="536412"/>
    <n v="22197"/>
    <n v="0.85"/>
    <n v="5"/>
    <n v="0.05"/>
    <x v="2"/>
    <n v="4.25"/>
    <n v="0.21250000000000002"/>
    <n v="4.0374999999999996"/>
    <n v="20.1875"/>
  </r>
  <r>
    <n v="612"/>
    <s v="Gabriel"/>
    <s v="Wagner"/>
    <s v="NULL"/>
    <s v="gabriel.wagner@msn.com"/>
    <n v="219"/>
    <d v="2011-12-01T11:45:00"/>
    <n v="4"/>
    <n v="26"/>
    <s v=" SET 2 TEA TOWELS I LOVE LONDON "/>
    <s v="Debit Card"/>
    <n v="536412"/>
    <n v="22900"/>
    <n v="2.95"/>
    <n v="2"/>
    <n v="0.05"/>
    <x v="2"/>
    <n v="5.9"/>
    <n v="0.29500000000000004"/>
    <n v="5.6050000000000004"/>
    <n v="11.21"/>
  </r>
  <r>
    <n v="613"/>
    <s v="Margene"/>
    <s v="Eaton"/>
    <s v="NULL"/>
    <s v="margene.eaton@yahoo.com"/>
    <n v="219"/>
    <d v="2011-12-01T11:45:00"/>
    <n v="4"/>
    <n v="5"/>
    <s v="FOLDING UMBRELLA RED/WHITE POLKADOT"/>
    <s v="Debit Card"/>
    <n v="536412"/>
    <n v="21706"/>
    <n v="4.95"/>
    <n v="1"/>
    <n v="0.2"/>
    <x v="2"/>
    <n v="4.95"/>
    <n v="0.9900000000000001"/>
    <n v="3.96"/>
    <n v="3.96"/>
  </r>
  <r>
    <n v="614"/>
    <s v="Toshia"/>
    <s v="Cardenas"/>
    <s v="NULL"/>
    <s v="toshia.cardenas@gmail.com"/>
    <n v="220"/>
    <d v="2011-12-01T11:45:00"/>
    <n v="4"/>
    <n v="6"/>
    <s v="BABUSHKA LIGHTS STRING OF 10"/>
    <s v="Debit Card"/>
    <n v="536412"/>
    <n v="22468"/>
    <n v="6.75"/>
    <n v="2"/>
    <n v="0.05"/>
    <x v="2"/>
    <n v="13.5"/>
    <n v="0.67500000000000004"/>
    <n v="12.824999999999999"/>
    <n v="25.65"/>
  </r>
  <r>
    <n v="615"/>
    <s v="Jamika"/>
    <s v="Blanchard"/>
    <s v="NULL"/>
    <s v="jamika.blanchard@gmail.com"/>
    <n v="220"/>
    <d v="2011-12-01T11:45:00"/>
    <n v="4"/>
    <n v="25"/>
    <s v="LUNCH BAG RED RETROSPOT"/>
    <s v="Debit Card"/>
    <n v="536412"/>
    <n v="20725"/>
    <n v="1.65"/>
    <n v="1"/>
    <n v="7.0000000000000007E-2"/>
    <x v="2"/>
    <n v="1.65"/>
    <n v="0.11550000000000001"/>
    <n v="1.5345"/>
    <n v="1.5345"/>
  </r>
  <r>
    <n v="616"/>
    <s v="Shery"/>
    <s v="Acosta"/>
    <s v="NULL"/>
    <s v="shery.acosta@yahoo.com"/>
    <n v="220"/>
    <d v="2011-12-01T11:45:00"/>
    <n v="4"/>
    <n v="22"/>
    <s v="S/4 VALENTINE DECOUPAGE HEART BOX"/>
    <s v="Debit Card"/>
    <n v="536412"/>
    <s v="85184C"/>
    <n v="2.95"/>
    <n v="1"/>
    <n v="0.1"/>
    <x v="2"/>
    <n v="2.95"/>
    <n v="0.29500000000000004"/>
    <n v="2.6550000000000002"/>
    <n v="2.6550000000000002"/>
  </r>
  <r>
    <n v="617"/>
    <s v="Jenna"/>
    <s v="Saunders"/>
    <s v="NULL"/>
    <s v="jenna.saunders@aol.com"/>
    <n v="220"/>
    <d v="2011-12-01T11:45:00"/>
    <n v="4"/>
    <n v="3"/>
    <s v="FOLDING UMBRELLA CREAM POLKADOT"/>
    <s v="Debit Card"/>
    <n v="536412"/>
    <n v="21708"/>
    <n v="4.95"/>
    <n v="1"/>
    <n v="0.2"/>
    <x v="2"/>
    <n v="4.95"/>
    <n v="0.9900000000000001"/>
    <n v="3.96"/>
    <n v="3.96"/>
  </r>
  <r>
    <n v="618"/>
    <s v="Skye"/>
    <s v="Pope"/>
    <s v="NULL"/>
    <s v="skye.pope@yahoo.com"/>
    <n v="221"/>
    <d v="2011-12-01T11:45:00"/>
    <n v="4"/>
    <n v="11"/>
    <s v=" SET 2 TEA TOWELS I LOVE LONDON "/>
    <s v="Debit Card"/>
    <n v="536412"/>
    <n v="22900"/>
    <n v="2.95"/>
    <n v="2"/>
    <n v="7.0000000000000007E-2"/>
    <x v="2"/>
    <n v="5.9"/>
    <n v="0.41300000000000009"/>
    <n v="5.4870000000000001"/>
    <n v="10.974"/>
  </r>
  <r>
    <n v="619"/>
    <s v="Ana"/>
    <s v="Palmer"/>
    <s v="(657) 323-8684"/>
    <s v="ana.palmer@yahoo.com"/>
    <n v="222"/>
    <d v="2011-12-01T11:45:00"/>
    <n v="4"/>
    <n v="10"/>
    <s v="FOLDING UMBRELLA RED/WHITE POLKADOT"/>
    <s v="Debit Card"/>
    <n v="536412"/>
    <n v="21706"/>
    <n v="4.95"/>
    <n v="1"/>
    <n v="0.1"/>
    <x v="2"/>
    <n v="4.95"/>
    <n v="0.49500000000000005"/>
    <n v="4.4550000000000001"/>
    <n v="4.4550000000000001"/>
  </r>
  <r>
    <n v="620"/>
    <s v="Eric"/>
    <s v="Hardin"/>
    <s v="NULL"/>
    <s v="eric.hardin@gmail.com"/>
    <n v="222"/>
    <d v="2011-12-01T11:45:00"/>
    <n v="4"/>
    <n v="2"/>
    <s v="SOLDIERS EGG CUP "/>
    <s v="Debit Card"/>
    <n v="536412"/>
    <n v="22988"/>
    <n v="1.25"/>
    <n v="6"/>
    <n v="0.1"/>
    <x v="2"/>
    <n v="7.5"/>
    <n v="0.75"/>
    <n v="6.75"/>
    <n v="40.5"/>
  </r>
  <r>
    <n v="621"/>
    <s v="Basil"/>
    <s v="Ballard"/>
    <s v="NULL"/>
    <s v="basil.ballard@yahoo.com"/>
    <n v="223"/>
    <d v="2011-12-01T11:45:00"/>
    <n v="4"/>
    <n v="7"/>
    <s v="S/4 VALENTINE DECOUPAGE HEART BOX"/>
    <s v="Debit Card"/>
    <n v="536412"/>
    <s v="85184C"/>
    <n v="2.95"/>
    <n v="1"/>
    <n v="0.05"/>
    <x v="2"/>
    <n v="2.95"/>
    <n v="0.14750000000000002"/>
    <n v="2.8025000000000002"/>
    <n v="2.8025000000000002"/>
  </r>
  <r>
    <n v="622"/>
    <s v="Gabriel"/>
    <s v="Pitts"/>
    <s v="NULL"/>
    <s v="gabriel.pitts@gmail.com"/>
    <n v="223"/>
    <d v="2011-12-01T11:45:00"/>
    <n v="4"/>
    <n v="5"/>
    <s v="RED RETROSPOT MINI CASES"/>
    <s v="Debit Card"/>
    <n v="536412"/>
    <n v="20750"/>
    <n v="7.95"/>
    <n v="1"/>
    <n v="0.2"/>
    <x v="2"/>
    <n v="7.95"/>
    <n v="1.59"/>
    <n v="6.36"/>
    <n v="6.36"/>
  </r>
  <r>
    <n v="623"/>
    <s v="Cayla"/>
    <s v="Johnson"/>
    <s v="NULL"/>
    <s v="cayla.johnson@msn.com"/>
    <n v="223"/>
    <d v="2011-12-01T11:45:00"/>
    <n v="4"/>
    <n v="21"/>
    <m/>
    <s v="Debit Card"/>
    <n v="536414"/>
    <n v="22139"/>
    <n v="0"/>
    <n v="56"/>
    <n v="0.1"/>
    <x v="2"/>
    <n v="0"/>
    <n v="0"/>
    <n v="0"/>
    <n v="0"/>
  </r>
  <r>
    <n v="624"/>
    <s v="Sharika"/>
    <s v="Colon"/>
    <s v="(562) 452-6136"/>
    <s v="sharika.colon@gmail.com"/>
    <n v="223"/>
    <d v="2011-12-01T11:45:00"/>
    <n v="4"/>
    <n v="20"/>
    <s v="60 CAKE CASES VINTAGE CHRISTMAS"/>
    <s v="Debit Card"/>
    <n v="536415"/>
    <n v="22952"/>
    <n v="0.55000000000000004"/>
    <n v="10"/>
    <n v="0.05"/>
    <x v="2"/>
    <n v="5.5"/>
    <n v="0.27500000000000002"/>
    <n v="5.2249999999999996"/>
    <n v="52.25"/>
  </r>
  <r>
    <n v="625"/>
    <s v="Donnetta"/>
    <s v="Henson"/>
    <s v="NULL"/>
    <s v="donnetta.henson@hotmail.com"/>
    <n v="223"/>
    <d v="2011-12-01T11:45:00"/>
    <n v="4"/>
    <n v="15"/>
    <s v="PAPER CHAIN KIT VINTAGE CHRISTMAS"/>
    <s v="Debit Card"/>
    <n v="536415"/>
    <n v="22910"/>
    <n v="2.95"/>
    <n v="5"/>
    <n v="0.05"/>
    <x v="2"/>
    <n v="14.75"/>
    <n v="0.73750000000000004"/>
    <n v="14.012499999999999"/>
    <n v="70.0625"/>
  </r>
  <r>
    <n v="626"/>
    <s v="Leigh"/>
    <s v="Burke"/>
    <s v="NULL"/>
    <s v="leigh.burke@hotmail.com"/>
    <n v="224"/>
    <d v="2011-12-01T11:45:00"/>
    <n v="4"/>
    <n v="6"/>
    <s v="RIBBON REEL CHRISTMAS SOCK BAUBLE"/>
    <s v="Debit Card"/>
    <n v="536415"/>
    <n v="22739"/>
    <n v="1.65"/>
    <n v="3"/>
    <n v="7.0000000000000007E-2"/>
    <x v="2"/>
    <n v="4.9499999999999993"/>
    <n v="0.34649999999999997"/>
    <n v="4.6034999999999995"/>
    <n v="13.810499999999998"/>
  </r>
  <r>
    <n v="627"/>
    <s v="Deloris"/>
    <s v="Larson"/>
    <s v="NULL"/>
    <s v="deloris.larson@aol.com"/>
    <n v="224"/>
    <d v="2011-12-01T11:45:00"/>
    <n v="4"/>
    <n v="11"/>
    <s v="RIBBON REEL SNOWY VILLAGE"/>
    <s v="Debit Card"/>
    <n v="536415"/>
    <n v="22738"/>
    <n v="1.65"/>
    <n v="3"/>
    <n v="0.1"/>
    <x v="2"/>
    <n v="4.9499999999999993"/>
    <n v="0.49499999999999994"/>
    <n v="4.4549999999999992"/>
    <n v="13.364999999999998"/>
  </r>
  <r>
    <n v="628"/>
    <s v="Ehtel"/>
    <s v="Cobb"/>
    <s v="NULL"/>
    <s v="ehtel.cobb@hotmail.com"/>
    <n v="224"/>
    <d v="2011-12-01T11:45:00"/>
    <n v="4"/>
    <n v="10"/>
    <s v="RIBBON REEL MAKING SNOWMEN "/>
    <s v="Debit Card"/>
    <n v="536415"/>
    <n v="22736"/>
    <n v="1.65"/>
    <n v="3"/>
    <n v="0.2"/>
    <x v="2"/>
    <n v="4.9499999999999993"/>
    <n v="0.98999999999999988"/>
    <n v="3.9599999999999995"/>
    <n v="11.879999999999999"/>
  </r>
  <r>
    <n v="629"/>
    <s v="Evelina"/>
    <s v="Byrd"/>
    <s v="(716) 601-7704"/>
    <s v="evelina.byrd@msn.com"/>
    <n v="224"/>
    <d v="2011-12-01T11:45:00"/>
    <n v="4"/>
    <n v="25"/>
    <s v="SET OF 20 VINTAGE CHRISTMAS NAPKINS"/>
    <s v="Debit Card"/>
    <n v="536415"/>
    <n v="22909"/>
    <n v="0.85"/>
    <n v="5"/>
    <n v="0.05"/>
    <x v="2"/>
    <n v="4.25"/>
    <n v="0.21250000000000002"/>
    <n v="4.0374999999999996"/>
    <n v="20.1875"/>
  </r>
  <r>
    <n v="630"/>
    <s v="Zulema"/>
    <s v="Browning"/>
    <s v="NULL"/>
    <s v="zulema.browning@gmail.com"/>
    <n v="225"/>
    <d v="2011-12-01T11:45:00"/>
    <n v="4"/>
    <n v="21"/>
    <s v="TURQUOISE CHRISTMAS TREE "/>
    <s v="Debit Card"/>
    <n v="536415"/>
    <s v="35591T"/>
    <n v="1.25"/>
    <n v="2"/>
    <n v="0.1"/>
    <x v="2"/>
    <n v="2.5"/>
    <n v="0.25"/>
    <n v="2.25"/>
    <n v="4.5"/>
  </r>
  <r>
    <n v="631"/>
    <s v="Tressa"/>
    <s v="Weiss"/>
    <s v="NULL"/>
    <s v="tressa.weiss@msn.com"/>
    <n v="225"/>
    <d v="2011-12-01T11:45:00"/>
    <n v="4"/>
    <n v="9"/>
    <s v="RED STAR CARD HOLDER"/>
    <s v="Debit Card"/>
    <n v="536415"/>
    <n v="22186"/>
    <n v="2.95"/>
    <n v="5"/>
    <n v="0.1"/>
    <x v="2"/>
    <n v="14.75"/>
    <n v="1.4750000000000001"/>
    <n v="13.275"/>
    <n v="66.375"/>
  </r>
  <r>
    <n v="632"/>
    <s v="Yvette"/>
    <s v="Rogers"/>
    <s v="NULL"/>
    <s v="yvette.rogers@aol.com"/>
    <n v="226"/>
    <d v="2011-12-01T11:45:00"/>
    <n v="4"/>
    <n v="2"/>
    <s v="WICKER WREATH SMALL"/>
    <s v="Debit Card"/>
    <n v="536415"/>
    <n v="22695"/>
    <n v="1.45"/>
    <n v="3"/>
    <n v="0.05"/>
    <x v="2"/>
    <n v="4.3499999999999996"/>
    <n v="0.2175"/>
    <n v="4.1324999999999994"/>
    <n v="12.397499999999997"/>
  </r>
  <r>
    <n v="633"/>
    <s v="Kiara"/>
    <s v="Deleon"/>
    <s v="(657) 378-8011"/>
    <s v="kiara.deleon@gmail.com"/>
    <n v="227"/>
    <d v="2011-12-01T11:45:00"/>
    <n v="4"/>
    <n v="3"/>
    <s v="HEART OF WICKER LARGE"/>
    <s v="Debit Card"/>
    <n v="536415"/>
    <n v="22470"/>
    <n v="2.95"/>
    <n v="1"/>
    <n v="0.05"/>
    <x v="2"/>
    <n v="2.95"/>
    <n v="0.14750000000000002"/>
    <n v="2.8025000000000002"/>
    <n v="2.8025000000000002"/>
  </r>
  <r>
    <n v="634"/>
    <s v="Taylor"/>
    <s v="Cole"/>
    <s v="NULL"/>
    <s v="taylor.cole@gmail.com"/>
    <n v="227"/>
    <d v="2011-12-01T11:45:00"/>
    <n v="4"/>
    <n v="15"/>
    <s v="ADVENT CALENDAR GINGHAM SACK"/>
    <s v="Debit Card"/>
    <n v="536415"/>
    <n v="22580"/>
    <n v="5.95"/>
    <n v="1"/>
    <n v="0.1"/>
    <x v="2"/>
    <n v="5.95"/>
    <n v="0.59500000000000008"/>
    <n v="5.3550000000000004"/>
    <n v="5.3550000000000004"/>
  </r>
  <r>
    <n v="635"/>
    <s v="Myrtie"/>
    <s v="James"/>
    <s v="NULL"/>
    <s v="myrtie.james@yahoo.com"/>
    <n v="228"/>
    <d v="2011-12-01T11:45:00"/>
    <n v="4"/>
    <n v="25"/>
    <s v="HEART OF WICKER SMALL"/>
    <s v="Debit Card"/>
    <n v="536415"/>
    <n v="22469"/>
    <n v="1.65"/>
    <n v="5"/>
    <n v="0.2"/>
    <x v="2"/>
    <n v="8.25"/>
    <n v="1.6500000000000001"/>
    <n v="6.6"/>
    <n v="33"/>
  </r>
  <r>
    <n v="636"/>
    <s v="Ashton"/>
    <s v="Lott"/>
    <s v="NULL"/>
    <s v="ashton.lott@hotmail.com"/>
    <n v="228"/>
    <d v="2011-12-01T11:45:00"/>
    <n v="4"/>
    <n v="2"/>
    <s v="FELTCRAFT BUTTERFLY HEARTS"/>
    <s v="Debit Card"/>
    <n v="536415"/>
    <n v="22147"/>
    <n v="1.45"/>
    <n v="4"/>
    <n v="7.0000000000000007E-2"/>
    <x v="2"/>
    <n v="5.8"/>
    <n v="0.40600000000000003"/>
    <n v="5.3940000000000001"/>
    <n v="21.576000000000001"/>
  </r>
  <r>
    <n v="637"/>
    <s v="Kara"/>
    <s v="Higgins"/>
    <s v="NULL"/>
    <s v="kara.higgins@aol.com"/>
    <n v="228"/>
    <d v="2011-12-01T11:45:00"/>
    <n v="4"/>
    <n v="23"/>
    <s v="PARTY CONE CHRISTMAS DECORATION "/>
    <s v="Debit Card"/>
    <n v="536415"/>
    <n v="22130"/>
    <n v="0.85"/>
    <n v="6"/>
    <n v="0.1"/>
    <x v="2"/>
    <n v="5.0999999999999996"/>
    <n v="0.51"/>
    <n v="4.59"/>
    <n v="27.54"/>
  </r>
  <r>
    <n v="638"/>
    <s v="Tomeka"/>
    <s v="Higgins"/>
    <s v="NULL"/>
    <s v="tomeka.higgins@msn.com"/>
    <n v="228"/>
    <d v="2011-12-01T11:45:00"/>
    <n v="4"/>
    <n v="4"/>
    <s v="VINTAGE HEADS AND TAILS CARD GAME "/>
    <s v="Debit Card"/>
    <n v="536415"/>
    <n v="21791"/>
    <n v="1.25"/>
    <n v="3"/>
    <n v="0.2"/>
    <x v="2"/>
    <n v="3.75"/>
    <n v="0.75"/>
    <n v="3"/>
    <n v="9"/>
  </r>
  <r>
    <n v="639"/>
    <s v="Ronald"/>
    <s v="Parsons"/>
    <s v="NULL"/>
    <s v="ronald.parsons@msn.com"/>
    <n v="228"/>
    <d v="2011-12-01T11:45:00"/>
    <n v="4"/>
    <n v="22"/>
    <s v="WICKER STAR "/>
    <s v="Debit Card"/>
    <n v="536415"/>
    <n v="22694"/>
    <n v="2.1"/>
    <n v="5"/>
    <n v="0.05"/>
    <x v="2"/>
    <n v="10.5"/>
    <n v="0.52500000000000002"/>
    <n v="9.9749999999999996"/>
    <n v="49.875"/>
  </r>
  <r>
    <n v="640"/>
    <s v="Allison"/>
    <s v="Nolan"/>
    <s v="(845) 276-5729"/>
    <s v="allison.nolan@gmail.com"/>
    <n v="229"/>
    <d v="2011-12-01T11:45:00"/>
    <n v="4"/>
    <n v="25"/>
    <s v="VINTAGE SNAP CARDS"/>
    <s v="Debit Card"/>
    <n v="536415"/>
    <n v="21790"/>
    <n v="0.85"/>
    <n v="3"/>
    <n v="0.2"/>
    <x v="2"/>
    <n v="2.5499999999999998"/>
    <n v="0.51"/>
    <n v="2.04"/>
    <n v="6.12"/>
  </r>
  <r>
    <n v="641"/>
    <s v="Derrick"/>
    <s v="Marks"/>
    <s v="NULL"/>
    <s v="derrick.marks@yahoo.com"/>
    <n v="229"/>
    <d v="2011-12-01T11:45:00"/>
    <n v="4"/>
    <n v="5"/>
    <s v="FELTCRAFT 6 FLOWER FRIENDS"/>
    <s v="Debit Card"/>
    <n v="536415"/>
    <n v="22149"/>
    <n v="2.1"/>
    <n v="4"/>
    <n v="0.1"/>
    <x v="2"/>
    <n v="8.4"/>
    <n v="0.84000000000000008"/>
    <n v="7.5600000000000005"/>
    <n v="30.240000000000002"/>
  </r>
  <r>
    <n v="642"/>
    <s v="Yang"/>
    <s v="Roth"/>
    <s v="NULL"/>
    <s v="yang.roth@aol.com"/>
    <n v="229"/>
    <d v="2011-12-01T11:45:00"/>
    <n v="4"/>
    <n v="8"/>
    <s v=" SET 2 TEA TOWELS I LOVE LONDON "/>
    <s v="Debit Card"/>
    <n v="536415"/>
    <n v="22900"/>
    <n v="2.95"/>
    <n v="3"/>
    <n v="0.2"/>
    <x v="2"/>
    <n v="8.8500000000000014"/>
    <n v="1.7700000000000005"/>
    <n v="7.080000000000001"/>
    <n v="21.240000000000002"/>
  </r>
  <r>
    <n v="643"/>
    <s v="Melba"/>
    <s v="Wilkinson"/>
    <s v="NULL"/>
    <s v="melba.wilkinson@gmail.com"/>
    <n v="230"/>
    <d v="2011-12-01T11:45:00"/>
    <n v="4"/>
    <n v="11"/>
    <s v="JAM MAKING SET PRINTED"/>
    <s v="Debit Card"/>
    <n v="536415"/>
    <n v="22961"/>
    <n v="1.45"/>
    <n v="3"/>
    <n v="7.0000000000000007E-2"/>
    <x v="2"/>
    <n v="4.3499999999999996"/>
    <n v="0.30449999999999999"/>
    <n v="4.0454999999999997"/>
    <n v="12.136499999999998"/>
  </r>
  <r>
    <n v="644"/>
    <s v="Valentin"/>
    <s v="Mclaughlin"/>
    <s v="NULL"/>
    <s v="valentin.mclaughlin@hotmail.com"/>
    <n v="231"/>
    <d v="2011-12-01T11:45:00"/>
    <n v="4"/>
    <n v="8"/>
    <s v="BIRD DECORATION RED RETROSPOT"/>
    <s v="Debit Card"/>
    <n v="536415"/>
    <n v="22321"/>
    <n v="0.85"/>
    <n v="12"/>
    <n v="7.0000000000000007E-2"/>
    <x v="2"/>
    <n v="10.199999999999999"/>
    <n v="0.71399999999999997"/>
    <n v="9.4859999999999989"/>
    <n v="113.83199999999999"/>
  </r>
  <r>
    <n v="645"/>
    <s v="Lewis"/>
    <s v="Garner"/>
    <s v="(631) 871-2512"/>
    <s v="lewis.garner@gmail.com"/>
    <n v="231"/>
    <d v="2011-12-01T11:45:00"/>
    <n v="4"/>
    <n v="14"/>
    <s v="CHRISTMAS GINGHAM TREE"/>
    <s v="Debit Card"/>
    <n v="536415"/>
    <n v="22594"/>
    <n v="0.85"/>
    <n v="5"/>
    <n v="0.2"/>
    <x v="2"/>
    <n v="4.25"/>
    <n v="0.85000000000000009"/>
    <n v="3.4"/>
    <n v="17"/>
  </r>
  <r>
    <n v="646"/>
    <s v="Ann"/>
    <s v="Heath"/>
    <s v="NULL"/>
    <s v="ann.heath@msn.com"/>
    <n v="231"/>
    <d v="2011-12-01T11:45:00"/>
    <n v="4"/>
    <n v="5"/>
    <s v="CHRISTMAS GINGHAM STAR"/>
    <s v="Debit Card"/>
    <n v="536415"/>
    <n v="22593"/>
    <n v="0.85"/>
    <n v="4"/>
    <n v="0.2"/>
    <x v="2"/>
    <n v="3.4"/>
    <n v="0.68"/>
    <n v="2.7199999999999998"/>
    <n v="10.879999999999999"/>
  </r>
  <r>
    <n v="647"/>
    <s v="Janelle"/>
    <s v="Maldonado"/>
    <s v="NULL"/>
    <s v="janelle.maldonado@gmail.com"/>
    <n v="232"/>
    <d v="2011-12-01T11:45:00"/>
    <n v="4"/>
    <n v="18"/>
    <s v="CHRISTMAS GINGHAM HEART"/>
    <s v="Debit Card"/>
    <n v="536415"/>
    <n v="22595"/>
    <n v="0.85"/>
    <n v="6"/>
    <n v="7.0000000000000007E-2"/>
    <x v="2"/>
    <n v="5.0999999999999996"/>
    <n v="0.35699999999999998"/>
    <n v="4.7429999999999994"/>
    <n v="28.457999999999998"/>
  </r>
  <r>
    <n v="648"/>
    <s v="Catrice"/>
    <s v="Hicks"/>
    <s v="NULL"/>
    <s v="catrice.hicks@yahoo.com"/>
    <n v="232"/>
    <d v="2011-12-01T11:45:00"/>
    <n v="4"/>
    <n v="11"/>
    <s v="PACK OF 12 PINK POLKADOT TISSUES"/>
    <s v="Debit Card"/>
    <n v="536415"/>
    <n v="21986"/>
    <n v="0.28999999999999998"/>
    <n v="12"/>
    <n v="0.05"/>
    <x v="2"/>
    <n v="3.4799999999999995"/>
    <n v="0.17399999999999999"/>
    <n v="3.3059999999999996"/>
    <n v="39.671999999999997"/>
  </r>
  <r>
    <n v="649"/>
    <s v="Eli"/>
    <s v="Contreras"/>
    <s v="NULL"/>
    <s v="eli.contreras@hotmail.com"/>
    <n v="232"/>
    <d v="2011-12-01T11:45:00"/>
    <n v="4"/>
    <n v="26"/>
    <s v="FELTCRAFT PRINCESS LOLA DOLL"/>
    <s v="Debit Card"/>
    <n v="536415"/>
    <n v="22750"/>
    <n v="3.75"/>
    <n v="2"/>
    <n v="7.0000000000000007E-2"/>
    <x v="2"/>
    <n v="7.5"/>
    <n v="0.52500000000000002"/>
    <n v="6.9749999999999996"/>
    <n v="13.95"/>
  </r>
  <r>
    <n v="650"/>
    <s v="Rita"/>
    <s v="Bailey"/>
    <s v="NULL"/>
    <s v="rita.bailey@hotmail.com"/>
    <n v="232"/>
    <d v="2011-12-01T11:45:00"/>
    <n v="4"/>
    <n v="8"/>
    <s v="PACK OF 12 LONDON TISSUES "/>
    <s v="Debit Card"/>
    <n v="536415"/>
    <n v="22616"/>
    <n v="0.28999999999999998"/>
    <n v="12"/>
    <n v="0.1"/>
    <x v="2"/>
    <n v="3.4799999999999995"/>
    <n v="0.34799999999999998"/>
    <n v="3.1319999999999997"/>
    <n v="37.583999999999996"/>
  </r>
  <r>
    <n v="651"/>
    <s v="Laure"/>
    <s v="Pena"/>
    <s v="NULL"/>
    <s v="laure.pena@yahoo.com"/>
    <n v="233"/>
    <d v="2011-12-01T11:45:00"/>
    <n v="4"/>
    <n v="14"/>
    <s v="PURPLE DRAWERKNOB ACRYLIC EDWARDIAN"/>
    <s v="Debit Card"/>
    <n v="536415"/>
    <n v="22775"/>
    <n v="1.25"/>
    <n v="1"/>
    <n v="0.1"/>
    <x v="2"/>
    <n v="1.25"/>
    <n v="0.125"/>
    <n v="1.125"/>
    <n v="1.125"/>
  </r>
  <r>
    <n v="652"/>
    <s v="Tilda"/>
    <s v="Melton"/>
    <s v="(248) 767-4165"/>
    <s v="tilda.melton@msn.com"/>
    <n v="233"/>
    <d v="2011-12-01T11:45:00"/>
    <n v="4"/>
    <n v="16"/>
    <s v="CHILDREN'S APRON DOLLY GIRL "/>
    <s v="Debit Card"/>
    <n v="536415"/>
    <n v="22899"/>
    <n v="2.1"/>
    <n v="2"/>
    <n v="0.1"/>
    <x v="2"/>
    <n v="4.2"/>
    <n v="0.42000000000000004"/>
    <n v="3.7800000000000002"/>
    <n v="7.5600000000000005"/>
  </r>
  <r>
    <n v="653"/>
    <s v="Florencio"/>
    <s v="Davenport"/>
    <s v="NULL"/>
    <s v="florencio.davenport@yahoo.com"/>
    <n v="233"/>
    <d v="2011-12-01T11:45:00"/>
    <n v="4"/>
    <n v="12"/>
    <s v="CHILDRENS APRON SPACEBOY DESIGN"/>
    <s v="Debit Card"/>
    <n v="536415"/>
    <n v="22367"/>
    <n v="1.95"/>
    <n v="3"/>
    <n v="0.2"/>
    <x v="2"/>
    <n v="5.85"/>
    <n v="1.17"/>
    <n v="4.68"/>
    <n v="14.04"/>
  </r>
  <r>
    <n v="654"/>
    <s v="Eun"/>
    <s v="Harris"/>
    <s v="(619) 378-2432"/>
    <s v="eun.harris@gmail.com"/>
    <n v="233"/>
    <d v="2011-12-01T11:45:00"/>
    <n v="4"/>
    <n v="15"/>
    <s v="CHRISTMAS LIGHTS 10 SANTAS "/>
    <s v="Debit Card"/>
    <n v="536415"/>
    <n v="22942"/>
    <n v="8.5"/>
    <n v="3"/>
    <n v="7.0000000000000007E-2"/>
    <x v="2"/>
    <n v="25.5"/>
    <n v="1.7850000000000001"/>
    <n v="23.715"/>
    <n v="71.144999999999996"/>
  </r>
  <r>
    <n v="655"/>
    <s v="Marylyn"/>
    <s v="Browning"/>
    <s v="NULL"/>
    <s v="marylyn.browning@msn.com"/>
    <n v="234"/>
    <d v="2011-12-01T11:45:00"/>
    <n v="4"/>
    <n v="11"/>
    <s v="CHRISTMAS LIGHTS 10 REINDEER"/>
    <s v="Debit Card"/>
    <n v="536415"/>
    <n v="22941"/>
    <n v="8.5"/>
    <n v="3"/>
    <n v="0.2"/>
    <x v="2"/>
    <n v="25.5"/>
    <n v="5.1000000000000005"/>
    <n v="20.399999999999999"/>
    <n v="61.199999999999996"/>
  </r>
  <r>
    <n v="656"/>
    <s v="Romana"/>
    <s v="Barnes"/>
    <s v="NULL"/>
    <s v="romana.barnes@yahoo.com"/>
    <n v="234"/>
    <d v="2011-12-01T11:45:00"/>
    <n v="4"/>
    <n v="17"/>
    <s v="PAPER CHAIN KIT 50'S CHRISTMAS "/>
    <s v="Debit Card"/>
    <n v="536415"/>
    <n v="22086"/>
    <n v="2.95"/>
    <n v="6"/>
    <n v="0.05"/>
    <x v="2"/>
    <n v="17.700000000000003"/>
    <n v="0.88500000000000023"/>
    <n v="16.815000000000001"/>
    <n v="100.89000000000001"/>
  </r>
  <r>
    <n v="657"/>
    <s v="Sam"/>
    <s v="Lester"/>
    <s v="NULL"/>
    <s v="sam.lester@gmail.com"/>
    <n v="234"/>
    <d v="2011-12-01T11:45:00"/>
    <n v="4"/>
    <n v="12"/>
    <s v="FELTCRAFT CHRISTMAS FAIRY"/>
    <s v="Debit Card"/>
    <n v="536415"/>
    <n v="22940"/>
    <n v="4.25"/>
    <n v="2"/>
    <n v="0.1"/>
    <x v="2"/>
    <n v="8.5"/>
    <n v="0.85000000000000009"/>
    <n v="7.65"/>
    <n v="15.3"/>
  </r>
  <r>
    <n v="658"/>
    <s v="Nicki"/>
    <s v="Larson"/>
    <s v="NULL"/>
    <s v="nicki.larson@yahoo.com"/>
    <n v="234"/>
    <d v="2011-12-01T11:45:00"/>
    <n v="4"/>
    <n v="7"/>
    <s v="PACK OF 72 RETROSPOT CAKE CASES"/>
    <s v="Debit Card"/>
    <n v="536415"/>
    <n v="21212"/>
    <n v="0.55000000000000004"/>
    <n v="2"/>
    <n v="0.05"/>
    <x v="2"/>
    <n v="1.1000000000000001"/>
    <n v="5.5000000000000007E-2"/>
    <n v="1.0450000000000002"/>
    <n v="2.0900000000000003"/>
  </r>
  <r>
    <n v="659"/>
    <s v="Antonetta"/>
    <s v="Rocha"/>
    <s v="NULL"/>
    <s v="antonetta.rocha@yahoo.com"/>
    <n v="234"/>
    <d v="2011-12-01T11:45:00"/>
    <n v="4"/>
    <n v="23"/>
    <s v="PACK OF 60 MUSHROOM CAKE CASES"/>
    <s v="Debit Card"/>
    <n v="536415"/>
    <n v="21976"/>
    <n v="0.55000000000000004"/>
    <n v="2"/>
    <n v="0.1"/>
    <x v="2"/>
    <n v="1.1000000000000001"/>
    <n v="0.11000000000000001"/>
    <n v="0.9900000000000001"/>
    <n v="1.9800000000000002"/>
  </r>
  <r>
    <n v="660"/>
    <s v="Shara"/>
    <s v="Pope"/>
    <s v="NULL"/>
    <s v="shara.pope@msn.com"/>
    <n v="235"/>
    <d v="2011-12-01T11:45:00"/>
    <n v="4"/>
    <n v="6"/>
    <s v="60 CAKE CASES DOLLY GIRL DESIGN"/>
    <s v="Debit Card"/>
    <n v="536415"/>
    <n v="22951"/>
    <n v="0.55000000000000004"/>
    <n v="2"/>
    <n v="7.0000000000000007E-2"/>
    <x v="2"/>
    <n v="1.1000000000000001"/>
    <n v="7.7000000000000013E-2"/>
    <n v="1.0230000000000001"/>
    <n v="2.0460000000000003"/>
  </r>
  <r>
    <n v="661"/>
    <s v="Trena"/>
    <s v="Hudson"/>
    <s v="NULL"/>
    <s v="trena.hudson@hotmail.com"/>
    <n v="235"/>
    <d v="2011-12-01T11:45:00"/>
    <n v="4"/>
    <n v="13"/>
    <s v="PACK OF 60 PINK PAISLEY CAKE CASES"/>
    <s v="Debit Card"/>
    <n v="536415"/>
    <n v="21977"/>
    <n v="0.55000000000000004"/>
    <n v="3"/>
    <n v="0.05"/>
    <x v="2"/>
    <n v="1.6500000000000001"/>
    <n v="8.2500000000000018E-2"/>
    <n v="1.5675000000000001"/>
    <n v="4.7025000000000006"/>
  </r>
  <r>
    <n v="662"/>
    <s v="Loraine"/>
    <s v="Sykes"/>
    <s v="NULL"/>
    <s v="loraine.sykes@yahoo.com"/>
    <n v="235"/>
    <d v="2011-12-01T11:45:00"/>
    <n v="4"/>
    <n v="7"/>
    <s v="HAND WARMER BABUSHKA DESIGN"/>
    <s v="Debit Card"/>
    <n v="536415"/>
    <n v="22834"/>
    <n v="2.1"/>
    <n v="3"/>
    <n v="0.05"/>
    <x v="2"/>
    <n v="6.3000000000000007"/>
    <n v="0.31500000000000006"/>
    <n v="5.9850000000000003"/>
    <n v="17.955000000000002"/>
  </r>
  <r>
    <n v="663"/>
    <s v="Alissa"/>
    <s v="Hood"/>
    <s v="NULL"/>
    <s v="alissa.hood@gmail.com"/>
    <n v="236"/>
    <d v="2011-12-01T11:45:00"/>
    <n v="4"/>
    <n v="3"/>
    <s v="HAND WARMER BIRD DESIGN"/>
    <s v="Debit Card"/>
    <n v="536415"/>
    <n v="22867"/>
    <n v="2.1"/>
    <n v="3"/>
    <n v="7.0000000000000007E-2"/>
    <x v="2"/>
    <n v="6.3000000000000007"/>
    <n v="0.44100000000000011"/>
    <n v="5.8590000000000009"/>
    <n v="17.577000000000002"/>
  </r>
  <r>
    <n v="664"/>
    <s v="Augustus"/>
    <s v="Schmidt"/>
    <s v="NULL"/>
    <s v="augustus.schmidt@msn.com"/>
    <n v="236"/>
    <d v="2011-12-01T11:45:00"/>
    <n v="4"/>
    <n v="2"/>
    <s v="HAND WARMER OWL DESIGN"/>
    <s v="Debit Card"/>
    <n v="536415"/>
    <n v="22865"/>
    <n v="2.1"/>
    <n v="3"/>
    <n v="0.1"/>
    <x v="2"/>
    <n v="6.3000000000000007"/>
    <n v="0.63000000000000012"/>
    <n v="5.6700000000000008"/>
    <n v="17.010000000000002"/>
  </r>
  <r>
    <n v="665"/>
    <s v="Stacie"/>
    <s v="Sims"/>
    <s v="(510) 194-5117"/>
    <s v="stacie.sims@hotmail.com"/>
    <n v="236"/>
    <d v="2011-12-01T11:45:00"/>
    <n v="4"/>
    <n v="4"/>
    <s v="HAND WARMER RED RETROSPOT"/>
    <s v="Debit Card"/>
    <n v="536415"/>
    <n v="22632"/>
    <n v="2.1"/>
    <n v="3"/>
    <n v="0.1"/>
    <x v="2"/>
    <n v="6.3000000000000007"/>
    <n v="0.63000000000000012"/>
    <n v="5.6700000000000008"/>
    <n v="17.010000000000002"/>
  </r>
  <r>
    <n v="666"/>
    <s v="Brittni"/>
    <s v="Green"/>
    <s v="NULL"/>
    <s v="brittni.green@msn.com"/>
    <n v="237"/>
    <d v="2011-12-01T11:45:00"/>
    <n v="4"/>
    <n v="15"/>
    <s v="SET 12 RETRO WHITE CHALK STICKS"/>
    <s v="Debit Card"/>
    <n v="536415"/>
    <n v="21916"/>
    <n v="0.42"/>
    <n v="2"/>
    <n v="0.2"/>
    <x v="2"/>
    <n v="0.84"/>
    <n v="0.16800000000000001"/>
    <n v="0.67199999999999993"/>
    <n v="1.3439999999999999"/>
  </r>
  <r>
    <n v="667"/>
    <s v="Etsuko"/>
    <s v="Garrison"/>
    <s v="NULL"/>
    <s v="etsuko.garrison@yahoo.com"/>
    <n v="237"/>
    <d v="2011-12-01T11:45:00"/>
    <n v="4"/>
    <n v="24"/>
    <s v="FELTCRAFT HAIRBAND RED AND BLUE"/>
    <s v="Debit Card"/>
    <n v="536415"/>
    <n v="22587"/>
    <n v="0.85"/>
    <n v="4"/>
    <n v="7.0000000000000007E-2"/>
    <x v="2"/>
    <n v="3.4"/>
    <n v="0.23800000000000002"/>
    <n v="3.1619999999999999"/>
    <n v="12.648"/>
  </r>
  <r>
    <n v="668"/>
    <s v="Calandra"/>
    <s v="Stanton"/>
    <s v="NULL"/>
    <s v="calandra.stanton@aol.com"/>
    <n v="237"/>
    <d v="2011-12-01T11:45:00"/>
    <n v="4"/>
    <n v="20"/>
    <s v="FELTCRAFT HAIRBAND PINK AND PURPLE"/>
    <s v="Debit Card"/>
    <n v="536415"/>
    <n v="22566"/>
    <n v="0.85"/>
    <n v="3"/>
    <n v="0.2"/>
    <x v="2"/>
    <n v="2.5499999999999998"/>
    <n v="0.51"/>
    <n v="2.04"/>
    <n v="6.12"/>
  </r>
  <r>
    <n v="669"/>
    <s v="Willis"/>
    <s v="Randolph"/>
    <s v="NULL"/>
    <s v="willis.randolph@yahoo.com"/>
    <n v="237"/>
    <d v="2011-12-01T11:45:00"/>
    <n v="4"/>
    <n v="26"/>
    <s v="FELTCRAFT HAIRBANDS PINK AND WHITE "/>
    <s v="Debit Card"/>
    <n v="536415"/>
    <n v="22565"/>
    <n v="0.85"/>
    <n v="3"/>
    <n v="0.05"/>
    <x v="2"/>
    <n v="2.5499999999999998"/>
    <n v="0.1275"/>
    <n v="2.4224999999999999"/>
    <n v="7.2675000000000001"/>
  </r>
  <r>
    <n v="670"/>
    <s v="Shawnda"/>
    <s v="Glover"/>
    <s v="NULL"/>
    <s v="shawnda.glover@gmail.com"/>
    <n v="238"/>
    <d v="2011-12-01T11:45:00"/>
    <n v="4"/>
    <n v="20"/>
    <s v="TV DINNER TRAY DOLLY GIRL"/>
    <s v="Debit Card"/>
    <n v="536415"/>
    <n v="22472"/>
    <n v="4.95"/>
    <n v="2"/>
    <n v="0.2"/>
    <x v="2"/>
    <n v="9.9"/>
    <n v="1.9800000000000002"/>
    <n v="7.92"/>
    <n v="15.84"/>
  </r>
  <r>
    <n v="671"/>
    <s v="Jennette"/>
    <s v="Baker"/>
    <s v="NULL"/>
    <s v="jennette.baker@gmail.com"/>
    <n v="238"/>
    <d v="2011-12-01T11:45:00"/>
    <n v="4"/>
    <n v="25"/>
    <s v="PLASTERS IN TIN VINTAGE PAISLEY "/>
    <s v="Debit Card"/>
    <n v="536415"/>
    <n v="22557"/>
    <n v="1.65"/>
    <n v="3"/>
    <n v="7.0000000000000007E-2"/>
    <x v="2"/>
    <n v="4.9499999999999993"/>
    <n v="0.34649999999999997"/>
    <n v="4.6034999999999995"/>
    <n v="13.810499999999998"/>
  </r>
  <r>
    <n v="672"/>
    <s v="Elma"/>
    <s v="Molina"/>
    <s v="NULL"/>
    <s v="elma.molina@msn.com"/>
    <n v="238"/>
    <d v="2011-12-01T11:45:00"/>
    <n v="4"/>
    <n v="13"/>
    <s v="PLASTERS IN TIN SPACEBOY"/>
    <s v="Debit Card"/>
    <n v="536415"/>
    <n v="22551"/>
    <n v="1.65"/>
    <n v="3"/>
    <n v="0.2"/>
    <x v="2"/>
    <n v="4.9499999999999993"/>
    <n v="0.98999999999999988"/>
    <n v="3.9599999999999995"/>
    <n v="11.879999999999999"/>
  </r>
  <r>
    <n v="673"/>
    <s v="Adam"/>
    <s v="Henderson"/>
    <s v="NULL"/>
    <s v="adam.henderson@hotmail.com"/>
    <n v="238"/>
    <d v="2011-12-01T11:45:00"/>
    <n v="4"/>
    <n v="22"/>
    <s v="PLASTERS IN TIN WOODLAND ANIMALS"/>
    <s v="Debit Card"/>
    <n v="536415"/>
    <n v="22554"/>
    <n v="1.65"/>
    <n v="3"/>
    <n v="0.05"/>
    <x v="2"/>
    <n v="4.9499999999999993"/>
    <n v="0.24749999999999997"/>
    <n v="4.7024999999999997"/>
    <n v="14.107499999999998"/>
  </r>
  <r>
    <n v="674"/>
    <s v="Ira"/>
    <s v="Moore"/>
    <s v="NULL"/>
    <s v="ira.moore@gmail.com"/>
    <n v="238"/>
    <d v="2011-12-01T11:45:00"/>
    <n v="4"/>
    <n v="7"/>
    <s v="MAGIC DRAWING SLATE SPACEBOY "/>
    <s v="Debit Card"/>
    <n v="536415"/>
    <n v="22534"/>
    <n v="0.42"/>
    <n v="3"/>
    <n v="7.0000000000000007E-2"/>
    <x v="2"/>
    <n v="1.26"/>
    <n v="8.8200000000000014E-2"/>
    <n v="1.1718"/>
    <n v="3.5153999999999996"/>
  </r>
  <r>
    <n v="675"/>
    <s v="Kermit"/>
    <s v="Bowman"/>
    <s v="(915) 996-5952"/>
    <s v="kermit.bowman@gmail.com"/>
    <n v="239"/>
    <d v="2011-12-01T11:45:00"/>
    <n v="4"/>
    <n v="16"/>
    <s v="MAGIC DRAWING SLATE CIRCUS PARADE  "/>
    <s v="Debit Card"/>
    <n v="536415"/>
    <n v="22531"/>
    <n v="0.42"/>
    <n v="3"/>
    <n v="0.1"/>
    <x v="2"/>
    <n v="1.26"/>
    <n v="0.126"/>
    <n v="1.1339999999999999"/>
    <n v="3.4019999999999997"/>
  </r>
  <r>
    <n v="676"/>
    <s v="Gayle"/>
    <s v="Wilkinson"/>
    <s v="NULL"/>
    <s v="gayle.wilkinson@yahoo.com"/>
    <n v="239"/>
    <d v="2011-12-01T11:45:00"/>
    <n v="4"/>
    <n v="21"/>
    <s v="MAGIC DRAWING SLATE GO TO THE FAIR "/>
    <s v="Debit Card"/>
    <n v="536415"/>
    <n v="22529"/>
    <n v="0.42"/>
    <n v="3"/>
    <n v="0.05"/>
    <x v="2"/>
    <n v="1.26"/>
    <n v="6.3E-2"/>
    <n v="1.1970000000000001"/>
    <n v="3.5910000000000002"/>
  </r>
  <r>
    <n v="677"/>
    <s v="Launa"/>
    <s v="Hull"/>
    <s v="NULL"/>
    <s v="launa.hull@yahoo.com"/>
    <n v="239"/>
    <d v="2011-12-01T11:45:00"/>
    <n v="4"/>
    <n v="18"/>
    <s v="MAGIC DRAWING SLATE DOLLY GIRL "/>
    <s v="Debit Card"/>
    <n v="536415"/>
    <n v="22530"/>
    <n v="0.42"/>
    <n v="3"/>
    <n v="7.0000000000000007E-2"/>
    <x v="2"/>
    <n v="1.26"/>
    <n v="8.8200000000000014E-2"/>
    <n v="1.1718"/>
    <n v="3.5153999999999996"/>
  </r>
  <r>
    <n v="678"/>
    <s v="Myron"/>
    <s v="Johns"/>
    <s v="NULL"/>
    <s v="myron.johns@msn.com"/>
    <n v="239"/>
    <d v="2011-12-01T11:45:00"/>
    <n v="4"/>
    <n v="4"/>
    <s v="CHARLIE + LOLA RED HOT WATER BOTTLE"/>
    <s v="Debit Card"/>
    <n v="536415"/>
    <s v="84032B"/>
    <n v="2.95"/>
    <n v="3"/>
    <n v="7.0000000000000007E-2"/>
    <x v="2"/>
    <n v="8.8500000000000014"/>
    <n v="0.61950000000000016"/>
    <n v="8.230500000000001"/>
    <n v="24.691500000000005"/>
  </r>
  <r>
    <n v="679"/>
    <s v="Tuan"/>
    <s v="Wolfe"/>
    <s v="NULL"/>
    <s v="tuan.wolfe@aol.com"/>
    <n v="240"/>
    <d v="2011-12-01T11:45:00"/>
    <n v="4"/>
    <n v="9"/>
    <s v="HOT WATER BOTTLE BABUSHKA "/>
    <s v="Debit Card"/>
    <n v="536415"/>
    <n v="22837"/>
    <n v="4.6500000000000004"/>
    <n v="3"/>
    <n v="7.0000000000000007E-2"/>
    <x v="2"/>
    <n v="13.950000000000001"/>
    <n v="0.97650000000000015"/>
    <n v="12.973500000000001"/>
    <n v="38.920500000000004"/>
  </r>
  <r>
    <n v="680"/>
    <s v="Mathilda"/>
    <s v="Pennington"/>
    <s v="(845) 407-9524"/>
    <s v="mathilda.pennington@gmail.com"/>
    <n v="240"/>
    <d v="2011-12-01T11:45:00"/>
    <n v="4"/>
    <n v="8"/>
    <s v="URBAN BLACK RIBBONS "/>
    <s v="Debit Card"/>
    <n v="536415"/>
    <s v="85049H"/>
    <n v="1.25"/>
    <n v="2"/>
    <n v="7.0000000000000007E-2"/>
    <x v="2"/>
    <n v="2.5"/>
    <n v="0.17500000000000002"/>
    <n v="2.3250000000000002"/>
    <n v="4.6500000000000004"/>
  </r>
  <r>
    <n v="681"/>
    <s v="Reatha"/>
    <s v="Perez"/>
    <s v="NULL"/>
    <s v="reatha.perez@aol.com"/>
    <n v="240"/>
    <d v="2011-12-01T11:45:00"/>
    <n v="4"/>
    <n v="5"/>
    <s v="FELTCRAFT PRINCESS CHARLOTTE DOLL"/>
    <s v="Debit Card"/>
    <n v="536415"/>
    <n v="22749"/>
    <n v="3.75"/>
    <n v="2"/>
    <n v="7.0000000000000007E-2"/>
    <x v="2"/>
    <n v="7.5"/>
    <n v="0.52500000000000002"/>
    <n v="6.9749999999999996"/>
    <n v="13.95"/>
  </r>
  <r>
    <n v="682"/>
    <s v="Arnita"/>
    <s v="Thomas"/>
    <s v="NULL"/>
    <s v="arnita.thomas@gmail.com"/>
    <n v="240"/>
    <d v="2011-12-01T11:45:00"/>
    <n v="4"/>
    <n v="18"/>
    <s v="SET OF 6 T-LIGHTS TOADSTOOLS"/>
    <s v="Debit Card"/>
    <n v="536415"/>
    <n v="22807"/>
    <n v="2.95"/>
    <n v="12"/>
    <n v="7.0000000000000007E-2"/>
    <x v="2"/>
    <n v="35.400000000000006"/>
    <n v="2.4780000000000006"/>
    <n v="32.922000000000004"/>
    <n v="395.06400000000008"/>
  </r>
  <r>
    <n v="683"/>
    <s v="Amparo"/>
    <s v="Burks"/>
    <s v="NULL"/>
    <s v="amparo.burks@aol.com"/>
    <n v="241"/>
    <d v="2011-12-01T11:45:00"/>
    <n v="4"/>
    <n v="7"/>
    <s v="ROTATING LEAVES T-LIGHT HOLDER"/>
    <s v="Debit Card"/>
    <n v="536416"/>
    <n v="21494"/>
    <n v="1.25"/>
    <n v="12"/>
    <n v="0.2"/>
    <x v="2"/>
    <n v="15"/>
    <n v="3"/>
    <n v="12"/>
    <n v="144"/>
  </r>
  <r>
    <n v="684"/>
    <s v="Jenny"/>
    <s v="Bell"/>
    <s v="NULL"/>
    <s v="jenny.bell@hotmail.com"/>
    <n v="242"/>
    <d v="2011-12-01T11:45:00"/>
    <n v="4"/>
    <n v="3"/>
    <s v="RED  HARMONICA IN BOX "/>
    <s v="Debit Card"/>
    <n v="536416"/>
    <n v="21915"/>
    <n v="1.25"/>
    <n v="72"/>
    <n v="0.2"/>
    <x v="2"/>
    <n v="90"/>
    <n v="18"/>
    <n v="72"/>
    <n v="5184"/>
  </r>
  <r>
    <n v="685"/>
    <s v="Laverne"/>
    <s v="Craft"/>
    <s v="NULL"/>
    <s v="laverne.craft@aol.com"/>
    <n v="243"/>
    <d v="2011-12-01T11:45:00"/>
    <n v="4"/>
    <n v="25"/>
    <s v="CUPCAKE LACE PAPER SET 6"/>
    <s v="Debit Card"/>
    <n v="536416"/>
    <n v="22938"/>
    <n v="1.95"/>
    <n v="12"/>
    <n v="0.05"/>
    <x v="2"/>
    <n v="23.4"/>
    <n v="1.17"/>
    <n v="22.229999999999997"/>
    <n v="266.76"/>
  </r>
  <r>
    <n v="686"/>
    <s v="Darcel"/>
    <s v="Harmon"/>
    <s v="NULL"/>
    <s v="darcel.harmon@msn.com"/>
    <n v="243"/>
    <d v="2011-12-01T11:45:00"/>
    <n v="4"/>
    <n v="19"/>
    <s v="FAMILY PHOTO FRAME CORNICE"/>
    <s v="Debit Card"/>
    <n v="536416"/>
    <n v="22768"/>
    <n v="9.9499999999999993"/>
    <n v="4"/>
    <n v="7.0000000000000007E-2"/>
    <x v="2"/>
    <n v="39.799999999999997"/>
    <n v="2.786"/>
    <n v="37.013999999999996"/>
    <n v="148.05599999999998"/>
  </r>
  <r>
    <n v="687"/>
    <s v="Cecilia"/>
    <s v="Camacho"/>
    <s v="NULL"/>
    <s v="cecilia.camacho@yahoo.com"/>
    <n v="243"/>
    <d v="2011-12-01T11:45:00"/>
    <n v="4"/>
    <n v="7"/>
    <s v="TRIPLE PHOTO FRAME CORNICE "/>
    <s v="Debit Card"/>
    <n v="536416"/>
    <n v="22767"/>
    <n v="9.9499999999999993"/>
    <n v="4"/>
    <n v="0.05"/>
    <x v="2"/>
    <n v="39.799999999999997"/>
    <n v="1.99"/>
    <n v="37.809999999999995"/>
    <n v="151.23999999999998"/>
  </r>
  <r>
    <n v="688"/>
    <s v="Pearlie"/>
    <s v="Cochran"/>
    <s v="NULL"/>
    <s v="pearlie.cochran@msn.com"/>
    <n v="244"/>
    <d v="2011-12-01T11:45:00"/>
    <n v="4"/>
    <n v="19"/>
    <s v="WOODEN FRAME ANTIQUE WHITE "/>
    <s v="Debit Card"/>
    <n v="536416"/>
    <s v="82494L"/>
    <n v="2.95"/>
    <n v="6"/>
    <n v="7.0000000000000007E-2"/>
    <x v="2"/>
    <n v="17.700000000000003"/>
    <n v="1.2390000000000003"/>
    <n v="16.461000000000002"/>
    <n v="98.76600000000002"/>
  </r>
  <r>
    <n v="689"/>
    <s v="Deirdre"/>
    <s v="Ryan"/>
    <s v="NULL"/>
    <s v="deirdre.ryan@yahoo.com"/>
    <n v="244"/>
    <d v="2011-12-01T11:45:00"/>
    <n v="4"/>
    <n v="25"/>
    <s v="WOODEN BOX OF DOMINOES"/>
    <s v="Debit Card"/>
    <n v="536420"/>
    <n v="21889"/>
    <n v="1.25"/>
    <n v="12"/>
    <n v="0.2"/>
    <x v="2"/>
    <n v="15"/>
    <n v="3"/>
    <n v="12"/>
    <n v="144"/>
  </r>
  <r>
    <n v="690"/>
    <s v="Yevette"/>
    <s v="Elliott"/>
    <s v="NULL"/>
    <s v="yevette.elliott@aol.com"/>
    <n v="244"/>
    <d v="2011-12-01T11:45:00"/>
    <n v="4"/>
    <n v="22"/>
    <s v="TRADITIONAL WOODEN CATCH CUP GAME "/>
    <s v="Debit Card"/>
    <n v="536420"/>
    <n v="21892"/>
    <n v="1.25"/>
    <n v="12"/>
    <n v="0.1"/>
    <x v="2"/>
    <n v="15"/>
    <n v="1.5"/>
    <n v="13.5"/>
    <n v="162"/>
  </r>
  <r>
    <n v="691"/>
    <s v="Ladawn"/>
    <s v="Downs"/>
    <s v="(281) 165-2090"/>
    <s v="ladawn.downs@yahoo.com"/>
    <n v="245"/>
    <d v="2011-12-01T11:45:00"/>
    <n v="4"/>
    <n v="10"/>
    <s v="TRADITIONAL WOODEN SKIPPING ROPE"/>
    <s v="Debit Card"/>
    <n v="536420"/>
    <n v="21891"/>
    <n v="1.25"/>
    <n v="12"/>
    <n v="0.05"/>
    <x v="2"/>
    <n v="15"/>
    <n v="0.75"/>
    <n v="14.25"/>
    <n v="171"/>
  </r>
  <r>
    <n v="692"/>
    <s v="Dorothea"/>
    <s v="Chang"/>
    <s v="NULL"/>
    <s v="dorothea.chang@gmail.com"/>
    <n v="245"/>
    <d v="2011-12-01T11:45:00"/>
    <n v="3"/>
    <n v="8"/>
    <s v="S/6 WOODEN SKITTLES IN COTTON BAG"/>
    <s v="Debit Card"/>
    <n v="536420"/>
    <n v="21890"/>
    <n v="2.95"/>
    <n v="6"/>
    <n v="0.1"/>
    <x v="2"/>
    <n v="17.700000000000003"/>
    <n v="1.7700000000000005"/>
    <n v="15.930000000000003"/>
    <n v="95.580000000000013"/>
  </r>
  <r>
    <n v="693"/>
    <s v="Merlin"/>
    <s v="Foreman"/>
    <s v="(516) 150-1321"/>
    <s v="merlin.foreman@msn.com"/>
    <n v="246"/>
    <d v="2011-12-01T11:45:00"/>
    <n v="4"/>
    <n v="17"/>
    <s v="RED METAL BEACH SPADE "/>
    <s v="Debit Card"/>
    <n v="536420"/>
    <n v="21718"/>
    <n v="1.25"/>
    <n v="12"/>
    <n v="0.2"/>
    <x v="2"/>
    <n v="15"/>
    <n v="3"/>
    <n v="12"/>
    <n v="144"/>
  </r>
  <r>
    <n v="694"/>
    <s v="Lanie"/>
    <s v="Dunn"/>
    <s v="NULL"/>
    <s v="lanie.dunn@gmail.com"/>
    <n v="247"/>
    <d v="2011-12-01T11:45:00"/>
    <n v="4"/>
    <n v="25"/>
    <s v="BOYS VINTAGE TIN SEASIDE BUCKET"/>
    <s v="Debit Card"/>
    <n v="536420"/>
    <n v="21716"/>
    <n v="2.5499999999999998"/>
    <n v="8"/>
    <n v="7.0000000000000007E-2"/>
    <x v="2"/>
    <n v="20.399999999999999"/>
    <n v="1.4279999999999999"/>
    <n v="18.971999999999998"/>
    <n v="151.77599999999998"/>
  </r>
  <r>
    <n v="695"/>
    <s v="Christoper"/>
    <s v="Gould"/>
    <s v="NULL"/>
    <s v="christoper.gould@aol.com"/>
    <n v="247"/>
    <d v="2011-12-01T11:45:00"/>
    <n v="4"/>
    <n v="3"/>
    <s v="GIRLS VINTAGE TIN SEASIDE BUCKET"/>
    <s v="Debit Card"/>
    <n v="536420"/>
    <n v="21715"/>
    <n v="2.5499999999999998"/>
    <n v="8"/>
    <n v="0.2"/>
    <x v="2"/>
    <n v="20.399999999999999"/>
    <n v="4.08"/>
    <n v="16.32"/>
    <n v="130.56"/>
  </r>
  <r>
    <n v="696"/>
    <s v="Norine"/>
    <s v="Huffman"/>
    <s v="NULL"/>
    <s v="norine.huffman@aol.com"/>
    <n v="248"/>
    <d v="2011-12-01T11:45:00"/>
    <n v="4"/>
    <n v="13"/>
    <s v="GREY HEART HOT WATER BOTTLE"/>
    <s v="Debit Card"/>
    <n v="536420"/>
    <n v="22113"/>
    <n v="3.75"/>
    <n v="4"/>
    <n v="0.1"/>
    <x v="2"/>
    <n v="15"/>
    <n v="1.5"/>
    <n v="13.5"/>
    <n v="54"/>
  </r>
  <r>
    <n v="697"/>
    <s v="Alane"/>
    <s v="Mccarty"/>
    <s v="(619) 377-8586"/>
    <s v="alane.mccarty@hotmail.com"/>
    <n v="248"/>
    <d v="2011-12-01T11:45:00"/>
    <n v="4"/>
    <n v="26"/>
    <s v="SCOTTIE DOG HOT WATER BOTTLE"/>
    <s v="Debit Card"/>
    <n v="536420"/>
    <n v="22111"/>
    <n v="4.95"/>
    <n v="3"/>
    <n v="0.1"/>
    <x v="2"/>
    <n v="14.850000000000001"/>
    <n v="1.4850000000000003"/>
    <n v="13.365000000000002"/>
    <n v="40.095000000000006"/>
  </r>
  <r>
    <n v="698"/>
    <s v="Charleen"/>
    <s v="Joyner"/>
    <s v="NULL"/>
    <s v="charleen.joyner@aol.com"/>
    <n v="248"/>
    <d v="2011-12-01T11:45:00"/>
    <n v="4"/>
    <n v="17"/>
    <s v="BIRD HOUSE HOT WATER BOTTLE"/>
    <s v="Debit Card"/>
    <n v="536420"/>
    <n v="22110"/>
    <n v="2.5499999999999998"/>
    <n v="6"/>
    <n v="0.1"/>
    <x v="2"/>
    <n v="15.299999999999999"/>
    <n v="1.53"/>
    <n v="13.77"/>
    <n v="82.62"/>
  </r>
  <r>
    <n v="699"/>
    <s v="Zella"/>
    <s v="Fernandez"/>
    <s v="NULL"/>
    <s v="zella.fernandez@yahoo.com"/>
    <n v="248"/>
    <d v="2011-12-01T11:45:00"/>
    <n v="4"/>
    <n v="9"/>
    <s v="KINGS CHOICE TEA CADDY "/>
    <s v="Debit Card"/>
    <n v="536420"/>
    <n v="22358"/>
    <n v="2.95"/>
    <n v="6"/>
    <n v="0.2"/>
    <x v="2"/>
    <n v="17.700000000000003"/>
    <n v="3.5400000000000009"/>
    <n v="14.160000000000002"/>
    <n v="84.960000000000008"/>
  </r>
  <r>
    <n v="700"/>
    <s v="Collene"/>
    <s v="Knox"/>
    <s v="(361) 760-1523"/>
    <s v="collene.knox@msn.com"/>
    <n v="249"/>
    <d v="2011-12-01T11:45:00"/>
    <n v="4"/>
    <n v="7"/>
    <s v="KINGS CHOICE BISCUIT TIN"/>
    <s v="Debit Card"/>
    <n v="536420"/>
    <n v="22357"/>
    <n v="4.25"/>
    <n v="4"/>
    <n v="0.05"/>
    <x v="2"/>
    <n v="17"/>
    <n v="0.85000000000000009"/>
    <n v="16.149999999999999"/>
    <n v="64.599999999999994"/>
  </r>
  <r>
    <n v="701"/>
    <s v="Alysia"/>
    <s v="Nicholson"/>
    <s v="(805) 493-7311"/>
    <s v="alysia.nicholson@hotmail.com"/>
    <n v="249"/>
    <d v="2011-12-01T11:45:00"/>
    <n v="4"/>
    <n v="18"/>
    <s v="METAL SIGN EMPIRE TEA"/>
    <s v="Debit Card"/>
    <n v="536420"/>
    <n v="22115"/>
    <n v="2.95"/>
    <n v="6"/>
    <n v="0.05"/>
    <x v="2"/>
    <n v="17.700000000000003"/>
    <n v="0.88500000000000023"/>
    <n v="16.815000000000001"/>
    <n v="100.89000000000001"/>
  </r>
  <r>
    <n v="702"/>
    <s v="Sharie"/>
    <s v="Whitaker"/>
    <s v="NULL"/>
    <s v="sharie.whitaker@hotmail.com"/>
    <n v="249"/>
    <d v="2011-12-01T11:45:00"/>
    <n v="4"/>
    <n v="22"/>
    <s v="HOMEMADE JAM SCENTED CANDLES"/>
    <s v="Debit Card"/>
    <n v="536420"/>
    <n v="22969"/>
    <n v="1.45"/>
    <n v="12"/>
    <n v="0.1"/>
    <x v="2"/>
    <n v="17.399999999999999"/>
    <n v="1.74"/>
    <n v="15.659999999999998"/>
    <n v="187.92"/>
  </r>
  <r>
    <n v="703"/>
    <s v="Diana"/>
    <s v="Cobb"/>
    <s v="NULL"/>
    <s v="diana.cobb@hotmail.com"/>
    <n v="250"/>
    <d v="2011-12-01T11:45:00"/>
    <n v="4"/>
    <n v="17"/>
    <s v="SET OF 6 SOLDIER SKITTLES"/>
    <s v="Debit Card"/>
    <n v="536423"/>
    <n v="22619"/>
    <n v="3.75"/>
    <n v="4"/>
    <n v="0.05"/>
    <x v="2"/>
    <n v="15"/>
    <n v="0.75"/>
    <n v="14.25"/>
    <n v="57"/>
  </r>
  <r>
    <n v="704"/>
    <s v="Morton"/>
    <s v="Barron"/>
    <s v="(661) 386-4884"/>
    <s v="morton.barron@msn.com"/>
    <n v="250"/>
    <d v="2011-12-01T11:45:00"/>
    <n v="4"/>
    <n v="11"/>
    <s v="FAWN BLUE HOT WATER BOTTLE"/>
    <s v="Debit Card"/>
    <n v="536423"/>
    <n v="21481"/>
    <n v="2.95"/>
    <n v="6"/>
    <n v="0.1"/>
    <x v="2"/>
    <n v="17.700000000000003"/>
    <n v="1.7700000000000005"/>
    <n v="15.930000000000003"/>
    <n v="95.580000000000013"/>
  </r>
  <r>
    <n v="705"/>
    <s v="Camille"/>
    <s v="Harvey"/>
    <s v="NULL"/>
    <s v="camille.harvey@hotmail.com"/>
    <n v="251"/>
    <d v="2011-12-01T11:45:00"/>
    <n v="4"/>
    <n v="23"/>
    <s v="HAND WARMER RED RETROSPOT"/>
    <s v="Debit Card"/>
    <n v="536423"/>
    <n v="22632"/>
    <n v="2.1"/>
    <n v="12"/>
    <n v="0.2"/>
    <x v="2"/>
    <n v="25.200000000000003"/>
    <n v="5.0400000000000009"/>
    <n v="20.160000000000004"/>
    <n v="241.92000000000004"/>
  </r>
  <r>
    <n v="706"/>
    <s v="Lolita"/>
    <s v="O'neill"/>
    <s v="NULL"/>
    <s v="lolita.o'neill@aol.com"/>
    <n v="251"/>
    <d v="2011-12-01T11:45:00"/>
    <n v="4"/>
    <n v="22"/>
    <s v="HOT WATER BOTTLE BABUSHKA "/>
    <s v="Debit Card"/>
    <n v="536423"/>
    <n v="22837"/>
    <n v="4.6500000000000004"/>
    <n v="8"/>
    <n v="0.05"/>
    <x v="2"/>
    <n v="37.200000000000003"/>
    <n v="1.8600000000000003"/>
    <n v="35.340000000000003"/>
    <n v="282.72000000000003"/>
  </r>
  <r>
    <n v="707"/>
    <s v="Terese"/>
    <s v="Briggs"/>
    <s v="NULL"/>
    <s v="terese.briggs@msn.com"/>
    <n v="252"/>
    <d v="2011-12-01T11:45:00"/>
    <n v="4"/>
    <n v="11"/>
    <s v="WHITE SKULL HOT WATER BOTTLE "/>
    <s v="Debit Card"/>
    <n v="536423"/>
    <n v="21479"/>
    <n v="3.75"/>
    <n v="8"/>
    <n v="0.1"/>
    <x v="2"/>
    <n v="30"/>
    <n v="3"/>
    <n v="27"/>
    <n v="216"/>
  </r>
  <r>
    <n v="708"/>
    <s v="Majorie"/>
    <s v="Glover"/>
    <s v="NULL"/>
    <s v="majorie.glover@msn.com"/>
    <n v="252"/>
    <d v="2011-12-01T11:45:00"/>
    <n v="4"/>
    <n v="4"/>
    <s v="RETROSPOT HEART HOT WATER BOTTLE"/>
    <s v="Debit Card"/>
    <n v="536423"/>
    <n v="21485"/>
    <n v="4.95"/>
    <n v="8"/>
    <n v="7.0000000000000007E-2"/>
    <x v="2"/>
    <n v="39.6"/>
    <n v="2.7720000000000002"/>
    <n v="36.828000000000003"/>
    <n v="294.62400000000002"/>
  </r>
  <r>
    <n v="709"/>
    <s v="Vinnie"/>
    <s v="Chan"/>
    <s v="NULL"/>
    <s v="vinnie.chan@aol.com"/>
    <n v="252"/>
    <d v="2011-12-01T11:45:00"/>
    <n v="4"/>
    <n v="19"/>
    <s v="RED WOOLLY HOTTIE WHITE HEART."/>
    <s v="Debit Card"/>
    <n v="536423"/>
    <s v="84029E"/>
    <n v="3.75"/>
    <n v="8"/>
    <n v="0.1"/>
    <x v="2"/>
    <n v="30"/>
    <n v="3"/>
    <n v="27"/>
    <n v="216"/>
  </r>
  <r>
    <n v="710"/>
    <s v="Ezra"/>
    <s v="Silva"/>
    <s v="NULL"/>
    <s v="ezra.silva@msn.com"/>
    <n v="253"/>
    <d v="2011-12-01T11:45:00"/>
    <n v="4"/>
    <n v="11"/>
    <s v="SCOTTIE DOG HOT WATER BOTTLE"/>
    <s v="Debit Card"/>
    <n v="536423"/>
    <n v="22111"/>
    <n v="4.95"/>
    <n v="16"/>
    <n v="7.0000000000000007E-2"/>
    <x v="2"/>
    <n v="79.2"/>
    <n v="5.5440000000000005"/>
    <n v="73.656000000000006"/>
    <n v="1178.4960000000001"/>
  </r>
  <r>
    <n v="711"/>
    <s v="Jovita"/>
    <s v="Bishop"/>
    <s v="NULL"/>
    <s v="jovita.bishop@aol.com"/>
    <n v="254"/>
    <d v="2011-12-01T11:45:00"/>
    <n v="4"/>
    <n v="6"/>
    <s v="GREY HEART HOT WATER BOTTLE"/>
    <s v="Debit Card"/>
    <n v="536423"/>
    <n v="22113"/>
    <n v="3.75"/>
    <n v="8"/>
    <n v="7.0000000000000007E-2"/>
    <x v="2"/>
    <n v="30"/>
    <n v="2.1"/>
    <n v="27.9"/>
    <n v="223.2"/>
  </r>
  <r>
    <n v="712"/>
    <s v="Kecia"/>
    <s v="Olsen"/>
    <s v="NULL"/>
    <s v="kecia.olsen@msn.com"/>
    <n v="254"/>
    <d v="2011-12-01T11:45:00"/>
    <n v="4"/>
    <n v="3"/>
    <s v="HOT WATER BOTTLE BABUSHKA "/>
    <s v="Debit Card"/>
    <n v="536425"/>
    <n v="22837"/>
    <n v="4.6500000000000004"/>
    <n v="8"/>
    <n v="0.05"/>
    <x v="2"/>
    <n v="37.200000000000003"/>
    <n v="1.8600000000000003"/>
    <n v="35.340000000000003"/>
    <n v="282.72000000000003"/>
  </r>
  <r>
    <n v="713"/>
    <s v="Ilona"/>
    <s v="Spears"/>
    <s v="NULL"/>
    <s v="ilona.spears@gmail.com"/>
    <n v="254"/>
    <d v="2011-12-01T11:45:00"/>
    <n v="4"/>
    <n v="12"/>
    <s v="PACK OF 6 BIRDY GIFT TAGS"/>
    <s v="Debit Card"/>
    <n v="536425"/>
    <n v="22585"/>
    <n v="1.25"/>
    <n v="12"/>
    <n v="0.05"/>
    <x v="2"/>
    <n v="15"/>
    <n v="0.75"/>
    <n v="14.25"/>
    <n v="171"/>
  </r>
  <r>
    <n v="714"/>
    <s v="Senaida"/>
    <s v="Thompson"/>
    <s v="NULL"/>
    <s v="senaida.thompson@msn.com"/>
    <n v="255"/>
    <d v="2011-12-01T11:45:00"/>
    <n v="4"/>
    <n v="5"/>
    <s v="CHILLI LIGHTS"/>
    <s v="Debit Card"/>
    <n v="536425"/>
    <n v="79321"/>
    <n v="4.95"/>
    <n v="8"/>
    <n v="0.1"/>
    <x v="2"/>
    <n v="39.6"/>
    <n v="3.9600000000000004"/>
    <n v="35.64"/>
    <n v="285.12"/>
  </r>
  <r>
    <n v="715"/>
    <s v="Larae"/>
    <s v="Carney"/>
    <s v="NULL"/>
    <s v="larae.carney@msn.com"/>
    <n v="255"/>
    <d v="2011-12-01T11:45:00"/>
    <n v="3"/>
    <n v="14"/>
    <s v="PIGGY BANK RETROSPOT "/>
    <s v="Debit Card"/>
    <n v="536425"/>
    <n v="22637"/>
    <n v="2.5499999999999998"/>
    <n v="12"/>
    <n v="0.2"/>
    <x v="2"/>
    <n v="30.599999999999998"/>
    <n v="6.12"/>
    <n v="24.479999999999997"/>
    <n v="293.76"/>
  </r>
  <r>
    <n v="716"/>
    <s v="Sebrina"/>
    <s v="Hart"/>
    <s v="NULL"/>
    <s v="sebrina.hart@yahoo.com"/>
    <n v="255"/>
    <d v="2011-12-01T11:45:00"/>
    <n v="4"/>
    <n v="2"/>
    <s v="CERAMIC STRAWBERRY MONEY BOX"/>
    <s v="Debit Card"/>
    <n v="536425"/>
    <n v="21556"/>
    <n v="2.5499999999999998"/>
    <n v="6"/>
    <n v="0.2"/>
    <x v="2"/>
    <n v="15.299999999999999"/>
    <n v="3.06"/>
    <n v="12.239999999999998"/>
    <n v="73.44"/>
  </r>
  <r>
    <n v="717"/>
    <s v="Kristofer"/>
    <s v="Craig"/>
    <s v="NULL"/>
    <s v="kristofer.craig@yahoo.com"/>
    <n v="255"/>
    <d v="2011-12-01T11:45:00"/>
    <n v="4"/>
    <n v="21"/>
    <s v="CERAMIC STRAWBERRY CAKE MONEY BANK"/>
    <s v="Debit Card"/>
    <n v="536425"/>
    <n v="22646"/>
    <n v="1.45"/>
    <n v="12"/>
    <n v="7.0000000000000007E-2"/>
    <x v="2"/>
    <n v="17.399999999999999"/>
    <n v="1.218"/>
    <n v="16.181999999999999"/>
    <n v="194.18399999999997"/>
  </r>
  <r>
    <n v="718"/>
    <s v="Luciana"/>
    <s v="Mcgee"/>
    <s v="NULL"/>
    <s v="luciana.mcgee@msn.com"/>
    <n v="256"/>
    <d v="2011-12-01T11:45:00"/>
    <n v="4"/>
    <n v="11"/>
    <s v="CERAMIC CHERRY CAKE MONEY BANK"/>
    <s v="Debit Card"/>
    <n v="536425"/>
    <n v="22644"/>
    <n v="1.45"/>
    <n v="12"/>
    <n v="0.1"/>
    <x v="2"/>
    <n v="17.399999999999999"/>
    <n v="1.74"/>
    <n v="15.659999999999998"/>
    <n v="187.92"/>
  </r>
  <r>
    <n v="719"/>
    <s v="Nicki"/>
    <s v="Fry"/>
    <s v="NULL"/>
    <s v="nicki.fry@hotmail.com"/>
    <n v="256"/>
    <d v="2011-12-01T11:45:00"/>
    <n v="4"/>
    <n v="21"/>
    <s v="CERAMIC HEART FAIRY CAKE MONEY BANK"/>
    <s v="Debit Card"/>
    <n v="536425"/>
    <n v="22645"/>
    <n v="1.45"/>
    <n v="12"/>
    <n v="0.05"/>
    <x v="2"/>
    <n v="17.399999999999999"/>
    <n v="0.87"/>
    <n v="16.529999999999998"/>
    <n v="198.35999999999996"/>
  </r>
  <r>
    <n v="720"/>
    <s v="Devin"/>
    <s v="Shaffer"/>
    <s v="(507) 557-2191"/>
    <s v="devin.shaffer@gmail.com"/>
    <n v="257"/>
    <d v="2011-12-01T11:45:00"/>
    <n v="4"/>
    <n v="8"/>
    <s v="CERAMIC PIRATE CHEST MONEY BANK"/>
    <s v="Debit Card"/>
    <n v="536425"/>
    <n v="22650"/>
    <n v="1.45"/>
    <n v="12"/>
    <n v="7.0000000000000007E-2"/>
    <x v="2"/>
    <n v="17.399999999999999"/>
    <n v="1.218"/>
    <n v="16.181999999999999"/>
    <n v="194.18399999999997"/>
  </r>
  <r>
    <n v="721"/>
    <s v="Erlinda"/>
    <s v="Osborne"/>
    <s v="NULL"/>
    <s v="erlinda.osborne@yahoo.com"/>
    <n v="257"/>
    <d v="2011-12-01T11:45:00"/>
    <n v="4"/>
    <n v="13"/>
    <s v="DOORSTOP RETROSPOT HEART"/>
    <s v="Debit Card"/>
    <n v="536425"/>
    <n v="22508"/>
    <n v="3.75"/>
    <n v="8"/>
    <n v="0.2"/>
    <x v="2"/>
    <n v="30"/>
    <n v="6"/>
    <n v="24"/>
    <n v="192"/>
  </r>
  <r>
    <n v="722"/>
    <s v="Camila"/>
    <s v="Carroll"/>
    <s v="(210) 436-8676"/>
    <s v="camila.carroll@yahoo.com"/>
    <n v="257"/>
    <d v="2011-12-01T11:45:00"/>
    <n v="4"/>
    <n v="10"/>
    <s v="GINGHAM HEART  DOORSTOP RED"/>
    <s v="Debit Card"/>
    <n v="536425"/>
    <n v="21411"/>
    <n v="4.25"/>
    <n v="3"/>
    <n v="0.1"/>
    <x v="2"/>
    <n v="12.75"/>
    <n v="1.2750000000000001"/>
    <n v="11.475"/>
    <n v="34.424999999999997"/>
  </r>
  <r>
    <n v="723"/>
    <s v="Vicki"/>
    <s v="Wiggins"/>
    <s v="NULL"/>
    <s v="vicki.wiggins@hotmail.com"/>
    <n v="257"/>
    <d v="2011-12-01T11:45:00"/>
    <n v="4"/>
    <n v="15"/>
    <s v="RETROSPOT BABUSHKA DOORSTOP"/>
    <s v="Debit Card"/>
    <n v="536425"/>
    <n v="22511"/>
    <n v="3.75"/>
    <n v="4"/>
    <n v="0.1"/>
    <x v="2"/>
    <n v="15"/>
    <n v="1.5"/>
    <n v="13.5"/>
    <n v="54"/>
  </r>
  <r>
    <n v="724"/>
    <s v="Lois"/>
    <s v="Steele"/>
    <s v="NULL"/>
    <s v="lois.steele@yahoo.com"/>
    <n v="258"/>
    <d v="2011-12-01T11:45:00"/>
    <n v="4"/>
    <n v="8"/>
    <s v="SILK PURSE BABUSHKA RED"/>
    <s v="Debit Card"/>
    <n v="536425"/>
    <n v="22451"/>
    <n v="3.35"/>
    <n v="6"/>
    <n v="0.05"/>
    <x v="2"/>
    <n v="20.100000000000001"/>
    <n v="1.0050000000000001"/>
    <n v="19.095000000000002"/>
    <n v="114.57000000000002"/>
  </r>
  <r>
    <n v="725"/>
    <s v="Carola"/>
    <s v="Mcpherson"/>
    <s v="NULL"/>
    <s v="carola.mcpherson@hotmail.com"/>
    <n v="258"/>
    <d v="2011-12-01T11:45:00"/>
    <n v="4"/>
    <n v="4"/>
    <s v="SILK PURSE BABUSHKA PINK"/>
    <s v="Debit Card"/>
    <n v="536425"/>
    <n v="22449"/>
    <n v="3.35"/>
    <n v="6"/>
    <n v="7.0000000000000007E-2"/>
    <x v="2"/>
    <n v="20.100000000000001"/>
    <n v="1.4070000000000003"/>
    <n v="18.693000000000001"/>
    <n v="112.15800000000002"/>
  </r>
  <r>
    <n v="726"/>
    <s v="Rochell"/>
    <s v="Cantrell"/>
    <s v="NULL"/>
    <s v="rochell.cantrell@yahoo.com"/>
    <n v="258"/>
    <d v="2011-12-01T11:45:00"/>
    <n v="4"/>
    <n v="19"/>
    <s v="FAMILY PHOTO FRAME CORNICE"/>
    <s v="Debit Card"/>
    <n v="536425"/>
    <n v="22768"/>
    <n v="9.9499999999999993"/>
    <n v="2"/>
    <n v="7.0000000000000007E-2"/>
    <x v="2"/>
    <n v="19.899999999999999"/>
    <n v="1.393"/>
    <n v="18.506999999999998"/>
    <n v="37.013999999999996"/>
  </r>
  <r>
    <n v="727"/>
    <s v="Kasha"/>
    <s v="Sullivan"/>
    <s v="NULL"/>
    <s v="kasha.sullivan@hotmail.com"/>
    <n v="258"/>
    <d v="2011-12-01T11:45:00"/>
    <n v="4"/>
    <n v="18"/>
    <s v="SWEETHEART WIRE WALL TIDY"/>
    <s v="Debit Card"/>
    <n v="536425"/>
    <n v="22829"/>
    <n v="9.9499999999999993"/>
    <n v="2"/>
    <n v="0.05"/>
    <x v="2"/>
    <n v="19.899999999999999"/>
    <n v="0.995"/>
    <n v="18.904999999999998"/>
    <n v="37.809999999999995"/>
  </r>
  <r>
    <n v="728"/>
    <s v="Viva"/>
    <s v="Dawson"/>
    <s v="NULL"/>
    <s v="viva.dawson@yahoo.com"/>
    <n v="259"/>
    <d v="2011-12-01T11:45:00"/>
    <n v="4"/>
    <n v="26"/>
    <s v="JAM MAKING SET PRINTED"/>
    <s v="Debit Card"/>
    <n v="536425"/>
    <n v="22961"/>
    <n v="1.45"/>
    <n v="12"/>
    <n v="0.05"/>
    <x v="2"/>
    <n v="17.399999999999999"/>
    <n v="0.87"/>
    <n v="16.529999999999998"/>
    <n v="198.35999999999996"/>
  </r>
  <r>
    <n v="729"/>
    <s v="Hue"/>
    <s v="Dalton"/>
    <s v="NULL"/>
    <s v="hue.dalton@hotmail.com"/>
    <n v="259"/>
    <d v="2011-12-01T11:45:00"/>
    <n v="4"/>
    <n v="6"/>
    <s v="RED RETROSPOT OVEN GLOVE "/>
    <s v="Debit Card"/>
    <n v="536437"/>
    <n v="21154"/>
    <n v="1.06"/>
    <n v="200"/>
    <n v="0.1"/>
    <x v="2"/>
    <n v="212"/>
    <n v="21.200000000000003"/>
    <n v="190.8"/>
    <n v="38160"/>
  </r>
  <r>
    <n v="730"/>
    <s v="Andria"/>
    <s v="Rivers"/>
    <s v="NULL"/>
    <s v="andria.rivers@aol.com"/>
    <n v="259"/>
    <d v="2011-12-01T11:45:00"/>
    <n v="4"/>
    <n v="2"/>
    <s v="CREAM HEART CARD HOLDER"/>
    <s v="Debit Card"/>
    <n v="536437"/>
    <n v="22189"/>
    <n v="3.39"/>
    <n v="72"/>
    <n v="0.2"/>
    <x v="2"/>
    <n v="244.08"/>
    <n v="48.816000000000003"/>
    <n v="195.26400000000001"/>
    <n v="14059.008000000002"/>
  </r>
  <r>
    <n v="731"/>
    <s v="Hilary"/>
    <s v="Savage"/>
    <s v="(805) 753-6881"/>
    <s v="hilary.savage@yahoo.com"/>
    <n v="259"/>
    <d v="2011-12-01T11:45:00"/>
    <n v="4"/>
    <n v="4"/>
    <s v="NAMASTE SWAGAT INCENSE"/>
    <s v="Debit Card"/>
    <n v="536437"/>
    <n v="17021"/>
    <n v="0.24"/>
    <n v="600"/>
    <n v="0.1"/>
    <x v="2"/>
    <n v="144"/>
    <n v="14.4"/>
    <n v="129.6"/>
    <n v="77760"/>
  </r>
  <r>
    <n v="732"/>
    <s v="Lavona"/>
    <s v="Austin"/>
    <s v="NULL"/>
    <s v="lavona.austin@yahoo.com"/>
    <n v="260"/>
    <d v="2011-12-01T11:45:00"/>
    <n v="4"/>
    <n v="23"/>
    <s v="CERAMIC STRAWBERRY DESIGN MUG"/>
    <s v="Debit Card"/>
    <n v="536437"/>
    <n v="22059"/>
    <n v="1.25"/>
    <n v="48"/>
    <n v="0.2"/>
    <x v="2"/>
    <n v="60"/>
    <n v="12"/>
    <n v="48"/>
    <n v="2304"/>
  </r>
  <r>
    <n v="733"/>
    <s v="Doreatha"/>
    <s v="Ford"/>
    <s v="NULL"/>
    <s v="doreatha.ford@yahoo.com"/>
    <n v="260"/>
    <d v="2011-12-01T11:45:00"/>
    <n v="4"/>
    <n v="10"/>
    <s v="BLACK HEART CARD HOLDER"/>
    <s v="Debit Card"/>
    <n v="536437"/>
    <n v="22188"/>
    <n v="3.39"/>
    <n v="36"/>
    <n v="0.2"/>
    <x v="2"/>
    <n v="122.04"/>
    <n v="24.408000000000001"/>
    <n v="97.632000000000005"/>
    <n v="3514.7520000000004"/>
  </r>
  <r>
    <n v="734"/>
    <s v="Alina"/>
    <s v="Mcleod"/>
    <s v="NULL"/>
    <s v="alina.mcleod@msn.com"/>
    <n v="260"/>
    <d v="2011-12-01T11:45:00"/>
    <n v="4"/>
    <n v="24"/>
    <s v="CLASSICAL ROSE SMALL VASE"/>
    <s v="Debit Card"/>
    <n v="536437"/>
    <n v="84678"/>
    <n v="1.25"/>
    <n v="48"/>
    <n v="0.2"/>
    <x v="2"/>
    <n v="60"/>
    <n v="12"/>
    <n v="48"/>
    <n v="2304"/>
  </r>
  <r>
    <n v="735"/>
    <s v="Aide"/>
    <s v="Franco"/>
    <s v="NULL"/>
    <s v="aide.franco@msn.com"/>
    <n v="261"/>
    <d v="2011-12-01T11:45:00"/>
    <n v="3"/>
    <n v="16"/>
    <s v="HYACINTH BULB T-LIGHT CANDLES"/>
    <s v="Debit Card"/>
    <n v="536446"/>
    <n v="85172"/>
    <n v="0.42"/>
    <n v="32"/>
    <n v="0.05"/>
    <x v="2"/>
    <n v="13.44"/>
    <n v="0.67200000000000004"/>
    <n v="12.767999999999999"/>
    <n v="408.57599999999996"/>
  </r>
  <r>
    <n v="736"/>
    <s v="Genny"/>
    <s v="Hensley"/>
    <s v="NULL"/>
    <s v="genny.hensley@yahoo.com"/>
    <n v="261"/>
    <d v="2011-12-01T11:45:00"/>
    <n v="4"/>
    <n v="14"/>
    <s v="CHRISTMAS CRAFT WHITE FAIRY "/>
    <s v="Debit Card"/>
    <n v="536446"/>
    <n v="22142"/>
    <n v="1.45"/>
    <n v="2"/>
    <n v="0.1"/>
    <x v="2"/>
    <n v="2.9"/>
    <n v="0.28999999999999998"/>
    <n v="2.61"/>
    <n v="5.22"/>
  </r>
  <r>
    <n v="737"/>
    <s v="Melita"/>
    <s v="Dominguez"/>
    <s v="NULL"/>
    <s v="melita.dominguez@msn.com"/>
    <n v="261"/>
    <d v="2011-12-01T11:45:00"/>
    <n v="4"/>
    <n v="17"/>
    <s v="CHRISTMAS CRAFT LITTLE FRIENDS"/>
    <s v="Debit Card"/>
    <n v="536446"/>
    <n v="22144"/>
    <n v="2.1"/>
    <n v="2"/>
    <n v="0.1"/>
    <x v="2"/>
    <n v="4.2"/>
    <n v="0.42000000000000004"/>
    <n v="3.7800000000000002"/>
    <n v="7.5600000000000005"/>
  </r>
  <r>
    <n v="738"/>
    <s v="Fannie"/>
    <s v="Jenkins"/>
    <s v="(805) 774-5696"/>
    <s v="fannie.jenkins@msn.com"/>
    <n v="262"/>
    <d v="2011-12-01T11:45:00"/>
    <n v="4"/>
    <n v="2"/>
    <s v="COSY HOUR CIGAR BOX MATCHES "/>
    <s v="Debit Card"/>
    <n v="536446"/>
    <n v="21591"/>
    <n v="1.25"/>
    <n v="6"/>
    <n v="7.0000000000000007E-2"/>
    <x v="2"/>
    <n v="7.5"/>
    <n v="0.52500000000000002"/>
    <n v="6.9749999999999996"/>
    <n v="41.849999999999994"/>
  </r>
  <r>
    <n v="739"/>
    <s v="Bobbi"/>
    <s v="Banks"/>
    <s v="NULL"/>
    <s v="bobbi.banks@yahoo.com"/>
    <n v="262"/>
    <d v="2011-12-01T11:45:00"/>
    <n v="4"/>
    <n v="9"/>
    <s v="RED TEA TOWEL CLASSIC DESIGN"/>
    <s v="Debit Card"/>
    <n v="536446"/>
    <n v="22480"/>
    <n v="1.25"/>
    <n v="12"/>
    <n v="0.05"/>
    <x v="2"/>
    <n v="15"/>
    <n v="0.75"/>
    <n v="14.25"/>
    <n v="171"/>
  </r>
  <r>
    <n v="740"/>
    <s v="Gwenn"/>
    <s v="Melton"/>
    <s v="NULL"/>
    <s v="gwenn.melton@yahoo.com"/>
    <n v="263"/>
    <d v="2011-12-01T11:45:00"/>
    <n v="4"/>
    <n v="9"/>
    <s v="HEART FILIGREE DOVE  SMALL"/>
    <s v="Debit Card"/>
    <n v="536446"/>
    <n v="22294"/>
    <n v="1.25"/>
    <n v="48"/>
    <n v="7.0000000000000007E-2"/>
    <x v="2"/>
    <n v="60"/>
    <n v="4.2"/>
    <n v="55.8"/>
    <n v="2678.3999999999996"/>
  </r>
  <r>
    <n v="741"/>
    <s v="Laci"/>
    <s v="Castro"/>
    <s v="NULL"/>
    <s v="laci.castro@hotmail.com"/>
    <n v="263"/>
    <d v="2011-12-01T11:45:00"/>
    <n v="4"/>
    <n v="3"/>
    <s v="RETROSPOT CHILDRENS APRON"/>
    <s v="Debit Card"/>
    <n v="536446"/>
    <n v="21156"/>
    <n v="1.95"/>
    <n v="1"/>
    <n v="0.2"/>
    <x v="2"/>
    <n v="1.95"/>
    <n v="0.39"/>
    <n v="1.56"/>
    <n v="1.56"/>
  </r>
  <r>
    <n v="742"/>
    <s v="Evelina"/>
    <s v="Manning"/>
    <s v="NULL"/>
    <s v="evelina.manning@aol.com"/>
    <n v="263"/>
    <d v="2011-12-01T11:45:00"/>
    <n v="4"/>
    <n v="2"/>
    <s v="COLOURING PENCILS BROWN TUBE"/>
    <s v="Debit Card"/>
    <n v="536446"/>
    <n v="10133"/>
    <n v="0.85"/>
    <n v="5"/>
    <n v="0.05"/>
    <x v="2"/>
    <n v="4.25"/>
    <n v="0.21250000000000002"/>
    <n v="4.0374999999999996"/>
    <n v="20.1875"/>
  </r>
  <r>
    <n v="743"/>
    <s v="Tania"/>
    <s v="Swanson"/>
    <s v="NULL"/>
    <s v="tania.swanson@yahoo.com"/>
    <n v="264"/>
    <d v="2011-12-01T11:45:00"/>
    <n v="4"/>
    <n v="10"/>
    <s v="4 IVORY DINNER CANDLES SILVER FLOCK"/>
    <s v="Debit Card"/>
    <n v="536446"/>
    <s v="72800E"/>
    <n v="2.5499999999999998"/>
    <n v="6"/>
    <n v="0.2"/>
    <x v="2"/>
    <n v="15.299999999999999"/>
    <n v="3.06"/>
    <n v="12.239999999999998"/>
    <n v="73.44"/>
  </r>
  <r>
    <n v="744"/>
    <s v="Laurel"/>
    <s v="Schultz"/>
    <s v="NULL"/>
    <s v="laurel.schultz@hotmail.com"/>
    <n v="264"/>
    <d v="2011-12-01T11:45:00"/>
    <n v="4"/>
    <n v="24"/>
    <s v="HEART FILIGREE DOVE  SMALL"/>
    <s v="Debit Card"/>
    <n v="536446"/>
    <n v="22294"/>
    <n v="1.25"/>
    <n v="24"/>
    <n v="0.05"/>
    <x v="2"/>
    <n v="30"/>
    <n v="1.5"/>
    <n v="28.5"/>
    <n v="684"/>
  </r>
  <r>
    <n v="745"/>
    <s v="Carolyne"/>
    <s v="Conley"/>
    <s v="NULL"/>
    <s v="carolyne.conley@gmail.com"/>
    <n v="264"/>
    <d v="2011-12-01T11:45:00"/>
    <n v="4"/>
    <n v="15"/>
    <s v="ZINC METAL HEART DECORATION"/>
    <s v="Debit Card"/>
    <n v="536446"/>
    <n v="84836"/>
    <n v="1.25"/>
    <n v="12"/>
    <n v="0.1"/>
    <x v="2"/>
    <n v="15"/>
    <n v="1.5"/>
    <n v="13.5"/>
    <n v="162"/>
  </r>
  <r>
    <n v="746"/>
    <s v="Eldridge"/>
    <s v="Greer"/>
    <s v="NULL"/>
    <s v="eldridge.greer@aol.com"/>
    <n v="264"/>
    <d v="2011-12-01T11:45:00"/>
    <n v="4"/>
    <n v="3"/>
    <s v="GREEN FERN NOTEBOOK"/>
    <s v="Debit Card"/>
    <n v="536446"/>
    <n v="20774"/>
    <n v="1.65"/>
    <n v="2"/>
    <n v="7.0000000000000007E-2"/>
    <x v="2"/>
    <n v="3.3"/>
    <n v="0.23100000000000001"/>
    <n v="3.069"/>
    <n v="6.1379999999999999"/>
  </r>
  <r>
    <n v="747"/>
    <s v="Margret"/>
    <s v="Barnett"/>
    <s v="NULL"/>
    <s v="margret.barnett@gmail.com"/>
    <n v="265"/>
    <d v="2011-12-01T11:45:00"/>
    <n v="4"/>
    <n v="9"/>
    <s v="BLUE PAISLEY NOTEBOOK"/>
    <s v="Debit Card"/>
    <n v="536446"/>
    <n v="20773"/>
    <n v="1.65"/>
    <n v="2"/>
    <n v="0.2"/>
    <x v="2"/>
    <n v="3.3"/>
    <n v="0.66"/>
    <n v="2.6399999999999997"/>
    <n v="5.2799999999999994"/>
  </r>
  <r>
    <n v="748"/>
    <s v="Oliva"/>
    <s v="Blackwell"/>
    <s v="NULL"/>
    <s v="oliva.blackwell@hotmail.com"/>
    <n v="266"/>
    <d v="2011-12-01T11:45:00"/>
    <n v="4"/>
    <n v="6"/>
    <s v="CHRYSANTHEMUM NOTEBOOK"/>
    <s v="Debit Card"/>
    <n v="536446"/>
    <n v="20777"/>
    <n v="1.65"/>
    <n v="2"/>
    <n v="7.0000000000000007E-2"/>
    <x v="2"/>
    <n v="3.3"/>
    <n v="0.23100000000000001"/>
    <n v="3.069"/>
    <n v="6.1379999999999999"/>
  </r>
  <r>
    <n v="749"/>
    <s v="Oralia"/>
    <s v="Farley"/>
    <s v="NULL"/>
    <s v="oralia.farley@hotmail.com"/>
    <n v="266"/>
    <d v="2011-12-01T11:45:00"/>
    <n v="4"/>
    <n v="19"/>
    <s v="LARGE CHINESE STYLE SCISSOR"/>
    <s v="Debit Card"/>
    <n v="536446"/>
    <n v="16016"/>
    <n v="0.85"/>
    <n v="10"/>
    <n v="0.2"/>
    <x v="2"/>
    <n v="8.5"/>
    <n v="1.7000000000000002"/>
    <n v="6.8"/>
    <n v="68"/>
  </r>
  <r>
    <n v="750"/>
    <s v="Romaine"/>
    <s v="Salazar"/>
    <s v="NULL"/>
    <s v="romaine.salazar@yahoo.com"/>
    <n v="266"/>
    <d v="2011-12-01T11:45:00"/>
    <n v="4"/>
    <n v="25"/>
    <s v="SMALL CHINESE STYLE SCISSOR"/>
    <s v="Debit Card"/>
    <n v="536446"/>
    <n v="16014"/>
    <n v="0.42"/>
    <n v="10"/>
    <n v="0.05"/>
    <x v="2"/>
    <n v="4.2"/>
    <n v="0.21000000000000002"/>
    <n v="3.99"/>
    <n v="39.900000000000006"/>
  </r>
  <r>
    <n v="751"/>
    <s v="Hermila"/>
    <s v="Mckay"/>
    <s v="NULL"/>
    <s v="hermila.mckay@yahoo.com"/>
    <n v="267"/>
    <d v="2011-12-01T11:45:00"/>
    <n v="4"/>
    <n v="22"/>
    <s v="S/6 WOODEN SKITTLES IN COTTON BAG"/>
    <s v="Debit Card"/>
    <n v="536446"/>
    <n v="21890"/>
    <n v="2.95"/>
    <n v="2"/>
    <n v="0.2"/>
    <x v="2"/>
    <n v="5.9"/>
    <n v="1.1800000000000002"/>
    <n v="4.7200000000000006"/>
    <n v="9.4400000000000013"/>
  </r>
  <r>
    <n v="752"/>
    <s v="Lloyd"/>
    <s v="Miranda"/>
    <s v="NULL"/>
    <s v="lloyd.miranda@hotmail.com"/>
    <n v="267"/>
    <d v="2011-12-01T11:45:00"/>
    <n v="4"/>
    <n v="23"/>
    <s v="TRADITIONAL WOODEN SKIPPING ROPE"/>
    <s v="Debit Card"/>
    <n v="536446"/>
    <n v="21891"/>
    <n v="1.25"/>
    <n v="2"/>
    <n v="0.1"/>
    <x v="2"/>
    <n v="2.5"/>
    <n v="0.25"/>
    <n v="2.25"/>
    <n v="4.5"/>
  </r>
  <r>
    <n v="753"/>
    <s v="Mandi"/>
    <s v="Gibbs"/>
    <s v="NULL"/>
    <s v="mandi.gibbs@gmail.com"/>
    <n v="267"/>
    <d v="2011-12-01T11:45:00"/>
    <n v="4"/>
    <n v="24"/>
    <s v="SET OF 6 SOLDIER SKITTLES"/>
    <s v="Debit Card"/>
    <n v="536446"/>
    <n v="22619"/>
    <n v="3.75"/>
    <n v="8"/>
    <n v="0.1"/>
    <x v="2"/>
    <n v="30"/>
    <n v="3"/>
    <n v="27"/>
    <n v="216"/>
  </r>
  <r>
    <n v="754"/>
    <s v="Hue"/>
    <s v="May"/>
    <s v="NULL"/>
    <s v="hue.may@aol.com"/>
    <n v="267"/>
    <d v="2011-12-01T11:45:00"/>
    <n v="4"/>
    <n v="7"/>
    <s v="4 TRADITIONAL SPINNING TOPS"/>
    <s v="Debit Card"/>
    <n v="536446"/>
    <n v="22620"/>
    <n v="1.25"/>
    <n v="6"/>
    <n v="7.0000000000000007E-2"/>
    <x v="2"/>
    <n v="7.5"/>
    <n v="0.52500000000000002"/>
    <n v="6.9749999999999996"/>
    <n v="41.849999999999994"/>
  </r>
  <r>
    <n v="755"/>
    <s v="Tomika"/>
    <s v="Wilder"/>
    <s v="NULL"/>
    <s v="tomika.wilder@aol.com"/>
    <n v="267"/>
    <d v="2011-12-01T11:45:00"/>
    <n v="4"/>
    <n v="21"/>
    <s v="ROTATING SILVER ANGELS T-LIGHT HLDR"/>
    <s v="Debit Card"/>
    <n v="536446"/>
    <n v="84347"/>
    <n v="2.5499999999999998"/>
    <n v="12"/>
    <n v="0.05"/>
    <x v="2"/>
    <n v="30.599999999999998"/>
    <n v="1.53"/>
    <n v="29.069999999999997"/>
    <n v="348.84"/>
  </r>
  <r>
    <n v="756"/>
    <s v="Graig"/>
    <s v="Roth"/>
    <s v="NULL"/>
    <s v="graig.roth@aol.com"/>
    <n v="268"/>
    <d v="2011-12-01T11:45:00"/>
    <n v="4"/>
    <n v="7"/>
    <s v="BLACK LOVE BIRD CANDLE"/>
    <s v="Debit Card"/>
    <n v="536446"/>
    <s v="85169B"/>
    <n v="1.25"/>
    <n v="24"/>
    <n v="0.05"/>
    <x v="2"/>
    <n v="30"/>
    <n v="1.5"/>
    <n v="28.5"/>
    <n v="684"/>
  </r>
  <r>
    <n v="757"/>
    <s v="Lamar"/>
    <s v="Greer"/>
    <s v="NULL"/>
    <s v="lamar.greer@gmail.com"/>
    <n v="268"/>
    <d v="2011-12-01T11:45:00"/>
    <n v="4"/>
    <n v="6"/>
    <s v="RETROSPOT CHILDRENS APRON"/>
    <s v="Debit Card"/>
    <n v="536446"/>
    <n v="21156"/>
    <n v="1.95"/>
    <n v="3"/>
    <n v="0.2"/>
    <x v="2"/>
    <n v="5.85"/>
    <n v="1.17"/>
    <n v="4.68"/>
    <n v="14.04"/>
  </r>
  <r>
    <n v="758"/>
    <s v="Raymonde"/>
    <s v="Garcia"/>
    <s v="NULL"/>
    <s v="raymonde.garcia@aol.com"/>
    <n v="268"/>
    <d v="2011-12-01T11:45:00"/>
    <n v="4"/>
    <n v="9"/>
    <s v="HANGING GLASS ETCHED TEALIGHT"/>
    <s v="Debit Card"/>
    <n v="536446"/>
    <n v="21651"/>
    <n v="1.65"/>
    <n v="6"/>
    <n v="0.1"/>
    <x v="2"/>
    <n v="9.8999999999999986"/>
    <n v="0.98999999999999988"/>
    <n v="8.9099999999999984"/>
    <n v="53.459999999999994"/>
  </r>
  <r>
    <n v="759"/>
    <s v="Cira"/>
    <s v="Downs"/>
    <s v="(510) 788-4456"/>
    <s v="cira.downs@gmail.com"/>
    <n v="269"/>
    <d v="2011-12-01T11:45:00"/>
    <n v="4"/>
    <n v="5"/>
    <s v="HANGING GLASS ETCHED TEALIGHT"/>
    <s v="Debit Card"/>
    <n v="536446"/>
    <n v="21651"/>
    <n v="1.65"/>
    <n v="6"/>
    <n v="7.0000000000000007E-2"/>
    <x v="2"/>
    <n v="9.8999999999999986"/>
    <n v="0.69299999999999995"/>
    <n v="9.206999999999999"/>
    <n v="55.24199999999999"/>
  </r>
  <r>
    <n v="760"/>
    <s v="Marisa"/>
    <s v="Chambers"/>
    <s v="NULL"/>
    <s v="marisa.chambers@msn.com"/>
    <n v="269"/>
    <d v="2011-12-01T11:45:00"/>
    <n v="4"/>
    <n v="23"/>
    <s v="BLUE NEW BAROQUE CANDLESTICK CANDLE"/>
    <s v="Debit Card"/>
    <n v="536446"/>
    <s v="84625C"/>
    <n v="2.95"/>
    <n v="10"/>
    <n v="7.0000000000000007E-2"/>
    <x v="2"/>
    <n v="29.5"/>
    <n v="2.0650000000000004"/>
    <n v="27.434999999999999"/>
    <n v="274.34999999999997"/>
  </r>
  <r>
    <n v="761"/>
    <s v="Rod"/>
    <s v="Hatfield"/>
    <s v="NULL"/>
    <s v="rod.hatfield@hotmail.com"/>
    <n v="269"/>
    <d v="2011-12-01T11:45:00"/>
    <n v="4"/>
    <n v="18"/>
    <s v="COOKING SET RETROSPOT"/>
    <s v="Debit Card"/>
    <n v="536446"/>
    <n v="22618"/>
    <n v="9.9499999999999993"/>
    <n v="2"/>
    <n v="0.05"/>
    <x v="2"/>
    <n v="19.899999999999999"/>
    <n v="0.995"/>
    <n v="18.904999999999998"/>
    <n v="37.809999999999995"/>
  </r>
  <r>
    <n v="762"/>
    <s v="Quyen"/>
    <s v="Houston"/>
    <s v="NULL"/>
    <s v="quyen.houston@gmail.com"/>
    <n v="269"/>
    <d v="2011-12-01T11:45:00"/>
    <n v="4"/>
    <n v="3"/>
    <s v="KINGS CHOICE GIANT TUBE MATCHES"/>
    <s v="Debit Card"/>
    <n v="536446"/>
    <n v="21586"/>
    <n v="2.5499999999999998"/>
    <n v="4"/>
    <n v="0.05"/>
    <x v="2"/>
    <n v="10.199999999999999"/>
    <n v="0.51"/>
    <n v="9.69"/>
    <n v="38.76"/>
  </r>
  <r>
    <n v="763"/>
    <s v="Han"/>
    <s v="Schneider"/>
    <s v="NULL"/>
    <s v="han.schneider@gmail.com"/>
    <n v="270"/>
    <d v="2011-12-01T11:45:00"/>
    <n v="4"/>
    <n v="25"/>
    <s v="COSY HOUR GIANT TUBE MATCHES"/>
    <s v="Debit Card"/>
    <n v="536446"/>
    <n v="21587"/>
    <n v="2.5499999999999998"/>
    <n v="4"/>
    <n v="0.2"/>
    <x v="2"/>
    <n v="10.199999999999999"/>
    <n v="2.04"/>
    <n v="8.16"/>
    <n v="32.64"/>
  </r>
  <r>
    <n v="764"/>
    <s v="Terrell"/>
    <s v="Mathis"/>
    <s v="NULL"/>
    <s v="terrell.mathis@aol.com"/>
    <n v="270"/>
    <d v="2011-12-01T11:45:00"/>
    <n v="4"/>
    <n v="15"/>
    <s v="PLACE SETTING WHITE STAR"/>
    <s v="Debit Card"/>
    <n v="536446"/>
    <n v="22152"/>
    <n v="0.42"/>
    <n v="24"/>
    <n v="0.1"/>
    <x v="2"/>
    <n v="10.08"/>
    <n v="1.008"/>
    <n v="9.0719999999999992"/>
    <n v="217.72799999999998"/>
  </r>
  <r>
    <n v="765"/>
    <s v="Spring"/>
    <s v="Hayes"/>
    <s v="NULL"/>
    <s v="spring.hayes@hotmail.com"/>
    <n v="271"/>
    <d v="2011-12-01T11:45:00"/>
    <n v="4"/>
    <n v="11"/>
    <s v="HYACINTH BULB T-LIGHT CANDLES"/>
    <s v="Debit Card"/>
    <n v="536446"/>
    <n v="85172"/>
    <n v="0.42"/>
    <n v="16"/>
    <n v="7.0000000000000007E-2"/>
    <x v="2"/>
    <n v="6.72"/>
    <n v="0.47040000000000004"/>
    <n v="6.2496"/>
    <n v="99.993600000000001"/>
  </r>
  <r>
    <n v="766"/>
    <s v="Lecia"/>
    <s v="Hancock"/>
    <s v="NULL"/>
    <s v="lecia.hancock@hotmail.com"/>
    <n v="271"/>
    <d v="2011-12-01T11:45:00"/>
    <n v="4"/>
    <n v="6"/>
    <s v="S/15 SILVER GLASS BAUBLES IN BAG"/>
    <s v="Debit Card"/>
    <n v="536446"/>
    <n v="84754"/>
    <n v="1.25"/>
    <n v="24"/>
    <n v="0.05"/>
    <x v="2"/>
    <n v="30"/>
    <n v="1.5"/>
    <n v="28.5"/>
    <n v="684"/>
  </r>
  <r>
    <n v="767"/>
    <s v="Twana"/>
    <s v="Arnold"/>
    <s v="(657) 988-1904"/>
    <s v="twana.arnold@msn.com"/>
    <n v="271"/>
    <d v="2011-12-01T11:45:00"/>
    <n v="4"/>
    <n v="13"/>
    <s v="FRENCH WC SIGN BLUE METAL"/>
    <s v="Debit Card"/>
    <n v="536460"/>
    <n v="22670"/>
    <n v="1.25"/>
    <n v="12"/>
    <n v="0.1"/>
    <x v="2"/>
    <n v="15"/>
    <n v="1.5"/>
    <n v="13.5"/>
    <n v="162"/>
  </r>
  <r>
    <n v="768"/>
    <s v="Yvone"/>
    <s v="Yates"/>
    <s v="NULL"/>
    <s v="yvone.yates@gmail.com"/>
    <n v="271"/>
    <d v="2011-12-01T11:45:00"/>
    <n v="4"/>
    <n v="7"/>
    <s v="KINGS CHOICE GIANT TUBE MATCHES"/>
    <s v="Debit Card"/>
    <n v="536460"/>
    <n v="21586"/>
    <n v="2.5499999999999998"/>
    <n v="12"/>
    <n v="0.1"/>
    <x v="2"/>
    <n v="30.599999999999998"/>
    <n v="3.06"/>
    <n v="27.54"/>
    <n v="330.48"/>
  </r>
  <r>
    <n v="769"/>
    <s v="Agatha"/>
    <s v="Melton"/>
    <s v="NULL"/>
    <s v="agatha.melton@yahoo.com"/>
    <n v="272"/>
    <d v="2011-12-01T11:45:00"/>
    <n v="4"/>
    <n v="2"/>
    <s v="72 SWEETHEART FAIRY CAKE CASES"/>
    <s v="Debit Card"/>
    <n v="536460"/>
    <n v="84992"/>
    <n v="0.55000000000000004"/>
    <n v="24"/>
    <n v="7.0000000000000007E-2"/>
    <x v="2"/>
    <n v="13.200000000000001"/>
    <n v="0.92400000000000015"/>
    <n v="12.276000000000002"/>
    <n v="294.62400000000002"/>
  </r>
  <r>
    <n v="770"/>
    <s v="Lavonda"/>
    <s v="Stephenson"/>
    <s v="NULL"/>
    <s v="lavonda.stephenson@gmail.com"/>
    <n v="272"/>
    <d v="2011-12-01T11:45:00"/>
    <n v="4"/>
    <n v="11"/>
    <s v="ASSORTED COLOUR BIRD ORNAMENT"/>
    <s v="Debit Card"/>
    <n v="536460"/>
    <n v="84879"/>
    <n v="1.69"/>
    <n v="24"/>
    <n v="7.0000000000000007E-2"/>
    <x v="2"/>
    <n v="40.56"/>
    <n v="2.8392000000000004"/>
    <n v="37.720800000000004"/>
    <n v="905.29920000000016"/>
  </r>
  <r>
    <n v="771"/>
    <s v="Agnes"/>
    <s v="Sims"/>
    <s v="(716) 780-9901"/>
    <s v="agnes.sims@aol.com"/>
    <n v="273"/>
    <d v="2011-12-01T11:45:00"/>
    <n v="4"/>
    <n v="21"/>
    <s v="FAIRY SOAP SOAP HOLDER"/>
    <s v="Debit Card"/>
    <n v="536460"/>
    <s v="84849B"/>
    <n v="1.69"/>
    <n v="12"/>
    <n v="0.1"/>
    <x v="2"/>
    <n v="20.28"/>
    <n v="2.028"/>
    <n v="18.252000000000002"/>
    <n v="219.02400000000003"/>
  </r>
  <r>
    <n v="772"/>
    <s v="Latricia"/>
    <s v="Lindsey"/>
    <s v="NULL"/>
    <s v="latricia.lindsey@hotmail.com"/>
    <n v="274"/>
    <d v="2011-12-01T11:45:00"/>
    <n v="4"/>
    <n v="11"/>
    <s v="GREEN GIANT GARDEN THERMOMETER"/>
    <s v="Debit Card"/>
    <n v="536460"/>
    <n v="22927"/>
    <n v="5.95"/>
    <n v="2"/>
    <n v="0.05"/>
    <x v="2"/>
    <n v="11.9"/>
    <n v="0.59500000000000008"/>
    <n v="11.305"/>
    <n v="22.61"/>
  </r>
  <r>
    <n v="773"/>
    <s v="Yolando"/>
    <s v="Wade"/>
    <s v="NULL"/>
    <s v="yolando.wade@hotmail.com"/>
    <n v="274"/>
    <d v="2011-12-01T11:45:00"/>
    <n v="4"/>
    <n v="25"/>
    <s v="IVORY GIANT GARDEN THERMOMETER"/>
    <s v="Debit Card"/>
    <n v="536460"/>
    <n v="22926"/>
    <n v="5.95"/>
    <n v="4"/>
    <n v="0.1"/>
    <x v="2"/>
    <n v="23.8"/>
    <n v="2.3800000000000003"/>
    <n v="21.42"/>
    <n v="85.68"/>
  </r>
  <r>
    <n v="774"/>
    <s v="Nenita"/>
    <s v="Mooney"/>
    <s v="NULL"/>
    <s v="nenita.mooney@hotmail.com"/>
    <n v="274"/>
    <d v="2011-12-01T11:45:00"/>
    <n v="4"/>
    <n v="9"/>
    <s v="BLUE GIANT GARDEN THERMOMETER"/>
    <s v="Debit Card"/>
    <n v="536460"/>
    <n v="22925"/>
    <n v="5.95"/>
    <n v="2"/>
    <n v="7.0000000000000007E-2"/>
    <x v="2"/>
    <n v="11.9"/>
    <n v="0.83300000000000007"/>
    <n v="11.067"/>
    <n v="22.134"/>
  </r>
  <r>
    <n v="775"/>
    <s v="Kermit"/>
    <s v="Hyde"/>
    <s v="NULL"/>
    <s v="kermit.hyde@hotmail.com"/>
    <n v="275"/>
    <d v="2011-12-01T11:45:00"/>
    <n v="4"/>
    <n v="18"/>
    <s v="PACK OF 60 PINK PAISLEY CAKE CASES"/>
    <s v="Debit Card"/>
    <n v="536460"/>
    <n v="21977"/>
    <n v="0.55000000000000004"/>
    <n v="24"/>
    <n v="0.05"/>
    <x v="2"/>
    <n v="13.200000000000001"/>
    <n v="0.66000000000000014"/>
    <n v="12.540000000000001"/>
    <n v="300.96000000000004"/>
  </r>
  <r>
    <n v="776"/>
    <s v="Angelique"/>
    <s v="Merrill"/>
    <s v="NULL"/>
    <s v="angelique.merrill@gmail.com"/>
    <n v="275"/>
    <d v="2011-12-01T11:45:00"/>
    <n v="4"/>
    <n v="25"/>
    <s v="RETROSPOT HEART HOT WATER BOTTLE"/>
    <s v="Debit Card"/>
    <n v="536460"/>
    <n v="21485"/>
    <n v="4.95"/>
    <n v="6"/>
    <n v="0.1"/>
    <x v="2"/>
    <n v="29.700000000000003"/>
    <n v="2.9700000000000006"/>
    <n v="26.730000000000004"/>
    <n v="160.38000000000002"/>
  </r>
  <r>
    <n v="777"/>
    <s v="Ilda"/>
    <s v="Roberson"/>
    <s v="NULL"/>
    <s v="ilda.roberson@aol.com"/>
    <n v="275"/>
    <d v="2011-12-01T11:45:00"/>
    <n v="4"/>
    <n v="7"/>
    <s v="CHICK GREY HOT WATER BOTTLE"/>
    <s v="Debit Card"/>
    <n v="536460"/>
    <n v="21484"/>
    <n v="3.45"/>
    <n v="8"/>
    <n v="0.05"/>
    <x v="2"/>
    <n v="27.6"/>
    <n v="1.3800000000000001"/>
    <n v="26.220000000000002"/>
    <n v="209.76000000000002"/>
  </r>
  <r>
    <n v="778"/>
    <s v="Corrinne"/>
    <s v="Garrison"/>
    <s v="NULL"/>
    <s v="corrinne.garrison@yahoo.com"/>
    <n v="276"/>
    <d v="2011-12-01T11:45:00"/>
    <n v="3"/>
    <n v="3"/>
    <s v="VICTORIAN SEWING BOX SMALL "/>
    <s v="Debit Card"/>
    <n v="536460"/>
    <n v="21259"/>
    <n v="5.95"/>
    <n v="2"/>
    <n v="0.2"/>
    <x v="2"/>
    <n v="11.9"/>
    <n v="2.3800000000000003"/>
    <n v="9.52"/>
    <n v="19.04"/>
  </r>
  <r>
    <n v="779"/>
    <s v="Major"/>
    <s v="Merrill"/>
    <s v="NULL"/>
    <s v="major.merrill@aol.com"/>
    <n v="276"/>
    <d v="2011-12-01T11:45:00"/>
    <n v="4"/>
    <n v="17"/>
    <s v="VICTORIAN SEWING BOX MEDIUM"/>
    <s v="Debit Card"/>
    <n v="536460"/>
    <n v="21257"/>
    <n v="7.95"/>
    <n v="2"/>
    <n v="0.05"/>
    <x v="2"/>
    <n v="15.9"/>
    <n v="0.79500000000000004"/>
    <n v="15.105"/>
    <n v="30.21"/>
  </r>
  <r>
    <n v="780"/>
    <s v="Ouida"/>
    <s v="Gregory"/>
    <s v="NULL"/>
    <s v="ouida.gregory@aol.com"/>
    <n v="276"/>
    <d v="2011-12-01T11:45:00"/>
    <n v="4"/>
    <n v="9"/>
    <s v="SET/10 RED POLKADOT PARTY CANDLES"/>
    <s v="Debit Card"/>
    <n v="536460"/>
    <n v="21121"/>
    <n v="1.25"/>
    <n v="24"/>
    <n v="7.0000000000000007E-2"/>
    <x v="2"/>
    <n v="30"/>
    <n v="2.1"/>
    <n v="27.9"/>
    <n v="669.59999999999991"/>
  </r>
  <r>
    <n v="781"/>
    <s v="Tajuana"/>
    <s v="Riddle"/>
    <s v="NULL"/>
    <s v="tajuana.riddle@hotmail.com"/>
    <n v="277"/>
    <d v="2011-12-01T11:45:00"/>
    <n v="4"/>
    <n v="20"/>
    <s v="WASHROOM METAL SIGN"/>
    <s v="Debit Card"/>
    <n v="536463"/>
    <n v="82552"/>
    <n v="1.45"/>
    <n v="12"/>
    <n v="0.2"/>
    <x v="2"/>
    <n v="17.399999999999999"/>
    <n v="3.48"/>
    <n v="13.919999999999998"/>
    <n v="167.03999999999996"/>
  </r>
  <r>
    <n v="782"/>
    <s v="Ricki"/>
    <s v="Bullock"/>
    <s v="NULL"/>
    <s v="ricki.bullock@hotmail.com"/>
    <n v="277"/>
    <d v="2011-12-01T11:45:00"/>
    <n v="4"/>
    <n v="6"/>
    <s v="BLACK SWEETHEART BRACELET"/>
    <s v="Debit Card"/>
    <n v="536464"/>
    <s v="90200B"/>
    <n v="4.25"/>
    <n v="2"/>
    <n v="0.2"/>
    <x v="2"/>
    <n v="8.5"/>
    <n v="1.7000000000000002"/>
    <n v="6.8"/>
    <n v="13.6"/>
  </r>
  <r>
    <n v="783"/>
    <s v="Celestine"/>
    <s v="Kent"/>
    <s v="(717) 890-4260"/>
    <s v="celestine.kent@aol.com"/>
    <n v="277"/>
    <d v="2011-12-01T11:45:00"/>
    <n v="4"/>
    <n v="13"/>
    <s v="DIAMANTE HAIR GRIP PACK/2 BLACK DIA"/>
    <s v="Debit Card"/>
    <n v="536464"/>
    <s v="90059B"/>
    <n v="1.65"/>
    <n v="2"/>
    <n v="0.1"/>
    <x v="2"/>
    <n v="3.3"/>
    <n v="0.33"/>
    <n v="2.9699999999999998"/>
    <n v="5.9399999999999995"/>
  </r>
  <r>
    <n v="784"/>
    <s v="Debbra"/>
    <s v="Jacobson"/>
    <s v="NULL"/>
    <s v="debbra.jacobson@yahoo.com"/>
    <n v="278"/>
    <d v="2011-12-01T11:45:00"/>
    <n v="4"/>
    <n v="16"/>
    <s v="BLACK DIAMANTE EXPANDABLE RING"/>
    <s v="Debit Card"/>
    <n v="536464"/>
    <s v="90185C"/>
    <n v="4.25"/>
    <n v="2"/>
    <n v="0.2"/>
    <x v="2"/>
    <n v="8.5"/>
    <n v="1.7000000000000002"/>
    <n v="6.8"/>
    <n v="13.6"/>
  </r>
  <r>
    <n v="785"/>
    <s v="Kandis"/>
    <s v="Mills"/>
    <s v="NULL"/>
    <s v="kandis.mills@hotmail.com"/>
    <n v="278"/>
    <d v="2011-12-01T11:45:00"/>
    <n v="4"/>
    <n v="19"/>
    <s v="DIAMANTE HAIR GRIP PACK/2 RUBY"/>
    <s v="Debit Card"/>
    <n v="536464"/>
    <s v="90059E"/>
    <n v="1.65"/>
    <n v="3"/>
    <n v="7.0000000000000007E-2"/>
    <x v="2"/>
    <n v="4.9499999999999993"/>
    <n v="0.34649999999999997"/>
    <n v="4.6034999999999995"/>
    <n v="13.810499999999998"/>
  </r>
  <r>
    <n v="786"/>
    <s v="Wallace"/>
    <s v="Lane"/>
    <s v="NULL"/>
    <s v="wallace.lane@aol.com"/>
    <n v="278"/>
    <d v="2011-12-01T11:45:00"/>
    <n v="4"/>
    <n v="13"/>
    <s v="DIAMANTE HAIR GRIP PACK/2 MONTANA"/>
    <s v="Debit Card"/>
    <n v="536464"/>
    <s v="90059C"/>
    <n v="1.65"/>
    <n v="1"/>
    <n v="7.0000000000000007E-2"/>
    <x v="2"/>
    <n v="1.65"/>
    <n v="0.11550000000000001"/>
    <n v="1.5345"/>
    <n v="1.5345"/>
  </r>
  <r>
    <n v="787"/>
    <s v="Malisa"/>
    <s v="Mitchell"/>
    <s v="NULL"/>
    <s v="malisa.mitchell@msn.com"/>
    <n v="278"/>
    <d v="2011-12-01T11:45:00"/>
    <n v="4"/>
    <n v="11"/>
    <s v="BLUE SWEETHEART BRACELET"/>
    <s v="Debit Card"/>
    <n v="536464"/>
    <s v="90200C"/>
    <n v="4.25"/>
    <n v="1"/>
    <n v="7.0000000000000007E-2"/>
    <x v="2"/>
    <n v="4.25"/>
    <n v="0.29750000000000004"/>
    <n v="3.9525000000000001"/>
    <n v="3.9525000000000001"/>
  </r>
  <r>
    <n v="788"/>
    <s v="Lilliam"/>
    <s v="Nolan"/>
    <s v="NULL"/>
    <s v="lilliam.nolan@msn.com"/>
    <n v="279"/>
    <d v="2011-12-01T11:45:00"/>
    <n v="4"/>
    <n v="25"/>
    <s v="PINK SWEETHEART BRACELET"/>
    <s v="Debit Card"/>
    <n v="536464"/>
    <s v="90200D"/>
    <n v="4.25"/>
    <n v="3"/>
    <n v="7.0000000000000007E-2"/>
    <x v="2"/>
    <n v="12.75"/>
    <n v="0.89250000000000007"/>
    <n v="11.8575"/>
    <n v="35.572499999999998"/>
  </r>
  <r>
    <n v="789"/>
    <s v="Tad"/>
    <s v="Gardner"/>
    <s v="NULL"/>
    <s v="tad.gardner@hotmail.com"/>
    <n v="280"/>
    <d v="2011-12-01T11:45:00"/>
    <n v="4"/>
    <n v="25"/>
    <s v="PURPLE SWEETHEART BRACELET"/>
    <s v="Debit Card"/>
    <n v="536464"/>
    <s v="90200A"/>
    <n v="4.25"/>
    <n v="1"/>
    <n v="7.0000000000000007E-2"/>
    <x v="2"/>
    <n v="4.25"/>
    <n v="0.29750000000000004"/>
    <n v="3.9525000000000001"/>
    <n v="3.9525000000000001"/>
  </r>
  <r>
    <n v="790"/>
    <s v="Petronila"/>
    <s v="Gallegos"/>
    <s v="NULL"/>
    <s v="petronila.gallegos@gmail.com"/>
    <n v="280"/>
    <d v="2011-12-01T11:45:00"/>
    <n v="4"/>
    <n v="26"/>
    <s v="JUMBO BAG PINK POLKADOT"/>
    <s v="Debit Card"/>
    <n v="536464"/>
    <n v="22386"/>
    <n v="1.95"/>
    <n v="1"/>
    <n v="7.0000000000000007E-2"/>
    <x v="2"/>
    <n v="1.95"/>
    <n v="0.13650000000000001"/>
    <n v="1.8134999999999999"/>
    <n v="1.8134999999999999"/>
  </r>
  <r>
    <n v="791"/>
    <s v="Yun"/>
    <s v="Nelson"/>
    <s v="NULL"/>
    <s v="yun.nelson@hotmail.com"/>
    <n v="280"/>
    <d v="2011-12-01T11:45:00"/>
    <n v="4"/>
    <n v="13"/>
    <s v="JUMBO BAG RED RETROSPOT"/>
    <s v="Debit Card"/>
    <n v="536464"/>
    <s v="85099B"/>
    <n v="1.95"/>
    <n v="1"/>
    <n v="7.0000000000000007E-2"/>
    <x v="2"/>
    <n v="1.95"/>
    <n v="0.13650000000000001"/>
    <n v="1.8134999999999999"/>
    <n v="1.8134999999999999"/>
  </r>
  <r>
    <n v="792"/>
    <s v="Edgar"/>
    <s v="Horn"/>
    <s v="NULL"/>
    <s v="edgar.horn@aol.com"/>
    <n v="281"/>
    <d v="2011-12-01T11:45:00"/>
    <n v="4"/>
    <n v="22"/>
    <s v="ASSORTED COLOUR BIRD ORNAMENT"/>
    <s v="Debit Card"/>
    <n v="536464"/>
    <n v="84879"/>
    <n v="1.69"/>
    <n v="8"/>
    <n v="7.0000000000000007E-2"/>
    <x v="2"/>
    <n v="13.52"/>
    <n v="0.94640000000000002"/>
    <n v="12.573599999999999"/>
    <n v="100.58879999999999"/>
  </r>
  <r>
    <n v="793"/>
    <s v="Chantay"/>
    <s v="Maynard"/>
    <s v="NULL"/>
    <s v="chantay.maynard@gmail.com"/>
    <n v="281"/>
    <d v="2011-12-01T11:45:00"/>
    <n v="4"/>
    <n v="14"/>
    <s v="PAPER CHAIN KIT 50'S CHRISTMAS "/>
    <s v="Debit Card"/>
    <n v="536464"/>
    <n v="22086"/>
    <n v="2.95"/>
    <n v="1"/>
    <n v="0.1"/>
    <x v="2"/>
    <n v="2.95"/>
    <n v="0.29500000000000004"/>
    <n v="2.6550000000000002"/>
    <n v="2.6550000000000002"/>
  </r>
  <r>
    <n v="794"/>
    <s v="Donette"/>
    <s v="Mccarthy"/>
    <s v="NULL"/>
    <s v="donette.mccarthy@yahoo.com"/>
    <n v="281"/>
    <d v="2011-12-01T11:45:00"/>
    <n v="4"/>
    <n v="7"/>
    <s v="RIBBON REEL CHRISTMAS PRESENT "/>
    <s v="Debit Card"/>
    <n v="536464"/>
    <n v="22737"/>
    <n v="1.65"/>
    <n v="1"/>
    <n v="7.0000000000000007E-2"/>
    <x v="2"/>
    <n v="1.65"/>
    <n v="0.11550000000000001"/>
    <n v="1.5345"/>
    <n v="1.5345"/>
  </r>
  <r>
    <n v="795"/>
    <s v="Mariam"/>
    <s v="Miranda"/>
    <s v="NULL"/>
    <s v="mariam.miranda@aol.com"/>
    <n v="282"/>
    <d v="2011-12-01T11:45:00"/>
    <n v="4"/>
    <n v="20"/>
    <s v="FIRST AID TIN"/>
    <s v="Debit Card"/>
    <n v="536464"/>
    <n v="21260"/>
    <n v="3.25"/>
    <n v="1"/>
    <n v="7.0000000000000007E-2"/>
    <x v="2"/>
    <n v="3.25"/>
    <n v="0.22750000000000004"/>
    <n v="3.0225"/>
    <n v="3.0225"/>
  </r>
  <r>
    <n v="796"/>
    <s v="Rosalie"/>
    <s v="Coffey"/>
    <s v="NULL"/>
    <s v="rosalie.coffey@gmail.com"/>
    <n v="282"/>
    <d v="2011-12-01T11:45:00"/>
    <n v="4"/>
    <n v="7"/>
    <s v="MAKE YOUR OWN MONSOON CARD KIT"/>
    <s v="Debit Card"/>
    <n v="536464"/>
    <n v="22744"/>
    <n v="2.95"/>
    <n v="2"/>
    <n v="7.0000000000000007E-2"/>
    <x v="2"/>
    <n v="5.9"/>
    <n v="0.41300000000000009"/>
    <n v="5.4870000000000001"/>
    <n v="10.974"/>
  </r>
  <r>
    <n v="797"/>
    <s v="Cathey"/>
    <s v="Lamb"/>
    <s v="NULL"/>
    <s v="cathey.lamb@msn.com"/>
    <n v="282"/>
    <d v="2011-12-01T11:45:00"/>
    <n v="4"/>
    <n v="3"/>
    <s v="PACK OF 12 HEARTS DESIGN TISSUES "/>
    <s v="Debit Card"/>
    <n v="536464"/>
    <n v="21985"/>
    <n v="0.28999999999999998"/>
    <n v="1"/>
    <n v="0.05"/>
    <x v="2"/>
    <n v="0.28999999999999998"/>
    <n v="1.4499999999999999E-2"/>
    <n v="0.27549999999999997"/>
    <n v="0.27549999999999997"/>
  </r>
  <r>
    <n v="798"/>
    <s v="Alyse"/>
    <s v="Jacobson"/>
    <s v="NULL"/>
    <s v="alyse.jacobson@yahoo.com"/>
    <n v="282"/>
    <d v="2011-12-01T11:45:00"/>
    <n v="4"/>
    <n v="16"/>
    <s v="PACK OF 12 RED RETROSPOT TISSUES "/>
    <s v="Debit Card"/>
    <n v="536464"/>
    <n v="21980"/>
    <n v="0.28999999999999998"/>
    <n v="1"/>
    <n v="7.0000000000000007E-2"/>
    <x v="2"/>
    <n v="0.28999999999999998"/>
    <n v="2.0300000000000002E-2"/>
    <n v="0.2697"/>
    <n v="0.2697"/>
  </r>
  <r>
    <n v="799"/>
    <s v="India"/>
    <s v="Barron"/>
    <s v="NULL"/>
    <s v="india.barron@msn.com"/>
    <n v="283"/>
    <d v="2011-12-01T11:45:00"/>
    <n v="4"/>
    <n v="9"/>
    <s v="SOLDIERS EGG CUP "/>
    <s v="Debit Card"/>
    <n v="536464"/>
    <n v="22988"/>
    <n v="1.25"/>
    <n v="1"/>
    <n v="0.05"/>
    <x v="2"/>
    <n v="1.25"/>
    <n v="6.25E-2"/>
    <n v="1.1875"/>
    <n v="1.1875"/>
  </r>
  <r>
    <n v="800"/>
    <s v="Cris"/>
    <s v="Dunn"/>
    <s v="NULL"/>
    <s v="cris.dunn@yahoo.com"/>
    <n v="283"/>
    <d v="2011-12-01T11:45:00"/>
    <n v="4"/>
    <n v="16"/>
    <s v="HEART IVORY TRELLIS SMALL"/>
    <s v="Debit Card"/>
    <n v="536464"/>
    <n v="22297"/>
    <n v="1.25"/>
    <n v="1"/>
    <n v="0.2"/>
    <x v="2"/>
    <n v="1.25"/>
    <n v="0.25"/>
    <n v="1"/>
    <n v="1"/>
  </r>
  <r>
    <n v="801"/>
    <s v="Ophelia"/>
    <s v="Rodgers"/>
    <s v="NULL"/>
    <s v="ophelia.rodgers@gmail.com"/>
    <n v="284"/>
    <d v="2011-12-01T11:45:00"/>
    <n v="4"/>
    <n v="24"/>
    <s v="HEART FILIGREE DOVE  SMALL"/>
    <s v="Debit Card"/>
    <n v="536464"/>
    <n v="22294"/>
    <n v="1.25"/>
    <n v="1"/>
    <n v="0.2"/>
    <x v="2"/>
    <n v="1.25"/>
    <n v="0.25"/>
    <n v="1"/>
    <n v="1"/>
  </r>
  <r>
    <n v="802"/>
    <s v="Barrett"/>
    <s v="Sanders"/>
    <s v="NULL"/>
    <s v="barrett.sanders@aol.com"/>
    <n v="284"/>
    <d v="2011-12-01T11:45:00"/>
    <n v="4"/>
    <n v="20"/>
    <s v="HEART FILIGREE DOVE LARGE"/>
    <s v="Debit Card"/>
    <n v="536464"/>
    <n v="22295"/>
    <n v="1.65"/>
    <n v="1"/>
    <n v="0.2"/>
    <x v="2"/>
    <n v="1.65"/>
    <n v="0.33"/>
    <n v="1.3199999999999998"/>
    <n v="1.3199999999999998"/>
  </r>
  <r>
    <n v="803"/>
    <s v="Bernardina"/>
    <s v="Cooper"/>
    <s v="NULL"/>
    <s v="bernardina.cooper@msn.com"/>
    <n v="285"/>
    <d v="2011-12-01T11:45:00"/>
    <n v="4"/>
    <n v="16"/>
    <s v="PACK 3 BOXES BIRD PANNETONE "/>
    <s v="Debit Card"/>
    <n v="536464"/>
    <n v="22813"/>
    <n v="1.95"/>
    <n v="2"/>
    <n v="0.05"/>
    <x v="2"/>
    <n v="3.9"/>
    <n v="0.19500000000000001"/>
    <n v="3.7050000000000001"/>
    <n v="7.41"/>
  </r>
  <r>
    <n v="804"/>
    <s v="Douglas"/>
    <s v="Richards"/>
    <s v="NULL"/>
    <s v="douglas.richards@hotmail.com"/>
    <n v="285"/>
    <d v="2011-12-01T11:45:00"/>
    <n v="4"/>
    <n v="12"/>
    <s v="PACK 3 BOXES CHRISTMAS PANNETONE"/>
    <s v="Debit Card"/>
    <n v="536464"/>
    <n v="22812"/>
    <n v="1.95"/>
    <n v="6"/>
    <n v="0.05"/>
    <x v="2"/>
    <n v="11.7"/>
    <n v="0.58499999999999996"/>
    <n v="11.114999999999998"/>
    <n v="66.69"/>
  </r>
  <r>
    <n v="805"/>
    <s v="Phillis"/>
    <s v="Fowler"/>
    <s v="NULL"/>
    <s v="phillis.fowler@aol.com"/>
    <n v="285"/>
    <d v="2011-12-01T11:45:00"/>
    <n v="4"/>
    <n v="2"/>
    <s v="SMALL POPCORN HOLDER"/>
    <s v="Debit Card"/>
    <n v="536464"/>
    <n v="22197"/>
    <n v="0.85"/>
    <n v="5"/>
    <n v="0.1"/>
    <x v="2"/>
    <n v="4.25"/>
    <n v="0.42500000000000004"/>
    <n v="3.8250000000000002"/>
    <n v="19.125"/>
  </r>
  <r>
    <n v="806"/>
    <s v="Reyes"/>
    <s v="Merritt"/>
    <s v="NULL"/>
    <s v="reyes.merritt@yahoo.com"/>
    <n v="286"/>
    <d v="2011-12-01T11:45:00"/>
    <n v="4"/>
    <n v="26"/>
    <s v="PACK OF 60 PINK PAISLEY CAKE CASES"/>
    <s v="Debit Card"/>
    <n v="536464"/>
    <n v="21977"/>
    <n v="0.55000000000000004"/>
    <n v="1"/>
    <n v="0.2"/>
    <x v="2"/>
    <n v="0.55000000000000004"/>
    <n v="0.11000000000000001"/>
    <n v="0.44000000000000006"/>
    <n v="0.44000000000000006"/>
  </r>
  <r>
    <n v="807"/>
    <s v="Nathalie"/>
    <s v="Knowles"/>
    <s v="NULL"/>
    <s v="nathalie.knowles@aol.com"/>
    <n v="286"/>
    <d v="2011-12-01T11:45:00"/>
    <n v="4"/>
    <n v="21"/>
    <s v="SET OF 6 SOLDIER SKITTLES"/>
    <s v="Debit Card"/>
    <n v="536464"/>
    <n v="22619"/>
    <n v="3.75"/>
    <n v="1"/>
    <n v="7.0000000000000007E-2"/>
    <x v="2"/>
    <n v="3.75"/>
    <n v="0.26250000000000001"/>
    <n v="3.4874999999999998"/>
    <n v="3.4874999999999998"/>
  </r>
  <r>
    <n v="808"/>
    <s v="Vallie"/>
    <s v="Dixon"/>
    <s v="NULL"/>
    <s v="vallie.dixon@yahoo.com"/>
    <n v="286"/>
    <d v="2011-12-01T11:45:00"/>
    <n v="4"/>
    <n v="16"/>
    <s v="SWIRLY CIRCULAR RUBBERS IN BAG"/>
    <s v="Debit Card"/>
    <n v="536464"/>
    <s v="16258A"/>
    <n v="0.42"/>
    <n v="1"/>
    <n v="0.1"/>
    <x v="2"/>
    <n v="0.42"/>
    <n v="4.2000000000000003E-2"/>
    <n v="0.378"/>
    <n v="0.378"/>
  </r>
  <r>
    <n v="809"/>
    <s v="Elnora"/>
    <s v="Simpson"/>
    <s v="NULL"/>
    <s v="elnora.simpson@yahoo.com"/>
    <n v="286"/>
    <d v="2011-12-01T11:45:00"/>
    <n v="4"/>
    <n v="7"/>
    <s v="VINTAGE PAISLEY STATIONERY SET"/>
    <s v="Debit Card"/>
    <n v="536464"/>
    <n v="21992"/>
    <n v="2.95"/>
    <n v="1"/>
    <n v="0.1"/>
    <x v="2"/>
    <n v="2.95"/>
    <n v="0.29500000000000004"/>
    <n v="2.6550000000000002"/>
    <n v="2.6550000000000002"/>
  </r>
  <r>
    <n v="810"/>
    <s v="Ivelisse"/>
    <s v="Nixon"/>
    <s v="(281) 941-4933"/>
    <s v="ivelisse.nixon@aol.com"/>
    <n v="287"/>
    <d v="2011-12-01T11:45:00"/>
    <n v="3"/>
    <n v="5"/>
    <s v="PAPER CHAIN KIT VINTAGE CHRISTMAS"/>
    <s v="Debit Card"/>
    <n v="536464"/>
    <n v="22910"/>
    <n v="2.95"/>
    <n v="1"/>
    <n v="0.2"/>
    <x v="2"/>
    <n v="2.95"/>
    <n v="0.59000000000000008"/>
    <n v="2.3600000000000003"/>
    <n v="2.3600000000000003"/>
  </r>
  <r>
    <n v="811"/>
    <s v="Shanti"/>
    <s v="Johnston"/>
    <s v="NULL"/>
    <s v="shanti.johnston@gmail.com"/>
    <n v="287"/>
    <d v="2011-12-01T11:45:00"/>
    <n v="4"/>
    <n v="10"/>
    <s v="SET/10 BLUE POLKADOT PARTY CANDLES"/>
    <s v="Debit Card"/>
    <n v="536464"/>
    <n v="21124"/>
    <n v="1.25"/>
    <n v="1"/>
    <n v="0.05"/>
    <x v="2"/>
    <n v="1.25"/>
    <n v="6.25E-2"/>
    <n v="1.1875"/>
    <n v="1.1875"/>
  </r>
  <r>
    <n v="812"/>
    <s v="Martha"/>
    <s v="Burgess"/>
    <s v="NULL"/>
    <s v="martha.burgess@msn.com"/>
    <n v="287"/>
    <d v="2011-12-01T11:45:00"/>
    <n v="4"/>
    <n v="2"/>
    <s v="RIBBON REEL SOCKS AND MITTENS"/>
    <s v="Debit Card"/>
    <n v="536464"/>
    <n v="22735"/>
    <n v="1.65"/>
    <n v="2"/>
    <n v="0.05"/>
    <x v="2"/>
    <n v="3.3"/>
    <n v="0.16500000000000001"/>
    <n v="3.1349999999999998"/>
    <n v="6.27"/>
  </r>
  <r>
    <n v="813"/>
    <s v="Neville"/>
    <s v="Mcclain"/>
    <s v="NULL"/>
    <s v="neville.mcclain@yahoo.com"/>
    <n v="287"/>
    <d v="2011-12-01T11:45:00"/>
    <n v="4"/>
    <n v="20"/>
    <s v="60 CAKE CASES VINTAGE CHRISTMAS"/>
    <s v="Debit Card"/>
    <n v="536464"/>
    <n v="22952"/>
    <n v="0.55000000000000004"/>
    <n v="2"/>
    <n v="0.05"/>
    <x v="2"/>
    <n v="1.1000000000000001"/>
    <n v="5.5000000000000007E-2"/>
    <n v="1.0450000000000002"/>
    <n v="2.0900000000000003"/>
  </r>
  <r>
    <n v="814"/>
    <s v="Ghislaine"/>
    <s v="Compton"/>
    <s v="NULL"/>
    <s v="ghislaine.compton@aol.com"/>
    <n v="288"/>
    <d v="2011-12-01T11:45:00"/>
    <n v="4"/>
    <n v="4"/>
    <s v="CHRISTMAS METAL TAGS ASSORTED "/>
    <s v="Debit Card"/>
    <n v="536464"/>
    <n v="22945"/>
    <n v="0.85"/>
    <n v="6"/>
    <n v="0.2"/>
    <x v="2"/>
    <n v="5.0999999999999996"/>
    <n v="1.02"/>
    <n v="4.08"/>
    <n v="24.48"/>
  </r>
  <r>
    <n v="815"/>
    <s v="Leanna"/>
    <s v="Manning"/>
    <s v="NULL"/>
    <s v="leanna.manning@yahoo.com"/>
    <n v="288"/>
    <d v="2011-12-01T11:45:00"/>
    <n v="4"/>
    <n v="10"/>
    <s v="CHRISTMAS TREE T-LIGHT HOLDER"/>
    <s v="Debit Card"/>
    <n v="536464"/>
    <n v="21816"/>
    <n v="1.45"/>
    <n v="2"/>
    <n v="0.1"/>
    <x v="2"/>
    <n v="2.9"/>
    <n v="0.28999999999999998"/>
    <n v="2.61"/>
    <n v="5.22"/>
  </r>
  <r>
    <n v="816"/>
    <s v="Marshall"/>
    <s v="Johnson"/>
    <s v="NULL"/>
    <s v="marshall.johnson@yahoo.com"/>
    <n v="288"/>
    <d v="2011-12-01T11:45:00"/>
    <n v="4"/>
    <n v="7"/>
    <s v="STAR  T-LIGHT HOLDER "/>
    <s v="Debit Card"/>
    <n v="536464"/>
    <n v="21815"/>
    <n v="1.45"/>
    <n v="4"/>
    <n v="0.05"/>
    <x v="2"/>
    <n v="5.8"/>
    <n v="0.28999999999999998"/>
    <n v="5.51"/>
    <n v="22.04"/>
  </r>
  <r>
    <n v="817"/>
    <s v="Zelda"/>
    <s v="Pratt"/>
    <s v="(717) 428-4018"/>
    <s v="zelda.pratt@gmail.com"/>
    <n v="289"/>
    <d v="2011-12-01T11:45:00"/>
    <n v="4"/>
    <n v="13"/>
    <s v="HEART T-LIGHT HOLDER "/>
    <s v="Debit Card"/>
    <n v="536464"/>
    <n v="21814"/>
    <n v="1.45"/>
    <n v="2"/>
    <n v="7.0000000000000007E-2"/>
    <x v="2"/>
    <n v="2.9"/>
    <n v="0.20300000000000001"/>
    <n v="2.6970000000000001"/>
    <n v="5.3940000000000001"/>
  </r>
  <r>
    <n v="818"/>
    <s v="Joel"/>
    <s v="Wynn"/>
    <s v="(619) 210-6032"/>
    <s v="joel.wynn@aol.com"/>
    <n v="289"/>
    <d v="2011-12-01T11:45:00"/>
    <n v="4"/>
    <n v="24"/>
    <s v="MINI FUNKY DESIGN TAPES"/>
    <s v="Debit Card"/>
    <n v="536464"/>
    <n v="10125"/>
    <n v="0.85"/>
    <n v="2"/>
    <n v="0.2"/>
    <x v="2"/>
    <n v="1.7"/>
    <n v="0.34"/>
    <n v="1.3599999999999999"/>
    <n v="2.7199999999999998"/>
  </r>
  <r>
    <n v="819"/>
    <s v="Yahaira"/>
    <s v="Robertson"/>
    <s v="NULL"/>
    <s v="yahaira.robertson@yahoo.com"/>
    <n v="289"/>
    <d v="2011-12-01T11:45:00"/>
    <n v="4"/>
    <n v="17"/>
    <s v="SET OF 6 T-LIGHTS SNOWMEN"/>
    <s v="Debit Card"/>
    <n v="536464"/>
    <n v="22810"/>
    <n v="2.95"/>
    <n v="1"/>
    <n v="0.2"/>
    <x v="2"/>
    <n v="2.95"/>
    <n v="0.59000000000000008"/>
    <n v="2.3600000000000003"/>
    <n v="2.3600000000000003"/>
  </r>
  <r>
    <n v="820"/>
    <s v="Sandy"/>
    <s v="Mills"/>
    <s v="NULL"/>
    <s v="sandy.mills@gmail.com"/>
    <n v="290"/>
    <d v="2011-12-01T11:45:00"/>
    <n v="4"/>
    <n v="2"/>
    <s v="STAR WOODEN CHRISTMAS DECORATION"/>
    <s v="Debit Card"/>
    <n v="536464"/>
    <n v="22573"/>
    <n v="0.85"/>
    <n v="1"/>
    <n v="7.0000000000000007E-2"/>
    <x v="2"/>
    <n v="0.85"/>
    <n v="5.9500000000000004E-2"/>
    <n v="0.79049999999999998"/>
    <n v="0.79049999999999998"/>
  </r>
  <r>
    <n v="821"/>
    <s v="Cassidy"/>
    <s v="Clark"/>
    <s v="NULL"/>
    <s v="cassidy.clark@hotmail.com"/>
    <n v="290"/>
    <d v="2011-12-01T11:45:00"/>
    <n v="4"/>
    <n v="5"/>
    <s v="WOODEN HEART CHRISTMAS SCANDINAVIAN"/>
    <s v="Debit Card"/>
    <n v="536464"/>
    <n v="22577"/>
    <n v="0.85"/>
    <n v="1"/>
    <n v="7.0000000000000007E-2"/>
    <x v="2"/>
    <n v="0.85"/>
    <n v="5.9500000000000004E-2"/>
    <n v="0.79049999999999998"/>
    <n v="0.79049999999999998"/>
  </r>
  <r>
    <n v="822"/>
    <s v="Kristy"/>
    <s v="Watkins"/>
    <s v="NULL"/>
    <s v="kristy.watkins@gmail.com"/>
    <n v="290"/>
    <d v="2011-12-01T11:45:00"/>
    <n v="4"/>
    <n v="21"/>
    <s v="CHRISTMAS RETROSPOT TREE WOOD"/>
    <s v="Debit Card"/>
    <n v="536464"/>
    <n v="22603"/>
    <n v="0.85"/>
    <n v="2"/>
    <n v="0.1"/>
    <x v="2"/>
    <n v="1.7"/>
    <n v="0.17"/>
    <n v="1.53"/>
    <n v="3.06"/>
  </r>
  <r>
    <n v="823"/>
    <s v="Tina"/>
    <s v="Bush"/>
    <s v="NULL"/>
    <s v="tina.bush@aol.com"/>
    <n v="291"/>
    <d v="2011-12-01T11:45:00"/>
    <n v="4"/>
    <n v="6"/>
    <s v="SET OF 6 T-LIGHTS SANTA"/>
    <s v="Debit Card"/>
    <n v="536464"/>
    <n v="22809"/>
    <n v="2.95"/>
    <n v="1"/>
    <n v="0.05"/>
    <x v="2"/>
    <n v="2.95"/>
    <n v="0.14750000000000002"/>
    <n v="2.8025000000000002"/>
    <n v="2.8025000000000002"/>
  </r>
  <r>
    <n v="824"/>
    <s v="Veronika"/>
    <s v="Rollins"/>
    <s v="NULL"/>
    <s v="veronika.rollins@yahoo.com"/>
    <n v="291"/>
    <d v="2011-12-01T11:45:00"/>
    <n v="4"/>
    <n v="21"/>
    <s v="SET/9 CHRISTMAS T-LIGHTS SCENTED "/>
    <s v="Debit Card"/>
    <n v="536464"/>
    <n v="20878"/>
    <n v="1.25"/>
    <n v="1"/>
    <n v="7.0000000000000007E-2"/>
    <x v="2"/>
    <n v="1.25"/>
    <n v="8.7500000000000008E-2"/>
    <n v="1.1625000000000001"/>
    <n v="1.1625000000000001"/>
  </r>
  <r>
    <n v="825"/>
    <s v="Kristel"/>
    <s v="Byrd"/>
    <s v="NULL"/>
    <s v="kristel.byrd@hotmail.com"/>
    <n v="292"/>
    <d v="2011-12-01T11:45:00"/>
    <n v="4"/>
    <n v="18"/>
    <s v="BLUE ROSE FABRIC MIRROR"/>
    <s v="Debit Card"/>
    <n v="536464"/>
    <n v="20866"/>
    <n v="1.25"/>
    <n v="1"/>
    <n v="0.1"/>
    <x v="2"/>
    <n v="1.25"/>
    <n v="0.125"/>
    <n v="1.125"/>
    <n v="1.125"/>
  </r>
  <r>
    <n v="826"/>
    <s v="Shay"/>
    <s v="Stephenson"/>
    <s v="NULL"/>
    <s v="shay.stephenson@aol.com"/>
    <n v="292"/>
    <d v="2011-12-01T11:45:00"/>
    <n v="4"/>
    <n v="4"/>
    <s v="THREE CANVAS LUGGAGE TAGS"/>
    <s v="Debit Card"/>
    <n v="536464"/>
    <n v="85095"/>
    <n v="1.95"/>
    <n v="1"/>
    <n v="7.0000000000000007E-2"/>
    <x v="2"/>
    <n v="1.95"/>
    <n v="0.13650000000000001"/>
    <n v="1.8134999999999999"/>
    <n v="1.8134999999999999"/>
  </r>
  <r>
    <n v="827"/>
    <s v="George"/>
    <s v="Pickett"/>
    <s v="NULL"/>
    <s v="george.pickett@msn.com"/>
    <n v="292"/>
    <d v="2011-12-01T11:45:00"/>
    <n v="4"/>
    <n v="10"/>
    <s v="RETROSPOT PARTY BAG + STICKER SET"/>
    <s v="Debit Card"/>
    <n v="536464"/>
    <n v="22333"/>
    <n v="1.65"/>
    <n v="1"/>
    <n v="0.05"/>
    <x v="2"/>
    <n v="1.65"/>
    <n v="8.2500000000000004E-2"/>
    <n v="1.5674999999999999"/>
    <n v="1.5674999999999999"/>
  </r>
  <r>
    <n v="828"/>
    <s v="Renato"/>
    <s v="Morton"/>
    <s v="NULL"/>
    <s v="renato.morton@msn.com"/>
    <n v="293"/>
    <d v="2011-12-01T11:45:00"/>
    <n v="4"/>
    <n v="19"/>
    <s v="PLASTERS IN TIN VINTAGE PAISLEY "/>
    <s v="Debit Card"/>
    <n v="536464"/>
    <n v="22557"/>
    <n v="1.65"/>
    <n v="1"/>
    <n v="0.05"/>
    <x v="2"/>
    <n v="1.65"/>
    <n v="8.2500000000000004E-2"/>
    <n v="1.5674999999999999"/>
    <n v="1.5674999999999999"/>
  </r>
  <r>
    <n v="829"/>
    <s v="Marcy"/>
    <s v="Rodriguez"/>
    <s v="NULL"/>
    <s v="marcy.rodriguez@gmail.com"/>
    <n v="293"/>
    <d v="2011-12-01T11:45:00"/>
    <n v="4"/>
    <n v="6"/>
    <s v="RETROSPOT SMALL TUBE MATCHES"/>
    <s v="Debit Card"/>
    <n v="536464"/>
    <n v="21584"/>
    <n v="1.65"/>
    <n v="1"/>
    <n v="0.2"/>
    <x v="2"/>
    <n v="1.65"/>
    <n v="0.33"/>
    <n v="1.3199999999999998"/>
    <n v="1.3199999999999998"/>
  </r>
  <r>
    <n v="830"/>
    <s v="Edmund"/>
    <s v="Gaines"/>
    <s v="NULL"/>
    <s v="edmund.gaines@gmail.com"/>
    <n v="294"/>
    <d v="2011-12-01T11:45:00"/>
    <n v="4"/>
    <n v="18"/>
    <s v="HAND WARMER SCOTTY DOG DESIGN"/>
    <s v="Debit Card"/>
    <n v="536464"/>
    <n v="22866"/>
    <n v="2.1"/>
    <n v="1"/>
    <n v="0.2"/>
    <x v="2"/>
    <n v="2.1"/>
    <n v="0.42000000000000004"/>
    <n v="1.6800000000000002"/>
    <n v="1.6800000000000002"/>
  </r>
  <r>
    <n v="831"/>
    <s v="Lory"/>
    <s v="Berg"/>
    <s v="NULL"/>
    <s v="lory.berg@aol.com"/>
    <n v="294"/>
    <d v="2011-12-01T11:45:00"/>
    <n v="4"/>
    <n v="14"/>
    <s v="3D CHRISTMAS STAMPS STICKERS "/>
    <s v="Debit Card"/>
    <n v="536464"/>
    <n v="22731"/>
    <n v="1.25"/>
    <n v="2"/>
    <n v="0.2"/>
    <x v="2"/>
    <n v="2.5"/>
    <n v="0.5"/>
    <n v="2"/>
    <n v="4"/>
  </r>
  <r>
    <n v="832"/>
    <s v="Pamala"/>
    <s v="Fowler"/>
    <s v="NULL"/>
    <s v="pamala.fowler@gmail.com"/>
    <n v="294"/>
    <d v="2011-12-01T11:45:00"/>
    <n v="4"/>
    <n v="7"/>
    <s v="HAND WARMER SCOTTY DOG DESIGN"/>
    <s v="Debit Card"/>
    <n v="536464"/>
    <n v="22866"/>
    <n v="2.1"/>
    <n v="1"/>
    <n v="0.05"/>
    <x v="2"/>
    <n v="2.1"/>
    <n v="0.10500000000000001"/>
    <n v="1.9950000000000001"/>
    <n v="1.9950000000000001"/>
  </r>
  <r>
    <n v="833"/>
    <s v="Leone"/>
    <s v="Emerson"/>
    <s v="NULL"/>
    <s v="leone.emerson@msn.com"/>
    <n v="294"/>
    <d v="2011-12-01T11:45:00"/>
    <n v="4"/>
    <n v="25"/>
    <s v="HAND WARMER SCOTTY DOG DESIGN"/>
    <s v="Debit Card"/>
    <n v="536464"/>
    <n v="22866"/>
    <n v="2.1"/>
    <n v="3"/>
    <n v="0.2"/>
    <x v="2"/>
    <n v="6.3000000000000007"/>
    <n v="1.2600000000000002"/>
    <n v="5.0400000000000009"/>
    <n v="15.120000000000003"/>
  </r>
  <r>
    <n v="834"/>
    <s v="Brain"/>
    <s v="Skinner"/>
    <s v="NULL"/>
    <s v="brain.skinner@hotmail.com"/>
    <n v="295"/>
    <d v="2011-12-01T11:45:00"/>
    <n v="4"/>
    <n v="22"/>
    <s v="CLOTHES PEGS RETROSPOT PACK 24 "/>
    <s v="Debit Card"/>
    <n v="536464"/>
    <n v="22558"/>
    <n v="1.49"/>
    <n v="2"/>
    <n v="7.0000000000000007E-2"/>
    <x v="2"/>
    <n v="2.98"/>
    <n v="0.20860000000000001"/>
    <n v="2.7713999999999999"/>
    <n v="5.5427999999999997"/>
  </r>
  <r>
    <n v="835"/>
    <s v="Roseanne"/>
    <s v="Maynard"/>
    <s v="NULL"/>
    <s v="roseanne.maynard@yahoo.com"/>
    <n v="296"/>
    <d v="2011-12-01T11:45:00"/>
    <n v="4"/>
    <n v="25"/>
    <s v="36 FOIL HEART CAKE CASES"/>
    <s v="Debit Card"/>
    <n v="536464"/>
    <n v="22956"/>
    <n v="2.1"/>
    <n v="1"/>
    <n v="7.0000000000000007E-2"/>
    <x v="2"/>
    <n v="2.1"/>
    <n v="0.14700000000000002"/>
    <n v="1.9530000000000001"/>
    <n v="1.9530000000000001"/>
  </r>
  <r>
    <n v="836"/>
    <s v="Corinna"/>
    <s v="Adams"/>
    <s v="NULL"/>
    <s v="corinna.adams@msn.com"/>
    <n v="296"/>
    <d v="2011-12-01T11:45:00"/>
    <n v="4"/>
    <n v="12"/>
    <s v="CHRISTMAS METAL TAGS ASSORTED "/>
    <s v="Debit Card"/>
    <n v="536464"/>
    <n v="22945"/>
    <n v="0.85"/>
    <n v="6"/>
    <n v="0.1"/>
    <x v="2"/>
    <n v="5.0999999999999996"/>
    <n v="0.51"/>
    <n v="4.59"/>
    <n v="27.54"/>
  </r>
  <r>
    <n v="837"/>
    <s v="Kellye"/>
    <s v="Campbell"/>
    <s v="NULL"/>
    <s v="kellye.campbell@gmail.com"/>
    <n v="296"/>
    <d v="2011-12-01T11:45:00"/>
    <n v="4"/>
    <n v="11"/>
    <s v="PACK OF 6 SWEETIE GIFT BOXES"/>
    <s v="Debit Card"/>
    <n v="536464"/>
    <n v="22582"/>
    <n v="2.5499999999999998"/>
    <n v="1"/>
    <n v="0.1"/>
    <x v="2"/>
    <n v="2.5499999999999998"/>
    <n v="0.255"/>
    <n v="2.2949999999999999"/>
    <n v="2.2949999999999999"/>
  </r>
  <r>
    <n v="838"/>
    <s v="Erna"/>
    <s v="Sloan"/>
    <s v="NULL"/>
    <s v="erna.sloan@aol.com"/>
    <n v="296"/>
    <d v="2011-12-01T11:45:00"/>
    <n v="4"/>
    <n v="9"/>
    <s v="PACK OF 72 RETROSPOT CAKE CASES"/>
    <s v="Debit Card"/>
    <n v="536464"/>
    <n v="21212"/>
    <n v="0.55000000000000004"/>
    <n v="1"/>
    <n v="0.2"/>
    <x v="2"/>
    <n v="0.55000000000000004"/>
    <n v="0.11000000000000001"/>
    <n v="0.44000000000000006"/>
    <n v="0.44000000000000006"/>
  </r>
  <r>
    <n v="839"/>
    <s v="Carolann"/>
    <s v="Russell"/>
    <s v="NULL"/>
    <s v="carolann.russell@hotmail.com"/>
    <n v="297"/>
    <d v="2011-12-01T11:45:00"/>
    <n v="4"/>
    <n v="4"/>
    <s v="PACK OF 72 RETROSPOT CAKE CASES"/>
    <s v="Debit Card"/>
    <n v="536464"/>
    <n v="21212"/>
    <n v="0.55000000000000004"/>
    <n v="2"/>
    <n v="0.2"/>
    <x v="2"/>
    <n v="1.1000000000000001"/>
    <n v="0.22000000000000003"/>
    <n v="0.88000000000000012"/>
    <n v="1.7600000000000002"/>
  </r>
  <r>
    <n v="840"/>
    <s v="Gilbert"/>
    <s v="Calhoun"/>
    <s v="NULL"/>
    <s v="gilbert.calhoun@msn.com"/>
    <n v="298"/>
    <d v="2011-12-01T11:45:00"/>
    <n v="4"/>
    <n v="23"/>
    <s v="PACK OF 6 BIRDY GIFT TAGS"/>
    <s v="Debit Card"/>
    <n v="536464"/>
    <n v="22585"/>
    <n v="1.25"/>
    <n v="3"/>
    <n v="0.2"/>
    <x v="2"/>
    <n v="3.75"/>
    <n v="0.75"/>
    <n v="3"/>
    <n v="9"/>
  </r>
  <r>
    <n v="841"/>
    <s v="Manie"/>
    <s v="Maxwell"/>
    <s v="NULL"/>
    <s v="manie.maxwell@gmail.com"/>
    <n v="298"/>
    <d v="2011-12-01T11:45:00"/>
    <n v="4"/>
    <n v="6"/>
    <s v="SET/10 RED POLKADOT PARTY CANDLES"/>
    <s v="Debit Card"/>
    <n v="536464"/>
    <n v="21121"/>
    <n v="1.25"/>
    <n v="1"/>
    <n v="0.05"/>
    <x v="2"/>
    <n v="1.25"/>
    <n v="6.25E-2"/>
    <n v="1.1875"/>
    <n v="1.1875"/>
  </r>
  <r>
    <n v="842"/>
    <s v="Giselle"/>
    <s v="Robles"/>
    <s v="NULL"/>
    <s v="giselle.robles@hotmail.com"/>
    <n v="298"/>
    <d v="2011-12-01T11:45:00"/>
    <n v="4"/>
    <n v="22"/>
    <s v="SET/10 PINK POLKADOT PARTY CANDLES"/>
    <s v="Debit Card"/>
    <n v="536464"/>
    <n v="21122"/>
    <n v="1.25"/>
    <n v="1"/>
    <n v="0.2"/>
    <x v="2"/>
    <n v="1.25"/>
    <n v="0.25"/>
    <n v="1"/>
    <n v="1"/>
  </r>
  <r>
    <n v="843"/>
    <s v="Tessie"/>
    <s v="Farmer"/>
    <s v="NULL"/>
    <s v="tessie.farmer@msn.com"/>
    <n v="298"/>
    <d v="2011-12-01T11:45:00"/>
    <n v="4"/>
    <n v="9"/>
    <s v="SET OF 3 NOTEBOOKS IN PARCEL"/>
    <s v="Debit Card"/>
    <n v="536464"/>
    <n v="22759"/>
    <n v="1.65"/>
    <n v="1"/>
    <n v="7.0000000000000007E-2"/>
    <x v="2"/>
    <n v="1.65"/>
    <n v="0.11550000000000001"/>
    <n v="1.5345"/>
    <n v="1.5345"/>
  </r>
  <r>
    <n v="844"/>
    <s v="Felica"/>
    <s v="Munoz"/>
    <s v="NULL"/>
    <s v="felica.munoz@aol.com"/>
    <n v="298"/>
    <d v="2011-12-01T11:45:00"/>
    <n v="4"/>
    <n v="14"/>
    <s v="STAR  T-LIGHT HOLDER "/>
    <s v="Debit Card"/>
    <n v="536464"/>
    <n v="21815"/>
    <n v="1.45"/>
    <n v="1"/>
    <n v="0.1"/>
    <x v="2"/>
    <n v="1.45"/>
    <n v="0.14499999999999999"/>
    <n v="1.3049999999999999"/>
    <n v="1.3049999999999999"/>
  </r>
  <r>
    <n v="845"/>
    <s v="Kathyrn"/>
    <s v="Bush"/>
    <s v="NULL"/>
    <s v="kathyrn.bush@gmail.com"/>
    <n v="299"/>
    <d v="2011-12-01T11:45:00"/>
    <n v="4"/>
    <n v="11"/>
    <s v="CINAMMON SET OF 9 T-LIGHTS"/>
    <s v="Debit Card"/>
    <n v="536464"/>
    <s v="85231B"/>
    <n v="0.85"/>
    <n v="3"/>
    <n v="0.05"/>
    <x v="2"/>
    <n v="2.5499999999999998"/>
    <n v="0.1275"/>
    <n v="2.4224999999999999"/>
    <n v="7.2675000000000001"/>
  </r>
  <r>
    <n v="846"/>
    <s v="Sylvester"/>
    <s v="Chan"/>
    <s v="NULL"/>
    <s v="sylvester.chan@hotmail.com"/>
    <n v="299"/>
    <d v="2011-12-01T11:45:00"/>
    <n v="4"/>
    <n v="10"/>
    <s v="ORANGE SCENTED SET/9 T-LIGHTS"/>
    <s v="Debit Card"/>
    <n v="536464"/>
    <s v="85231G"/>
    <n v="0.85"/>
    <n v="5"/>
    <n v="0.2"/>
    <x v="2"/>
    <n v="4.25"/>
    <n v="0.85000000000000009"/>
    <n v="3.4"/>
    <n v="17"/>
  </r>
  <r>
    <n v="847"/>
    <s v="Lizette"/>
    <s v="Ellison"/>
    <s v="NULL"/>
    <s v="lizette.ellison@hotmail.com"/>
    <n v="300"/>
    <d v="2011-12-01T11:45:00"/>
    <n v="4"/>
    <n v="16"/>
    <s v="RIBBON REEL STRIPES DESIGN "/>
    <s v="Debit Card"/>
    <n v="536464"/>
    <n v="22082"/>
    <n v="1.65"/>
    <n v="5"/>
    <n v="0.1"/>
    <x v="2"/>
    <n v="8.25"/>
    <n v="0.82500000000000007"/>
    <n v="7.4249999999999998"/>
    <n v="37.125"/>
  </r>
  <r>
    <n v="848"/>
    <s v="Ernestina"/>
    <s v="Skinner"/>
    <s v="NULL"/>
    <s v="ernestina.skinner@hotmail.com"/>
    <n v="300"/>
    <d v="2011-12-01T11:45:00"/>
    <n v="4"/>
    <n v="9"/>
    <s v="SET OF 2 TINS JARDIN DE PROVENCE"/>
    <s v="Debit Card"/>
    <n v="536464"/>
    <n v="22500"/>
    <n v="4.95"/>
    <n v="2"/>
    <n v="0.1"/>
    <x v="2"/>
    <n v="9.9"/>
    <n v="0.9900000000000001"/>
    <n v="8.91"/>
    <n v="17.82"/>
  </r>
  <r>
    <n v="849"/>
    <s v="Phyllis"/>
    <s v="Hill"/>
    <s v="NULL"/>
    <s v="phyllis.hill@yahoo.com"/>
    <n v="300"/>
    <d v="2011-12-01T11:45:00"/>
    <n v="4"/>
    <n v="10"/>
    <s v="MAKE YOUR OWN PLAYTIME CARD KIT"/>
    <s v="Debit Card"/>
    <n v="536464"/>
    <n v="22742"/>
    <n v="2.95"/>
    <n v="1"/>
    <n v="0.1"/>
    <x v="2"/>
    <n v="2.95"/>
    <n v="0.29500000000000004"/>
    <n v="2.6550000000000002"/>
    <n v="2.6550000000000002"/>
  </r>
  <r>
    <n v="850"/>
    <s v="Stephanie"/>
    <s v="Browning"/>
    <s v="NULL"/>
    <s v="stephanie.browning@yahoo.com"/>
    <n v="300"/>
    <d v="2011-12-01T11:45:00"/>
    <n v="4"/>
    <n v="11"/>
    <s v="DINOSAURS  WRITING SET "/>
    <s v="Debit Card"/>
    <n v="536464"/>
    <n v="21329"/>
    <n v="1.65"/>
    <n v="1"/>
    <n v="0.2"/>
    <x v="2"/>
    <n v="1.65"/>
    <n v="0.33"/>
    <n v="1.3199999999999998"/>
    <n v="1.3199999999999998"/>
  </r>
  <r>
    <n v="851"/>
    <s v="Arlena"/>
    <s v="Buckner"/>
    <s v="NULL"/>
    <s v="arlena.buckner@hotmail.com"/>
    <n v="301"/>
    <d v="2011-12-01T11:45:00"/>
    <n v="4"/>
    <n v="6"/>
    <s v="BALLOONS  WRITING SET "/>
    <s v="Debit Card"/>
    <n v="536464"/>
    <n v="21328"/>
    <n v="1.65"/>
    <n v="1"/>
    <n v="0.05"/>
    <x v="2"/>
    <n v="1.65"/>
    <n v="8.2500000000000004E-2"/>
    <n v="1.5674999999999999"/>
    <n v="1.5674999999999999"/>
  </r>
  <r>
    <n v="852"/>
    <s v="Lezlie"/>
    <s v="Thompson"/>
    <s v="NULL"/>
    <s v="lezlie.thompson@yahoo.com"/>
    <n v="301"/>
    <d v="2011-12-01T11:45:00"/>
    <n v="4"/>
    <n v="22"/>
    <s v="SKULLS WRITING SET "/>
    <s v="Debit Card"/>
    <n v="536464"/>
    <n v="21327"/>
    <n v="1.65"/>
    <n v="1"/>
    <n v="0.1"/>
    <x v="2"/>
    <n v="1.65"/>
    <n v="0.16500000000000001"/>
    <n v="1.4849999999999999"/>
    <n v="1.4849999999999999"/>
  </r>
  <r>
    <n v="853"/>
    <s v="Brittney"/>
    <s v="Rojas"/>
    <s v="NULL"/>
    <s v="brittney.rojas@aol.com"/>
    <n v="302"/>
    <d v="2011-12-01T11:45:00"/>
    <n v="4"/>
    <n v="24"/>
    <s v="VINTAGE PAISLEY STATIONERY SET"/>
    <s v="Debit Card"/>
    <n v="536464"/>
    <n v="21992"/>
    <n v="2.95"/>
    <n v="1"/>
    <n v="0.2"/>
    <x v="2"/>
    <n v="2.95"/>
    <n v="0.59000000000000008"/>
    <n v="2.3600000000000003"/>
    <n v="2.3600000000000003"/>
  </r>
  <r>
    <n v="854"/>
    <s v="Phylis"/>
    <s v="Adkins"/>
    <s v="(212) 325-9145"/>
    <s v="phylis.adkins@msn.com"/>
    <n v="302"/>
    <d v="2011-12-01T11:45:00"/>
    <n v="4"/>
    <n v="18"/>
    <s v="COSY SLIPPER SHOES SMALL  RED "/>
    <s v="Debit Card"/>
    <n v="536464"/>
    <n v="21738"/>
    <n v="2.95"/>
    <n v="1"/>
    <n v="7.0000000000000007E-2"/>
    <x v="2"/>
    <n v="2.95"/>
    <n v="0.20650000000000004"/>
    <n v="2.7435"/>
    <n v="2.7435"/>
  </r>
  <r>
    <n v="855"/>
    <s v="Lean"/>
    <s v="Stark"/>
    <s v="NULL"/>
    <s v="lean.stark@msn.com"/>
    <n v="302"/>
    <d v="2011-12-01T11:45:00"/>
    <n v="4"/>
    <n v="2"/>
    <s v="DOORMAT BLACK FLOCK "/>
    <s v="Debit Card"/>
    <n v="536464"/>
    <s v="48173C"/>
    <n v="7.95"/>
    <n v="1"/>
    <n v="0.2"/>
    <x v="2"/>
    <n v="7.95"/>
    <n v="1.59"/>
    <n v="6.36"/>
    <n v="6.36"/>
  </r>
  <r>
    <n v="856"/>
    <s v="Lara"/>
    <s v="Guy"/>
    <s v="NULL"/>
    <s v="lara.guy@aol.com"/>
    <n v="303"/>
    <d v="2011-12-01T11:45:00"/>
    <n v="4"/>
    <n v="8"/>
    <s v="JUMBO  BAG BAROQUE BLACK WHITE"/>
    <s v="Debit Card"/>
    <n v="536464"/>
    <s v="85099C"/>
    <n v="1.95"/>
    <n v="1"/>
    <n v="0.05"/>
    <x v="2"/>
    <n v="1.95"/>
    <n v="9.7500000000000003E-2"/>
    <n v="1.8525"/>
    <n v="1.8525"/>
  </r>
  <r>
    <n v="857"/>
    <s v="Inga"/>
    <s v="Koch"/>
    <s v="NULL"/>
    <s v="inga.koch@msn.com"/>
    <n v="303"/>
    <d v="2011-12-01T11:45:00"/>
    <n v="4"/>
    <n v="24"/>
    <s v="JAM MAKING SET WITH JARS"/>
    <s v="Debit Card"/>
    <n v="536464"/>
    <n v="22960"/>
    <n v="4.25"/>
    <n v="1"/>
    <n v="0.05"/>
    <x v="2"/>
    <n v="4.25"/>
    <n v="0.21250000000000002"/>
    <n v="4.0374999999999996"/>
    <n v="4.0374999999999996"/>
  </r>
  <r>
    <n v="858"/>
    <s v="Klara"/>
    <s v="Kim"/>
    <s v="NULL"/>
    <s v="klara.kim@gmail.com"/>
    <n v="304"/>
    <d v="2011-12-01T11:45:00"/>
    <n v="4"/>
    <n v="10"/>
    <s v="ORANGE SCENTED SET/9 T-LIGHTS"/>
    <s v="Debit Card"/>
    <n v="536464"/>
    <s v="85231G"/>
    <n v="0.85"/>
    <n v="1"/>
    <n v="0.05"/>
    <x v="2"/>
    <n v="0.85"/>
    <n v="4.2500000000000003E-2"/>
    <n v="0.8075"/>
    <n v="0.8075"/>
  </r>
  <r>
    <n v="859"/>
    <s v="Julianne"/>
    <s v="Shannon"/>
    <s v="NULL"/>
    <s v="julianne.shannon@hotmail.com"/>
    <n v="304"/>
    <d v="2011-12-01T11:45:00"/>
    <n v="4"/>
    <n v="7"/>
    <s v="CINAMMON SET OF 9 T-LIGHTS"/>
    <s v="Debit Card"/>
    <n v="536464"/>
    <s v="85231B"/>
    <n v="0.85"/>
    <n v="2"/>
    <n v="0.1"/>
    <x v="2"/>
    <n v="1.7"/>
    <n v="0.17"/>
    <n v="1.53"/>
    <n v="3.06"/>
  </r>
  <r>
    <n v="860"/>
    <s v="Loni"/>
    <s v="Mullen"/>
    <s v="NULL"/>
    <s v="loni.mullen@msn.com"/>
    <n v="304"/>
    <d v="2011-12-01T11:45:00"/>
    <n v="4"/>
    <n v="20"/>
    <s v="HAND WARMER SCOTTY DOG DESIGN"/>
    <s v="Debit Card"/>
    <n v="536464"/>
    <n v="22866"/>
    <n v="2.1"/>
    <n v="1"/>
    <n v="0.1"/>
    <x v="2"/>
    <n v="2.1"/>
    <n v="0.21000000000000002"/>
    <n v="1.8900000000000001"/>
    <n v="1.8900000000000001"/>
  </r>
  <r>
    <n v="861"/>
    <s v="Olympia"/>
    <s v="Figueroa"/>
    <s v="NULL"/>
    <s v="olympia.figueroa@hotmail.com"/>
    <n v="305"/>
    <d v="2011-12-01T11:45:00"/>
    <n v="4"/>
    <n v="10"/>
    <s v="CHRISTMAS DECOUPAGE CANDLE"/>
    <s v="Debit Card"/>
    <n v="536464"/>
    <n v="72818"/>
    <n v="0.85"/>
    <n v="1"/>
    <n v="7.0000000000000007E-2"/>
    <x v="2"/>
    <n v="0.85"/>
    <n v="5.9500000000000004E-2"/>
    <n v="0.79049999999999998"/>
    <n v="0.79049999999999998"/>
  </r>
  <r>
    <n v="862"/>
    <s v="Mellie"/>
    <s v="Puckett"/>
    <s v="NULL"/>
    <s v="mellie.puckett@yahoo.com"/>
    <n v="305"/>
    <d v="2011-12-01T11:45:00"/>
    <n v="4"/>
    <n v="6"/>
    <s v="HEART T-LIGHT HOLDER "/>
    <s v="Debit Card"/>
    <n v="536464"/>
    <n v="21814"/>
    <n v="1.45"/>
    <n v="8"/>
    <n v="0.1"/>
    <x v="2"/>
    <n v="11.6"/>
    <n v="1.1599999999999999"/>
    <n v="10.44"/>
    <n v="83.52"/>
  </r>
  <r>
    <n v="863"/>
    <s v="Shonta"/>
    <s v="Preston"/>
    <s v="NULL"/>
    <s v="shonta.preston@msn.com"/>
    <n v="305"/>
    <d v="2011-12-01T11:45:00"/>
    <n v="4"/>
    <n v="3"/>
    <s v="GROW YOUR OWN BASIL IN ENAMEL MUG"/>
    <s v="Debit Card"/>
    <n v="536464"/>
    <n v="22441"/>
    <n v="2.1"/>
    <n v="1"/>
    <n v="0.2"/>
    <x v="2"/>
    <n v="2.1"/>
    <n v="0.42000000000000004"/>
    <n v="1.6800000000000002"/>
    <n v="1.6800000000000002"/>
  </r>
  <r>
    <n v="864"/>
    <s v="Lore"/>
    <s v="Sykes"/>
    <s v="(716) 382-5169"/>
    <s v="lore.sykes@aol.com"/>
    <n v="306"/>
    <d v="2011-12-01T11:45:00"/>
    <n v="4"/>
    <n v="10"/>
    <s v="OFFICE MUG WARMER POLKADOT"/>
    <s v="Debit Card"/>
    <n v="536464"/>
    <n v="22312"/>
    <n v="2.95"/>
    <n v="1"/>
    <n v="0.2"/>
    <x v="2"/>
    <n v="2.95"/>
    <n v="0.59000000000000008"/>
    <n v="2.3600000000000003"/>
    <n v="2.3600000000000003"/>
  </r>
  <r>
    <n v="865"/>
    <s v="Julia"/>
    <s v="Joyner"/>
    <s v="NULL"/>
    <s v="julia.joyner@msn.com"/>
    <n v="306"/>
    <d v="2011-12-01T11:45:00"/>
    <n v="4"/>
    <n v="22"/>
    <s v="SMALL POPCORN HOLDER"/>
    <s v="Debit Card"/>
    <n v="536464"/>
    <n v="22197"/>
    <n v="0.85"/>
    <n v="6"/>
    <n v="7.0000000000000007E-2"/>
    <x v="2"/>
    <n v="5.0999999999999996"/>
    <n v="0.35699999999999998"/>
    <n v="4.7429999999999994"/>
    <n v="28.457999999999998"/>
  </r>
  <r>
    <n v="866"/>
    <s v="Lynwood"/>
    <s v="Jackson"/>
    <s v="NULL"/>
    <s v="lynwood.jackson@aol.com"/>
    <n v="307"/>
    <d v="2011-12-01T11:45:00"/>
    <n v="4"/>
    <n v="15"/>
    <s v="JUMBO BAG DOLLY GIRL DESIGN"/>
    <s v="Debit Card"/>
    <n v="536464"/>
    <n v="22663"/>
    <n v="1.95"/>
    <n v="1"/>
    <n v="0.05"/>
    <x v="2"/>
    <n v="1.95"/>
    <n v="9.7500000000000003E-2"/>
    <n v="1.8525"/>
    <n v="1.8525"/>
  </r>
  <r>
    <n v="867"/>
    <s v="Rosalva"/>
    <s v="Hamilton"/>
    <s v="NULL"/>
    <s v="rosalva.hamilton@aol.com"/>
    <n v="308"/>
    <d v="2011-12-01T11:45:00"/>
    <n v="4"/>
    <n v="7"/>
    <s v="JAM MAKING SET WITH JARS"/>
    <s v="Debit Card"/>
    <n v="536466"/>
    <n v="22960"/>
    <n v="4.25"/>
    <n v="6"/>
    <n v="0.1"/>
    <x v="2"/>
    <n v="25.5"/>
    <n v="2.5500000000000003"/>
    <n v="22.95"/>
    <n v="137.69999999999999"/>
  </r>
  <r>
    <n v="868"/>
    <s v="Domingo"/>
    <s v="Casey"/>
    <s v="(408) 761-9212"/>
    <s v="domingo.casey@msn.com"/>
    <n v="308"/>
    <d v="2011-12-01T11:45:00"/>
    <n v="4"/>
    <n v="18"/>
    <s v="JAM MAKING SET PRINTED"/>
    <s v="Debit Card"/>
    <n v="536466"/>
    <n v="22961"/>
    <n v="1.45"/>
    <n v="12"/>
    <n v="0.2"/>
    <x v="2"/>
    <n v="17.399999999999999"/>
    <n v="3.48"/>
    <n v="13.919999999999998"/>
    <n v="167.03999999999996"/>
  </r>
  <r>
    <n v="869"/>
    <s v="Rodrigo"/>
    <s v="Durham"/>
    <s v="NULL"/>
    <s v="rodrigo.durham@aol.com"/>
    <n v="308"/>
    <d v="2011-12-01T11:45:00"/>
    <n v="4"/>
    <n v="14"/>
    <s v="SMALL GLASS HEART TRINKET POT"/>
    <s v="Debit Card"/>
    <n v="536477"/>
    <n v="21314"/>
    <n v="1.85"/>
    <n v="48"/>
    <n v="0.2"/>
    <x v="2"/>
    <n v="88.800000000000011"/>
    <n v="17.760000000000002"/>
    <n v="71.040000000000006"/>
    <n v="3409.92"/>
  </r>
  <r>
    <n v="870"/>
    <s v="Dwain"/>
    <s v="Carlson"/>
    <s v="NULL"/>
    <s v="dwain.carlson@gmail.com"/>
    <n v="309"/>
    <d v="2011-12-01T11:45:00"/>
    <n v="4"/>
    <n v="3"/>
    <s v="RED WOOLLY HOTTIE WHITE HEART."/>
    <s v="Debit Card"/>
    <n v="536477"/>
    <s v="84029E"/>
    <n v="3.39"/>
    <n v="24"/>
    <n v="0.05"/>
    <x v="2"/>
    <n v="81.36"/>
    <n v="4.0680000000000005"/>
    <n v="77.292000000000002"/>
    <n v="1855.008"/>
  </r>
  <r>
    <n v="871"/>
    <s v="Erlinda"/>
    <s v="Humphrey"/>
    <s v="NULL"/>
    <s v="erlinda.humphrey@hotmail.com"/>
    <n v="309"/>
    <d v="2011-12-01T11:45:00"/>
    <n v="4"/>
    <n v="12"/>
    <s v="BLACK RECORD COVER FRAME"/>
    <s v="Debit Card"/>
    <n v="536477"/>
    <n v="21137"/>
    <n v="3.39"/>
    <n v="480"/>
    <n v="0.05"/>
    <x v="0"/>
    <n v="1627.2"/>
    <n v="81.360000000000014"/>
    <n v="1545.8400000000001"/>
    <n v="742003.20000000007"/>
  </r>
  <r>
    <n v="872"/>
    <s v="Silas"/>
    <s v="Tate"/>
    <s v="(361) 219-2149"/>
    <s v="silas.tate@yahoo.com"/>
    <n v="310"/>
    <d v="2011-12-01T11:45:00"/>
    <n v="4"/>
    <n v="7"/>
    <s v="RECORD FRAME 7&quot; SINGLE SIZE "/>
    <s v="Debit Card"/>
    <n v="536477"/>
    <n v="22041"/>
    <n v="2.1"/>
    <n v="48"/>
    <n v="7.0000000000000007E-2"/>
    <x v="2"/>
    <n v="100.80000000000001"/>
    <n v="7.0560000000000018"/>
    <n v="93.744000000000014"/>
    <n v="4499.7120000000004"/>
  </r>
  <r>
    <n v="873"/>
    <s v="Patience"/>
    <s v="Clayton"/>
    <s v="NULL"/>
    <s v="patience.clayton@hotmail.com"/>
    <n v="310"/>
    <d v="2011-12-01T11:45:00"/>
    <n v="4"/>
    <n v="14"/>
    <s v="36 PENCILS TUBE RED RETROSPOT"/>
    <s v="Debit Card"/>
    <n v="536477"/>
    <n v="20979"/>
    <n v="1.25"/>
    <n v="16"/>
    <n v="0.1"/>
    <x v="2"/>
    <n v="20"/>
    <n v="2"/>
    <n v="18"/>
    <n v="288"/>
  </r>
  <r>
    <n v="874"/>
    <s v="Mila"/>
    <s v="Good"/>
    <s v="NULL"/>
    <s v="mila.good@yahoo.com"/>
    <n v="310"/>
    <d v="2011-12-01T11:45:00"/>
    <n v="4"/>
    <n v="5"/>
    <s v="36 PENCILS TUBE WOODLAND"/>
    <s v="Debit Card"/>
    <n v="536477"/>
    <n v="20977"/>
    <n v="1.25"/>
    <n v="16"/>
    <n v="0.2"/>
    <x v="2"/>
    <n v="20"/>
    <n v="4"/>
    <n v="16"/>
    <n v="256"/>
  </r>
  <r>
    <n v="875"/>
    <s v="Tanesha"/>
    <s v="Sawyer"/>
    <s v="NULL"/>
    <s v="tanesha.sawyer@aol.com"/>
    <n v="310"/>
    <d v="2011-12-01T11:45:00"/>
    <n v="4"/>
    <n v="8"/>
    <s v="SET OF 6 SOLDIER SKITTLES"/>
    <s v="Debit Card"/>
    <n v="536477"/>
    <n v="22619"/>
    <n v="3.75"/>
    <n v="4"/>
    <n v="0.2"/>
    <x v="2"/>
    <n v="15"/>
    <n v="3"/>
    <n v="12"/>
    <n v="48"/>
  </r>
  <r>
    <n v="876"/>
    <s v="Onita"/>
    <s v="Macdonald"/>
    <s v="NULL"/>
    <s v="onita.macdonald@yahoo.com"/>
    <n v="311"/>
    <d v="2011-12-01T11:45:00"/>
    <n v="4"/>
    <n v="17"/>
    <s v="ROCKING HORSE RED CHRISTMAS "/>
    <s v="Debit Card"/>
    <n v="536477"/>
    <n v="22571"/>
    <n v="0.72"/>
    <n v="96"/>
    <n v="0.05"/>
    <x v="0"/>
    <n v="69.12"/>
    <n v="3.4560000000000004"/>
    <n v="65.664000000000001"/>
    <n v="6303.7440000000006"/>
  </r>
  <r>
    <n v="877"/>
    <s v="Janine"/>
    <s v="Manning"/>
    <s v="NULL"/>
    <s v="janine.manning@gmail.com"/>
    <n v="311"/>
    <d v="2011-12-01T11:45:00"/>
    <n v="4"/>
    <n v="5"/>
    <s v="CHRISTMAS GINGHAM HEART"/>
    <s v="Debit Card"/>
    <n v="536477"/>
    <n v="22595"/>
    <n v="0.72"/>
    <n v="144"/>
    <n v="0.2"/>
    <x v="0"/>
    <n v="103.67999999999999"/>
    <n v="20.736000000000001"/>
    <n v="82.943999999999988"/>
    <n v="11943.935999999998"/>
  </r>
  <r>
    <n v="878"/>
    <s v="Melodie"/>
    <s v="Melton"/>
    <s v="NULL"/>
    <s v="melodie.melton@yahoo.com"/>
    <n v="312"/>
    <d v="2011-12-01T11:45:00"/>
    <n v="4"/>
    <n v="24"/>
    <s v="CHRISTMAS GINGHAM STAR"/>
    <s v="Debit Card"/>
    <n v="536477"/>
    <n v="22593"/>
    <n v="0.72"/>
    <n v="144"/>
    <n v="0.05"/>
    <x v="2"/>
    <n v="103.67999999999999"/>
    <n v="5.1840000000000002"/>
    <n v="98.495999999999995"/>
    <n v="14183.423999999999"/>
  </r>
  <r>
    <n v="879"/>
    <s v="Ethelyn"/>
    <s v="Ray"/>
    <s v="NULL"/>
    <s v="ethelyn.ray@yahoo.com"/>
    <n v="312"/>
    <d v="2011-12-01T11:45:00"/>
    <n v="4"/>
    <n v="14"/>
    <s v="HAND WARMER UNION JACK"/>
    <s v="Debit Card"/>
    <n v="536477"/>
    <n v="22633"/>
    <n v="2.1"/>
    <n v="12"/>
    <n v="7.0000000000000007E-2"/>
    <x v="2"/>
    <n v="25.200000000000003"/>
    <n v="1.7640000000000005"/>
    <n v="23.436000000000003"/>
    <n v="281.23200000000003"/>
  </r>
  <r>
    <n v="880"/>
    <s v="Phebe"/>
    <s v="Turner"/>
    <s v="NULL"/>
    <s v="phebe.turner@aol.com"/>
    <n v="312"/>
    <d v="2011-12-01T11:45:00"/>
    <n v="4"/>
    <n v="16"/>
    <s v="HAND WARMER RED RETROSPOT"/>
    <s v="Debit Card"/>
    <n v="536477"/>
    <n v="22632"/>
    <n v="2.1"/>
    <n v="12"/>
    <n v="0.05"/>
    <x v="2"/>
    <n v="25.200000000000003"/>
    <n v="1.2600000000000002"/>
    <n v="23.94"/>
    <n v="287.28000000000003"/>
  </r>
  <r>
    <n v="881"/>
    <s v="Chloe"/>
    <s v="Patel"/>
    <s v="NULL"/>
    <s v="chloe.patel@yahoo.com"/>
    <n v="313"/>
    <d v="2011-12-01T11:45:00"/>
    <n v="4"/>
    <n v="4"/>
    <s v="REGENCY CAKESTAND 3 TIER"/>
    <s v="Debit Card"/>
    <n v="536477"/>
    <n v="22423"/>
    <n v="10.95"/>
    <n v="16"/>
    <n v="7.0000000000000007E-2"/>
    <x v="2"/>
    <n v="175.2"/>
    <n v="12.264000000000001"/>
    <n v="162.93599999999998"/>
    <n v="2606.9759999999997"/>
  </r>
  <r>
    <n v="882"/>
    <s v="Hilda"/>
    <s v="Harvey"/>
    <s v="NULL"/>
    <s v="hilda.harvey@gmail.com"/>
    <n v="313"/>
    <d v="2011-12-01T11:45:00"/>
    <n v="4"/>
    <n v="10"/>
    <s v="JUMBO SHOPPER VINTAGE RED PAISLEY"/>
    <s v="Debit Card"/>
    <n v="536477"/>
    <n v="22411"/>
    <n v="1.95"/>
    <n v="10"/>
    <n v="7.0000000000000007E-2"/>
    <x v="2"/>
    <n v="19.5"/>
    <n v="1.3650000000000002"/>
    <n v="18.134999999999998"/>
    <n v="181.34999999999997"/>
  </r>
  <r>
    <n v="883"/>
    <s v="Gilberte"/>
    <s v="Duke"/>
    <s v="(915) 903-7860"/>
    <s v="gilberte.duke@gmail.com"/>
    <n v="314"/>
    <d v="2011-12-01T11:45:00"/>
    <n v="4"/>
    <n v="5"/>
    <s v="RIBBON REEL SNOWY VILLAGE"/>
    <s v="Debit Card"/>
    <n v="536488"/>
    <n v="22738"/>
    <n v="1.65"/>
    <n v="5"/>
    <n v="7.0000000000000007E-2"/>
    <x v="2"/>
    <n v="8.25"/>
    <n v="0.57750000000000001"/>
    <n v="7.6725000000000003"/>
    <n v="38.362500000000004"/>
  </r>
  <r>
    <n v="884"/>
    <s v="Willian"/>
    <s v="Hardin"/>
    <s v="NULL"/>
    <s v="willian.hardin@msn.com"/>
    <n v="314"/>
    <d v="2011-12-01T11:45:00"/>
    <n v="4"/>
    <n v="9"/>
    <s v="VINTAGE UNION JACK BUNTING"/>
    <s v="Debit Card"/>
    <n v="536488"/>
    <n v="21621"/>
    <n v="8.5"/>
    <n v="1"/>
    <n v="0.05"/>
    <x v="2"/>
    <n v="8.5"/>
    <n v="0.42500000000000004"/>
    <n v="8.0749999999999993"/>
    <n v="8.0749999999999993"/>
  </r>
  <r>
    <n v="885"/>
    <s v="Janna"/>
    <s v="Hayden"/>
    <s v="NULL"/>
    <s v="janna.hayden@msn.com"/>
    <n v="314"/>
    <d v="2011-12-01T11:45:00"/>
    <n v="3"/>
    <n v="22"/>
    <s v="JAM MAKING SET WITH JARS"/>
    <s v="Debit Card"/>
    <n v="536488"/>
    <n v="22960"/>
    <n v="4.25"/>
    <n v="8"/>
    <n v="0.2"/>
    <x v="2"/>
    <n v="34"/>
    <n v="6.8000000000000007"/>
    <n v="27.2"/>
    <n v="217.6"/>
  </r>
  <r>
    <n v="886"/>
    <s v="Letisha"/>
    <s v="May"/>
    <s v="NULL"/>
    <s v="letisha.may@yahoo.com"/>
    <n v="314"/>
    <d v="2011-12-01T11:45:00"/>
    <n v="4"/>
    <n v="7"/>
    <s v="RIBBON REEL STRIPES DESIGN "/>
    <s v="Debit Card"/>
    <n v="536488"/>
    <n v="22082"/>
    <n v="1.65"/>
    <n v="5"/>
    <n v="7.0000000000000007E-2"/>
    <x v="2"/>
    <n v="8.25"/>
    <n v="0.57750000000000001"/>
    <n v="7.6725000000000003"/>
    <n v="38.362500000000004"/>
  </r>
  <r>
    <n v="887"/>
    <s v="Graig"/>
    <s v="Cannon"/>
    <s v="NULL"/>
    <s v="graig.cannon@gmail.com"/>
    <n v="315"/>
    <d v="2011-12-01T11:45:00"/>
    <n v="4"/>
    <n v="11"/>
    <s v="RETRO LONGBOARD IRONING BOARD COVER"/>
    <s v="Debit Card"/>
    <n v="536488"/>
    <s v="47563A"/>
    <n v="3.75"/>
    <n v="1"/>
    <n v="0.2"/>
    <x v="2"/>
    <n v="3.75"/>
    <n v="0.75"/>
    <n v="3"/>
    <n v="3"/>
  </r>
  <r>
    <n v="888"/>
    <s v="Coleen"/>
    <s v="Navarro"/>
    <s v="NULL"/>
    <s v="coleen.navarro@aol.com"/>
    <n v="315"/>
    <d v="2011-12-01T11:45:00"/>
    <n v="4"/>
    <n v="9"/>
    <s v="3D DOG PICTURE PLAYING CARDS"/>
    <s v="Debit Card"/>
    <n v="536488"/>
    <s v="84558A"/>
    <n v="2.95"/>
    <n v="1"/>
    <n v="0.1"/>
    <x v="2"/>
    <n v="2.95"/>
    <n v="0.29500000000000004"/>
    <n v="2.6550000000000002"/>
    <n v="2.6550000000000002"/>
  </r>
  <r>
    <n v="889"/>
    <s v="Lucilla"/>
    <s v="Williams"/>
    <s v="NULL"/>
    <s v="lucilla.williams@hotmail.com"/>
    <n v="316"/>
    <d v="2011-12-01T11:45:00"/>
    <n v="4"/>
    <n v="2"/>
    <s v="RETROSPOT CIGAR BOX MATCHES "/>
    <s v="Debit Card"/>
    <n v="536488"/>
    <n v="21592"/>
    <n v="1.25"/>
    <n v="1"/>
    <n v="0.2"/>
    <x v="2"/>
    <n v="1.25"/>
    <n v="0.25"/>
    <n v="1"/>
    <n v="1"/>
  </r>
  <r>
    <n v="890"/>
    <s v="Rosanne"/>
    <s v="George"/>
    <s v="NULL"/>
    <s v="rosanne.george@yahoo.com"/>
    <n v="316"/>
    <d v="2011-12-01T11:45:00"/>
    <n v="4"/>
    <n v="16"/>
    <s v="SET/9 CHRISTMAS T-LIGHTS SCENTED "/>
    <s v="Debit Card"/>
    <n v="536488"/>
    <n v="20878"/>
    <n v="1.25"/>
    <n v="2"/>
    <n v="0.1"/>
    <x v="2"/>
    <n v="2.5"/>
    <n v="0.25"/>
    <n v="2.25"/>
    <n v="4.5"/>
  </r>
  <r>
    <n v="891"/>
    <s v="Ashlie"/>
    <s v="Parrish"/>
    <s v="NULL"/>
    <s v="ashlie.parrish@hotmail.com"/>
    <n v="316"/>
    <d v="2011-12-01T11:45:00"/>
    <n v="4"/>
    <n v="20"/>
    <s v="ROTATING SILVER ANGELS T-LIGHT HLDR"/>
    <s v="Debit Card"/>
    <n v="536488"/>
    <n v="84347"/>
    <n v="2.5499999999999998"/>
    <n v="1"/>
    <n v="0.1"/>
    <x v="2"/>
    <n v="2.5499999999999998"/>
    <n v="0.255"/>
    <n v="2.2949999999999999"/>
    <n v="2.2949999999999999"/>
  </r>
  <r>
    <n v="892"/>
    <s v="Alissa"/>
    <s v="Craft"/>
    <s v="NULL"/>
    <s v="alissa.craft@hotmail.com"/>
    <n v="316"/>
    <d v="2011-12-01T11:45:00"/>
    <n v="4"/>
    <n v="19"/>
    <s v="ROTATING SILVER ANGELS T-LIGHT HLDR"/>
    <s v="Debit Card"/>
    <n v="536488"/>
    <n v="84347"/>
    <n v="2.5499999999999998"/>
    <n v="1"/>
    <n v="0.2"/>
    <x v="2"/>
    <n v="2.5499999999999998"/>
    <n v="0.51"/>
    <n v="2.04"/>
    <n v="2.04"/>
  </r>
  <r>
    <n v="893"/>
    <s v="Letty"/>
    <s v="Cobb"/>
    <s v="NULL"/>
    <s v="letty.cobb@msn.com"/>
    <n v="316"/>
    <d v="2011-12-01T11:45:00"/>
    <n v="4"/>
    <n v="17"/>
    <s v="SAVE THE PLANET COTTON TOTE BAG"/>
    <s v="Debit Card"/>
    <n v="536488"/>
    <n v="21577"/>
    <n v="2.25"/>
    <n v="1"/>
    <n v="0.05"/>
    <x v="2"/>
    <n v="2.25"/>
    <n v="0.1125"/>
    <n v="2.1375000000000002"/>
    <n v="2.1375000000000002"/>
  </r>
  <r>
    <n v="894"/>
    <s v="Nathaniel"/>
    <s v="Richard"/>
    <s v="NULL"/>
    <s v="nathaniel.richard@gmail.com"/>
    <n v="317"/>
    <d v="2011-12-01T11:45:00"/>
    <n v="4"/>
    <n v="10"/>
    <s v="SET OF 20 VINTAGE CHRISTMAS NAPKINS"/>
    <s v="Debit Card"/>
    <n v="536488"/>
    <n v="22909"/>
    <n v="0.85"/>
    <n v="1"/>
    <n v="0.2"/>
    <x v="2"/>
    <n v="0.85"/>
    <n v="0.17"/>
    <n v="0.67999999999999994"/>
    <n v="0.67999999999999994"/>
  </r>
  <r>
    <n v="895"/>
    <s v="Elaina"/>
    <s v="Key"/>
    <s v="NULL"/>
    <s v="elaina.key@msn.com"/>
    <n v="317"/>
    <d v="2011-12-01T11:45:00"/>
    <n v="4"/>
    <n v="22"/>
    <s v="PAPER BUNTING WHITE LACE"/>
    <s v="Debit Card"/>
    <n v="536488"/>
    <n v="22087"/>
    <n v="2.95"/>
    <n v="1"/>
    <n v="0.05"/>
    <x v="2"/>
    <n v="2.95"/>
    <n v="0.14750000000000002"/>
    <n v="2.8025000000000002"/>
    <n v="2.8025000000000002"/>
  </r>
  <r>
    <n v="896"/>
    <s v="Stefani"/>
    <s v="Gamble"/>
    <s v="(845) 724-2996"/>
    <s v="stefani.gamble@aol.com"/>
    <n v="317"/>
    <d v="2011-12-01T11:45:00"/>
    <n v="4"/>
    <n v="15"/>
    <s v="GENTLEMAN SHIRT REPAIR KIT "/>
    <s v="Debit Card"/>
    <n v="536488"/>
    <n v="22651"/>
    <n v="0.85"/>
    <n v="2"/>
    <n v="0.05"/>
    <x v="2"/>
    <n v="1.7"/>
    <n v="8.5000000000000006E-2"/>
    <n v="1.615"/>
    <n v="3.23"/>
  </r>
  <r>
    <n v="897"/>
    <s v="Bettyann"/>
    <s v="Acosta"/>
    <s v="(717) 746-6658"/>
    <s v="bettyann.acosta@gmail.com"/>
    <n v="317"/>
    <d v="2011-12-01T11:45:00"/>
    <n v="4"/>
    <n v="13"/>
    <s v="CARD I LOVE LONDON "/>
    <s v="Debit Card"/>
    <n v="536488"/>
    <n v="22713"/>
    <n v="0.42"/>
    <n v="12"/>
    <n v="0.2"/>
    <x v="2"/>
    <n v="5.04"/>
    <n v="1.008"/>
    <n v="4.032"/>
    <n v="48.384"/>
  </r>
  <r>
    <n v="898"/>
    <s v="Crysta"/>
    <s v="Velez"/>
    <s v="(281) 529-3469"/>
    <s v="crysta.velez@yahoo.com"/>
    <n v="318"/>
    <d v="2011-12-01T11:45:00"/>
    <n v="4"/>
    <n v="13"/>
    <s v="PAPER CHAIN KIT VINTAGE CHRISTMAS"/>
    <s v="Debit Card"/>
    <n v="536488"/>
    <n v="22910"/>
    <n v="2.95"/>
    <n v="1"/>
    <n v="0.1"/>
    <x v="2"/>
    <n v="2.95"/>
    <n v="0.29500000000000004"/>
    <n v="2.6550000000000002"/>
    <n v="2.6550000000000002"/>
  </r>
  <r>
    <n v="899"/>
    <s v="Carisa"/>
    <s v="Carpenter"/>
    <s v="NULL"/>
    <s v="carisa.carpenter@hotmail.com"/>
    <n v="318"/>
    <d v="2011-12-01T11:45:00"/>
    <n v="4"/>
    <n v="25"/>
    <s v="MIRRORED WALL ART FOXY"/>
    <s v="Debit Card"/>
    <n v="536488"/>
    <n v="21370"/>
    <n v="6.35"/>
    <n v="2"/>
    <n v="0.2"/>
    <x v="2"/>
    <n v="12.7"/>
    <n v="2.54"/>
    <n v="10.16"/>
    <n v="20.32"/>
  </r>
  <r>
    <n v="900"/>
    <s v="Jule"/>
    <s v="Davenport"/>
    <s v="NULL"/>
    <s v="jule.davenport@aol.com"/>
    <n v="318"/>
    <d v="2011-12-01T11:45:00"/>
    <n v="4"/>
    <n v="9"/>
    <s v="MIRRORED WALL ART GENTS"/>
    <s v="Debit Card"/>
    <n v="536488"/>
    <n v="21367"/>
    <n v="2.5499999999999998"/>
    <n v="1"/>
    <n v="0.05"/>
    <x v="2"/>
    <n v="2.5499999999999998"/>
    <n v="0.1275"/>
    <n v="2.4224999999999999"/>
    <n v="2.4224999999999999"/>
  </r>
  <r>
    <n v="901"/>
    <s v="Lonna"/>
    <s v="Franks"/>
    <s v="NULL"/>
    <s v="lonna.franks@yahoo.com"/>
    <n v="319"/>
    <d v="2011-12-01T11:45:00"/>
    <n v="4"/>
    <n v="11"/>
    <s v="AIRLINE BAG VINTAGE JET SET WHITE"/>
    <s v="Debit Card"/>
    <n v="536488"/>
    <n v="22376"/>
    <n v="4.25"/>
    <n v="1"/>
    <n v="7.0000000000000007E-2"/>
    <x v="2"/>
    <n v="4.25"/>
    <n v="0.29750000000000004"/>
    <n v="3.9525000000000001"/>
    <n v="3.9525000000000001"/>
  </r>
  <r>
    <n v="902"/>
    <s v="Elease"/>
    <s v="Dejesus"/>
    <s v="NULL"/>
    <s v="elease.dejesus@gmail.com"/>
    <n v="319"/>
    <d v="2011-12-01T11:45:00"/>
    <n v="4"/>
    <n v="21"/>
    <s v="JAM MAKING SET PRINTED"/>
    <s v="Debit Card"/>
    <n v="536488"/>
    <n v="22961"/>
    <n v="1.45"/>
    <n v="1"/>
    <n v="0.2"/>
    <x v="2"/>
    <n v="1.45"/>
    <n v="0.28999999999999998"/>
    <n v="1.1599999999999999"/>
    <n v="1.1599999999999999"/>
  </r>
  <r>
    <n v="903"/>
    <s v="Maira"/>
    <s v="Long"/>
    <s v="NULL"/>
    <s v="maira.long@msn.com"/>
    <n v="319"/>
    <d v="2011-12-01T11:45:00"/>
    <n v="4"/>
    <n v="15"/>
    <s v="POTTING SHED SOW 'N' GROW SET"/>
    <s v="Debit Card"/>
    <n v="536488"/>
    <n v="21895"/>
    <n v="4.25"/>
    <n v="1"/>
    <n v="0.1"/>
    <x v="2"/>
    <n v="4.25"/>
    <n v="0.42500000000000004"/>
    <n v="3.8250000000000002"/>
    <n v="3.8250000000000002"/>
  </r>
  <r>
    <n v="904"/>
    <s v="Jana"/>
    <s v="Thomas"/>
    <s v="(408) 624-8137"/>
    <s v="jana.thomas@yahoo.com"/>
    <n v="319"/>
    <d v="2011-12-01T11:45:00"/>
    <n v="4"/>
    <n v="23"/>
    <s v="BABUSHKA LIGHTS STRING OF 10"/>
    <s v="Debit Card"/>
    <n v="536488"/>
    <n v="22468"/>
    <n v="6.75"/>
    <n v="1"/>
    <n v="0.05"/>
    <x v="2"/>
    <n v="6.75"/>
    <n v="0.33750000000000002"/>
    <n v="6.4124999999999996"/>
    <n v="6.4124999999999996"/>
  </r>
  <r>
    <n v="905"/>
    <s v="Hae"/>
    <s v="Ramirez"/>
    <s v="NULL"/>
    <s v="hae.ramirez@hotmail.com"/>
    <n v="320"/>
    <d v="2011-12-01T11:45:00"/>
    <n v="4"/>
    <n v="2"/>
    <s v="REX CASH+CARRY JUMBO SHOPPER"/>
    <s v="Debit Card"/>
    <n v="536488"/>
    <n v="21034"/>
    <n v="0.95"/>
    <n v="1"/>
    <n v="0.1"/>
    <x v="2"/>
    <n v="0.95"/>
    <n v="9.5000000000000001E-2"/>
    <n v="0.85499999999999998"/>
    <n v="0.85499999999999998"/>
  </r>
  <r>
    <n v="906"/>
    <s v="Erik"/>
    <s v="Leblanc"/>
    <s v="NULL"/>
    <s v="erik.leblanc@aol.com"/>
    <n v="321"/>
    <d v="2011-12-01T11:45:00"/>
    <n v="4"/>
    <n v="4"/>
    <s v="AIRLINE BAG VINTAGE WORLD CHAMPION "/>
    <s v="Debit Card"/>
    <n v="536488"/>
    <n v="22372"/>
    <n v="4.25"/>
    <n v="1"/>
    <n v="0.2"/>
    <x v="2"/>
    <n v="4.25"/>
    <n v="0.85000000000000009"/>
    <n v="3.4"/>
    <n v="3.4"/>
  </r>
  <r>
    <n v="907"/>
    <s v="Daina"/>
    <s v="Sampson"/>
    <s v="NULL"/>
    <s v="daina.sampson@msn.com"/>
    <n v="321"/>
    <d v="2011-12-01T11:45:00"/>
    <n v="4"/>
    <n v="12"/>
    <s v="HAND WARMER BIRD DESIGN"/>
    <s v="Debit Card"/>
    <n v="536488"/>
    <n v="22867"/>
    <n v="2.1"/>
    <n v="1"/>
    <n v="0.2"/>
    <x v="2"/>
    <n v="2.1"/>
    <n v="0.42000000000000004"/>
    <n v="1.6800000000000002"/>
    <n v="1.6800000000000002"/>
  </r>
  <r>
    <n v="908"/>
    <s v="Delmar"/>
    <s v="Wise"/>
    <s v="NULL"/>
    <s v="delmar.wise@yahoo.com"/>
    <n v="321"/>
    <d v="2011-12-01T11:45:00"/>
    <n v="4"/>
    <n v="26"/>
    <s v="CHRISTMAS CRAFT LITTLE FRIENDS"/>
    <s v="Debit Card"/>
    <n v="536488"/>
    <n v="22144"/>
    <n v="2.1"/>
    <n v="1"/>
    <n v="0.2"/>
    <x v="2"/>
    <n v="2.1"/>
    <n v="0.42000000000000004"/>
    <n v="1.6800000000000002"/>
    <n v="1.6800000000000002"/>
  </r>
  <r>
    <n v="909"/>
    <s v="Alita"/>
    <s v="Salinas"/>
    <s v="NULL"/>
    <s v="alita.salinas@hotmail.com"/>
    <n v="321"/>
    <d v="2011-12-01T11:45:00"/>
    <n v="4"/>
    <n v="23"/>
    <s v="PINK HEARTS PAPER GARLAND"/>
    <s v="Debit Card"/>
    <n v="536488"/>
    <n v="21190"/>
    <n v="1.65"/>
    <n v="1"/>
    <n v="0.2"/>
    <x v="2"/>
    <n v="1.65"/>
    <n v="0.33"/>
    <n v="1.3199999999999998"/>
    <n v="1.3199999999999998"/>
  </r>
  <r>
    <n v="910"/>
    <s v="Elenore"/>
    <s v="William"/>
    <s v="NULL"/>
    <s v="elenore.william@msn.com"/>
    <n v="322"/>
    <d v="2011-12-01T11:45:00"/>
    <n v="4"/>
    <n v="13"/>
    <s v="POTTING SHED SEED ENVELOPES"/>
    <s v="Debit Card"/>
    <n v="536488"/>
    <n v="21894"/>
    <n v="1.25"/>
    <n v="3"/>
    <n v="0.2"/>
    <x v="2"/>
    <n v="3.75"/>
    <n v="0.75"/>
    <n v="3"/>
    <n v="9"/>
  </r>
  <r>
    <n v="911"/>
    <s v="Nikita"/>
    <s v="Roy"/>
    <s v="NULL"/>
    <s v="nikita.roy@aol.com"/>
    <n v="322"/>
    <d v="2011-12-01T11:45:00"/>
    <n v="4"/>
    <n v="21"/>
    <s v="HI TEC ALPINE HAND WARMER"/>
    <s v="Debit Card"/>
    <n v="536488"/>
    <n v="70007"/>
    <n v="1.65"/>
    <n v="3"/>
    <n v="7.0000000000000007E-2"/>
    <x v="2"/>
    <n v="4.9499999999999993"/>
    <n v="0.34649999999999997"/>
    <n v="4.6034999999999995"/>
    <n v="13.810499999999998"/>
  </r>
  <r>
    <n v="912"/>
    <s v="Inocencia"/>
    <s v="Key"/>
    <s v="NULL"/>
    <s v="inocencia.key@hotmail.com"/>
    <n v="323"/>
    <d v="2011-12-01T11:45:00"/>
    <n v="4"/>
    <n v="13"/>
    <s v="FELTCRAFT CHRISTMAS FAIRY"/>
    <s v="Debit Card"/>
    <n v="536488"/>
    <n v="22940"/>
    <n v="4.25"/>
    <n v="1"/>
    <n v="7.0000000000000007E-2"/>
    <x v="2"/>
    <n v="4.25"/>
    <n v="0.29750000000000004"/>
    <n v="3.9525000000000001"/>
    <n v="3.9525000000000001"/>
  </r>
  <r>
    <n v="913"/>
    <s v="Liliana"/>
    <s v="Kerr"/>
    <s v="NULL"/>
    <s v="liliana.kerr@yahoo.com"/>
    <n v="323"/>
    <d v="2011-12-01T11:45:00"/>
    <n v="4"/>
    <n v="26"/>
    <s v="HI TEC ALPINE HAND WARMER"/>
    <s v="Debit Card"/>
    <n v="536488"/>
    <n v="70007"/>
    <n v="1.65"/>
    <n v="1"/>
    <n v="0.1"/>
    <x v="2"/>
    <n v="1.65"/>
    <n v="0.16500000000000001"/>
    <n v="1.4849999999999999"/>
    <n v="1.4849999999999999"/>
  </r>
  <r>
    <n v="914"/>
    <s v="Hortencia"/>
    <s v="O'neil"/>
    <s v="NULL"/>
    <s v="hortencia.o'neil@hotmail.com"/>
    <n v="324"/>
    <d v="2011-12-01T11:45:00"/>
    <n v="4"/>
    <n v="2"/>
    <s v="ROTATING SILVER ANGELS T-LIGHT HLDR"/>
    <s v="Credit Card "/>
    <n v="536488"/>
    <n v="84347"/>
    <n v="2.5499999999999998"/>
    <n v="3"/>
    <n v="0.1"/>
    <x v="2"/>
    <n v="7.6499999999999995"/>
    <n v="0.76500000000000001"/>
    <n v="6.8849999999999998"/>
    <n v="20.655000000000001"/>
  </r>
  <r>
    <n v="915"/>
    <s v="Beryl"/>
    <s v="Bennett"/>
    <s v="(916) 422-6956"/>
    <s v="beryl.bennett@aol.com"/>
    <n v="324"/>
    <d v="2011-12-01T11:45:00"/>
    <n v="4"/>
    <n v="17"/>
    <s v="3 STRIPEY MICE FELTCRAFT"/>
    <s v="Credit Card "/>
    <n v="536488"/>
    <n v="22150"/>
    <n v="1.95"/>
    <n v="1"/>
    <n v="0.2"/>
    <x v="2"/>
    <n v="1.95"/>
    <n v="0.39"/>
    <n v="1.56"/>
    <n v="1.56"/>
  </r>
  <r>
    <n v="916"/>
    <s v="Alishia"/>
    <s v="Elliott"/>
    <s v="NULL"/>
    <s v="alishia.elliott@aol.com"/>
    <n v="324"/>
    <d v="2011-12-01T11:45:00"/>
    <n v="4"/>
    <n v="22"/>
    <s v="FELTCRAFT 6 FLOWER FRIENDS"/>
    <s v="Credit Card "/>
    <n v="536488"/>
    <n v="22149"/>
    <n v="2.1"/>
    <n v="2"/>
    <n v="0.2"/>
    <x v="2"/>
    <n v="4.2"/>
    <n v="0.84000000000000008"/>
    <n v="3.3600000000000003"/>
    <n v="6.7200000000000006"/>
  </r>
  <r>
    <n v="917"/>
    <s v="Vernia"/>
    <s v="Madden"/>
    <s v="(248) 206-3697"/>
    <s v="vernia.madden@aol.com"/>
    <n v="324"/>
    <d v="2011-12-01T11:45:00"/>
    <n v="4"/>
    <n v="19"/>
    <s v="CHRISTMAS CRAFT LITTLE FRIENDS"/>
    <s v="Credit Card "/>
    <n v="536488"/>
    <n v="22144"/>
    <n v="2.1"/>
    <n v="2"/>
    <n v="0.05"/>
    <x v="2"/>
    <n v="4.2"/>
    <n v="0.21000000000000002"/>
    <n v="3.99"/>
    <n v="7.98"/>
  </r>
  <r>
    <n v="918"/>
    <s v="Kristel"/>
    <s v="Bullock"/>
    <s v="NULL"/>
    <s v="kristel.bullock@yahoo.com"/>
    <n v="324"/>
    <d v="2011-12-01T11:45:00"/>
    <n v="4"/>
    <n v="12"/>
    <s v="VINTAGE UNION JACK CUSHION COVER"/>
    <s v="Credit Card "/>
    <n v="536500"/>
    <n v="21622"/>
    <n v="4.95"/>
    <n v="10"/>
    <n v="0.05"/>
    <x v="2"/>
    <n v="49.5"/>
    <n v="2.4750000000000001"/>
    <n v="47.024999999999999"/>
    <n v="470.25"/>
  </r>
  <r>
    <n v="919"/>
    <s v="Ruthanne"/>
    <s v="Hoover"/>
    <s v="NULL"/>
    <s v="ruthanne.hoover@aol.com"/>
    <n v="325"/>
    <d v="2011-12-01T11:45:00"/>
    <n v="4"/>
    <n v="7"/>
    <s v="POLYESTER FILLER PAD 45x45cm"/>
    <s v="Credit Card "/>
    <n v="536500"/>
    <s v="46000M"/>
    <n v="1.55"/>
    <n v="10"/>
    <n v="0.05"/>
    <x v="2"/>
    <n v="15.5"/>
    <n v="0.77500000000000002"/>
    <n v="14.725"/>
    <n v="147.25"/>
  </r>
  <r>
    <n v="920"/>
    <s v="James"/>
    <s v="Robles"/>
    <s v="NULL"/>
    <s v="james.robles@aol.com"/>
    <n v="325"/>
    <d v="2011-12-01T11:45:00"/>
    <n v="4"/>
    <n v="12"/>
    <s v="DOLLY GIRL LUNCH BOX"/>
    <s v="Credit Card "/>
    <n v="536500"/>
    <n v="22630"/>
    <n v="1.95"/>
    <n v="2"/>
    <n v="0.2"/>
    <x v="2"/>
    <n v="3.9"/>
    <n v="0.78"/>
    <n v="3.12"/>
    <n v="6.24"/>
  </r>
  <r>
    <n v="921"/>
    <s v="Evelin"/>
    <s v="Vargas"/>
    <s v="NULL"/>
    <s v="evelin.vargas@msn.com"/>
    <n v="325"/>
    <d v="2011-12-01T11:45:00"/>
    <n v="4"/>
    <n v="6"/>
    <s v="PACK OF 12 LONDON TISSUES "/>
    <s v="Credit Card "/>
    <n v="536500"/>
    <n v="22616"/>
    <n v="0.28999999999999998"/>
    <n v="12"/>
    <n v="0.2"/>
    <x v="2"/>
    <n v="3.4799999999999995"/>
    <n v="0.69599999999999995"/>
    <n v="2.7839999999999998"/>
    <n v="33.408000000000001"/>
  </r>
  <r>
    <n v="922"/>
    <s v="Elvia"/>
    <s v="Cardenas"/>
    <s v="NULL"/>
    <s v="elvia.cardenas@hotmail.com"/>
    <n v="326"/>
    <d v="2011-12-01T11:45:00"/>
    <n v="4"/>
    <n v="12"/>
    <s v="CARD DOLLY GIRL "/>
    <s v="Credit Card "/>
    <n v="536500"/>
    <n v="22712"/>
    <n v="0.42"/>
    <n v="12"/>
    <n v="0.1"/>
    <x v="2"/>
    <n v="5.04"/>
    <n v="0.504"/>
    <n v="4.5359999999999996"/>
    <n v="54.431999999999995"/>
  </r>
  <r>
    <n v="923"/>
    <s v="Randee"/>
    <s v="Pitts"/>
    <s v="NULL"/>
    <s v="randee.pitts@msn.com"/>
    <n v="326"/>
    <d v="2011-12-01T11:45:00"/>
    <n v="4"/>
    <n v="23"/>
    <s v="CARD BILLBOARD FONT"/>
    <s v="Credit Card "/>
    <n v="536500"/>
    <n v="22983"/>
    <n v="0.42"/>
    <n v="12"/>
    <n v="7.0000000000000007E-2"/>
    <x v="2"/>
    <n v="5.04"/>
    <n v="0.35280000000000006"/>
    <n v="4.6871999999999998"/>
    <n v="56.246399999999994"/>
  </r>
  <r>
    <n v="924"/>
    <s v="Lea"/>
    <s v="Irwin"/>
    <s v="NULL"/>
    <s v="lea.irwin@gmail.com"/>
    <n v="327"/>
    <d v="2011-12-01T11:45:00"/>
    <n v="3"/>
    <n v="12"/>
    <s v="RAINY LADIES BIRTHDAY CARD"/>
    <s v="Credit Card "/>
    <n v="536500"/>
    <n v="22024"/>
    <n v="0.42"/>
    <n v="12"/>
    <n v="7.0000000000000007E-2"/>
    <x v="2"/>
    <n v="5.04"/>
    <n v="0.35280000000000006"/>
    <n v="4.6871999999999998"/>
    <n v="56.246399999999994"/>
  </r>
  <r>
    <n v="925"/>
    <s v="Bryce"/>
    <s v="Monroe"/>
    <s v="NULL"/>
    <s v="bryce.monroe@aol.com"/>
    <n v="327"/>
    <d v="2011-12-01T11:45:00"/>
    <n v="4"/>
    <n v="13"/>
    <s v="GREY HEART HOT WATER BOTTLE"/>
    <s v="Credit Card "/>
    <n v="536500"/>
    <n v="22113"/>
    <n v="3.75"/>
    <n v="3"/>
    <n v="7.0000000000000007E-2"/>
    <x v="2"/>
    <n v="11.25"/>
    <n v="0.78750000000000009"/>
    <n v="10.4625"/>
    <n v="31.387500000000003"/>
  </r>
  <r>
    <n v="926"/>
    <s v="Katina"/>
    <s v="Mcintosh"/>
    <s v="(661) 464-1523"/>
    <s v="katina.mcintosh@yahoo.com"/>
    <n v="327"/>
    <d v="2011-12-01T11:45:00"/>
    <n v="4"/>
    <n v="4"/>
    <s v="RED WOOLLY HOTTIE WHITE HEART."/>
    <s v="Credit Card "/>
    <n v="536500"/>
    <s v="84029E"/>
    <n v="3.75"/>
    <n v="2"/>
    <n v="0.05"/>
    <x v="2"/>
    <n v="7.5"/>
    <n v="0.375"/>
    <n v="7.125"/>
    <n v="14.25"/>
  </r>
  <r>
    <n v="927"/>
    <s v="Guillermo"/>
    <s v="Hart"/>
    <s v="(212) 652-7198"/>
    <s v="guillermo.hart@hotmail.com"/>
    <n v="328"/>
    <d v="2011-12-01T11:45:00"/>
    <n v="4"/>
    <n v="6"/>
    <s v="RED WHITE SCARF  HOT WATER BOTTLE"/>
    <s v="Credit Card "/>
    <n v="536500"/>
    <n v="21488"/>
    <n v="3.95"/>
    <n v="2"/>
    <n v="0.1"/>
    <x v="2"/>
    <n v="7.9"/>
    <n v="0.79"/>
    <n v="7.11"/>
    <n v="14.22"/>
  </r>
  <r>
    <n v="928"/>
    <s v="Joann"/>
    <s v="Barber"/>
    <s v="NULL"/>
    <s v="joann.barber@gmail.com"/>
    <n v="329"/>
    <d v="2011-12-01T11:45:00"/>
    <n v="4"/>
    <n v="14"/>
    <s v=" SET 2 TEA TOWELS I LOVE LONDON "/>
    <s v="Credit Card "/>
    <n v="536500"/>
    <n v="22900"/>
    <n v="2.95"/>
    <n v="7"/>
    <n v="7.0000000000000007E-2"/>
    <x v="2"/>
    <n v="20.650000000000002"/>
    <n v="1.4455000000000002"/>
    <n v="19.204500000000003"/>
    <n v="134.43150000000003"/>
  </r>
  <r>
    <n v="929"/>
    <s v="Thurman"/>
    <s v="Ellis"/>
    <s v="NULL"/>
    <s v="thurman.ellis@gmail.com"/>
    <n v="329"/>
    <d v="2011-12-01T11:45:00"/>
    <n v="4"/>
    <n v="8"/>
    <s v="SET OF 2 TEA TOWELS APPLE AND PEARS"/>
    <s v="Credit Card "/>
    <n v="536500"/>
    <n v="22895"/>
    <n v="2.95"/>
    <n v="3"/>
    <n v="0.05"/>
    <x v="2"/>
    <n v="8.8500000000000014"/>
    <n v="0.44250000000000012"/>
    <n v="8.4075000000000006"/>
    <n v="25.222500000000004"/>
  </r>
  <r>
    <n v="930"/>
    <s v="Delana"/>
    <s v="Wagner"/>
    <s v="NULL"/>
    <s v="delana.wagner@aol.com"/>
    <n v="329"/>
    <d v="2011-12-01T11:45:00"/>
    <n v="4"/>
    <n v="23"/>
    <s v="SET/2 RED RETROSPOT TEA TOWELS "/>
    <s v="Credit Card "/>
    <n v="536500"/>
    <n v="21035"/>
    <n v="2.95"/>
    <n v="3"/>
    <n v="0.2"/>
    <x v="2"/>
    <n v="8.8500000000000014"/>
    <n v="1.7700000000000005"/>
    <n v="7.080000000000001"/>
    <n v="21.240000000000002"/>
  </r>
  <r>
    <n v="931"/>
    <s v="Porter"/>
    <s v="Bass"/>
    <s v="NULL"/>
    <s v="porter.bass@hotmail.com"/>
    <n v="329"/>
    <d v="2011-12-01T11:45:00"/>
    <n v="4"/>
    <n v="17"/>
    <s v="LOVE BUILDING BLOCK WORD"/>
    <s v="Credit Card "/>
    <n v="536500"/>
    <n v="21755"/>
    <n v="5.95"/>
    <n v="6"/>
    <n v="7.0000000000000007E-2"/>
    <x v="2"/>
    <n v="35.700000000000003"/>
    <n v="2.4990000000000006"/>
    <n v="33.201000000000001"/>
    <n v="199.20600000000002"/>
  </r>
  <r>
    <n v="932"/>
    <s v="Yvonne"/>
    <s v="Bean"/>
    <s v="NULL"/>
    <s v="yvonne.bean@yahoo.com"/>
    <n v="329"/>
    <d v="2011-12-01T11:45:00"/>
    <n v="4"/>
    <n v="26"/>
    <s v="HOME BUILDING BLOCK WORD"/>
    <s v="Credit Card "/>
    <n v="536500"/>
    <n v="21754"/>
    <n v="5.95"/>
    <n v="6"/>
    <n v="0.05"/>
    <x v="2"/>
    <n v="35.700000000000003"/>
    <n v="1.7850000000000001"/>
    <n v="33.915000000000006"/>
    <n v="203.49000000000004"/>
  </r>
  <r>
    <n v="933"/>
    <s v="Lurline"/>
    <s v="Rivers"/>
    <s v="NULL"/>
    <s v="lurline.rivers@msn.com"/>
    <n v="330"/>
    <d v="2011-12-01T11:45:00"/>
    <n v="4"/>
    <n v="21"/>
    <s v="ASSORTED COLOUR BIRD ORNAMENT"/>
    <s v="Credit Card "/>
    <n v="536502"/>
    <n v="84879"/>
    <n v="1.69"/>
    <n v="16"/>
    <n v="0.05"/>
    <x v="2"/>
    <n v="27.04"/>
    <n v="1.3520000000000001"/>
    <n v="25.687999999999999"/>
    <n v="411.00799999999998"/>
  </r>
  <r>
    <n v="934"/>
    <s v="Ocie"/>
    <s v="Slater"/>
    <s v="NULL"/>
    <s v="ocie.slater@msn.com"/>
    <n v="331"/>
    <d v="2011-12-01T11:45:00"/>
    <n v="4"/>
    <n v="17"/>
    <s v="LANTERN CREAM GAZEBO "/>
    <s v="Credit Card "/>
    <n v="536502"/>
    <n v="22784"/>
    <n v="4.95"/>
    <n v="3"/>
    <n v="0.1"/>
    <x v="2"/>
    <n v="14.850000000000001"/>
    <n v="1.4850000000000003"/>
    <n v="13.365000000000002"/>
    <n v="40.095000000000006"/>
  </r>
  <r>
    <n v="935"/>
    <s v="Genevie"/>
    <s v="Miles"/>
    <s v="NULL"/>
    <s v="genevie.miles@aol.com"/>
    <n v="332"/>
    <d v="2011-12-01T11:45:00"/>
    <n v="3"/>
    <n v="18"/>
    <s v="BLUE BIRDHOUSE DECORATION"/>
    <s v="Credit Card "/>
    <n v="536502"/>
    <n v="21441"/>
    <n v="0.85"/>
    <n v="12"/>
    <n v="0.05"/>
    <x v="2"/>
    <n v="10.199999999999999"/>
    <n v="0.51"/>
    <n v="9.69"/>
    <n v="116.28"/>
  </r>
  <r>
    <n v="936"/>
    <s v="Sherilyn"/>
    <s v="Wilcox"/>
    <s v="NULL"/>
    <s v="sherilyn.wilcox@gmail.com"/>
    <n v="333"/>
    <d v="2011-12-01T11:45:00"/>
    <n v="4"/>
    <n v="18"/>
    <s v="WHITE HANGING HEART T-LIGHT HOLDER"/>
    <s v="Credit Card "/>
    <n v="536502"/>
    <s v="85123A"/>
    <n v="2.95"/>
    <n v="6"/>
    <n v="7.0000000000000007E-2"/>
    <x v="2"/>
    <n v="17.700000000000003"/>
    <n v="1.2390000000000003"/>
    <n v="16.461000000000002"/>
    <n v="98.76600000000002"/>
  </r>
  <r>
    <n v="937"/>
    <s v="Aida"/>
    <s v="Koch"/>
    <s v="NULL"/>
    <s v="aida.koch@gmail.com"/>
    <n v="333"/>
    <d v="2011-12-01T11:45:00"/>
    <n v="4"/>
    <n v="8"/>
    <s v="REGENCY CAKESTAND 3 TIER"/>
    <s v="Credit Card "/>
    <n v="536502"/>
    <n v="22423"/>
    <n v="12.75"/>
    <n v="2"/>
    <n v="0.05"/>
    <x v="5"/>
    <n v="25.5"/>
    <n v="1.2750000000000001"/>
    <n v="24.225000000000001"/>
    <n v="48.45"/>
  </r>
  <r>
    <n v="938"/>
    <s v="Emory"/>
    <s v="O'connor"/>
    <s v="(507) 606-2192"/>
    <s v="emory.o'connor@gmail.com"/>
    <n v="333"/>
    <d v="2011-12-01T11:45:00"/>
    <n v="4"/>
    <n v="3"/>
    <s v="JAM MAKING SET WITH JARS"/>
    <s v="Credit Card "/>
    <s v="C536506"/>
    <n v="22960"/>
    <n v="4.25"/>
    <n v="-6"/>
    <n v="0.2"/>
    <x v="5"/>
    <n v="-25.5"/>
    <n v="-5.1000000000000005"/>
    <n v="-20.399999999999999"/>
    <n v="122.39999999999999"/>
  </r>
  <r>
    <n v="939"/>
    <s v="Maximina"/>
    <s v="Hutchinson"/>
    <s v="(361) 164-3098"/>
    <s v="maximina.hutchinson@hotmail.com"/>
    <n v="334"/>
    <d v="2011-12-01T11:45:00"/>
    <n v="4"/>
    <n v="16"/>
    <s v="ANTIQUE SILVER TEA GLASS ENGRAVED"/>
    <s v="Credit Card "/>
    <n v="536508"/>
    <n v="84947"/>
    <n v="1.06"/>
    <n v="72"/>
    <n v="0.2"/>
    <x v="5"/>
    <n v="76.320000000000007"/>
    <n v="15.264000000000003"/>
    <n v="61.056000000000004"/>
    <n v="4396.0320000000002"/>
  </r>
  <r>
    <n v="940"/>
    <s v="Marina"/>
    <s v="Hinton"/>
    <s v="NULL"/>
    <s v="marina.hinton@yahoo.com"/>
    <n v="334"/>
    <d v="2011-12-01T11:45:00"/>
    <n v="4"/>
    <n v="9"/>
    <s v="AGED GLASS SILVER T-LIGHT HOLDER"/>
    <s v="Credit Card "/>
    <n v="536508"/>
    <n v="21326"/>
    <n v="0.55000000000000004"/>
    <n v="144"/>
    <n v="0.05"/>
    <x v="5"/>
    <n v="79.2"/>
    <n v="3.9600000000000004"/>
    <n v="75.240000000000009"/>
    <n v="10834.560000000001"/>
  </r>
  <r>
    <n v="941"/>
    <s v="Danyell"/>
    <s v="Dickerson"/>
    <s v="NULL"/>
    <s v="danyell.dickerson@msn.com"/>
    <n v="334"/>
    <d v="2011-12-01T11:45:00"/>
    <n v="4"/>
    <n v="3"/>
    <s v="HAND WARMER OWL DESIGN"/>
    <s v="Credit Card "/>
    <n v="536514"/>
    <n v="22865"/>
    <n v="2.1"/>
    <n v="36"/>
    <n v="0.05"/>
    <x v="5"/>
    <n v="75.600000000000009"/>
    <n v="3.7800000000000007"/>
    <n v="71.820000000000007"/>
    <n v="2585.5200000000004"/>
  </r>
  <r>
    <n v="942"/>
    <s v="Davis"/>
    <s v="Long"/>
    <s v="(717) 653-1755"/>
    <s v="davis.long@msn.com"/>
    <n v="335"/>
    <d v="2011-12-01T11:45:00"/>
    <n v="4"/>
    <n v="6"/>
    <s v="SET OF 2 WOODEN MARKET CRATES"/>
    <s v="Debit Card"/>
    <n v="536514"/>
    <n v="22485"/>
    <n v="12.75"/>
    <n v="4"/>
    <n v="0.1"/>
    <x v="5"/>
    <n v="51"/>
    <n v="5.1000000000000005"/>
    <n v="45.9"/>
    <n v="183.6"/>
  </r>
  <r>
    <n v="943"/>
    <s v="Lynn"/>
    <s v="Mcmahon"/>
    <s v="NULL"/>
    <s v="lynn.mcmahon@msn.com"/>
    <n v="335"/>
    <d v="2011-12-01T11:45:00"/>
    <n v="4"/>
    <n v="2"/>
    <s v="SET OF 6 T-LIGHTS TOADSTOOLS"/>
    <s v="Debit Card"/>
    <n v="536514"/>
    <n v="22807"/>
    <n v="2.95"/>
    <n v="6"/>
    <n v="0.1"/>
    <x v="5"/>
    <n v="17.700000000000003"/>
    <n v="1.7700000000000005"/>
    <n v="15.930000000000003"/>
    <n v="95.580000000000013"/>
  </r>
  <r>
    <n v="944"/>
    <s v="Tonja"/>
    <s v="Henderson"/>
    <s v="NULL"/>
    <s v="tonja.henderson@aol.com"/>
    <n v="335"/>
    <d v="2011-12-01T11:45:00"/>
    <n v="4"/>
    <n v="21"/>
    <s v="HAND WARMER UNION JACK"/>
    <s v="Debit Card"/>
    <n v="536514"/>
    <n v="22633"/>
    <n v="2.1"/>
    <n v="36"/>
    <n v="7.0000000000000007E-2"/>
    <x v="5"/>
    <n v="75.600000000000009"/>
    <n v="5.2920000000000007"/>
    <n v="70.308000000000007"/>
    <n v="2531.0880000000002"/>
  </r>
  <r>
    <n v="945"/>
    <s v="Krissy"/>
    <s v="Ochoa"/>
    <s v="NULL"/>
    <s v="krissy.ochoa@msn.com"/>
    <n v="336"/>
    <d v="2011-12-01T11:45:00"/>
    <n v="4"/>
    <n v="4"/>
    <s v="HAND WARMER SCOTTY DOG DESIGN"/>
    <s v="Debit Card"/>
    <n v="536514"/>
    <n v="22866"/>
    <n v="2.1"/>
    <n v="36"/>
    <n v="0.1"/>
    <x v="5"/>
    <n v="75.600000000000009"/>
    <n v="7.5600000000000014"/>
    <n v="68.040000000000006"/>
    <n v="2449.44"/>
  </r>
  <r>
    <n v="946"/>
    <s v="Angella"/>
    <s v="Bridges"/>
    <s v="NULL"/>
    <s v="angella.bridges@yahoo.com"/>
    <n v="336"/>
    <d v="2011-12-01T11:45:00"/>
    <n v="4"/>
    <n v="12"/>
    <s v="CLASSIC FRENCH STYLE BASKET NATURAL"/>
    <s v="Debit Card"/>
    <n v="536520"/>
    <n v="21794"/>
    <n v="6.75"/>
    <n v="1"/>
    <n v="0.2"/>
    <x v="5"/>
    <n v="6.75"/>
    <n v="1.35"/>
    <n v="5.4"/>
    <n v="5.4"/>
  </r>
  <r>
    <n v="947"/>
    <s v="Angele"/>
    <s v="Castro"/>
    <s v="NULL"/>
    <s v="angele.castro@yahoo.com"/>
    <n v="337"/>
    <d v="2011-12-01T11:45:00"/>
    <n v="4"/>
    <n v="18"/>
    <s v="CRAZY DAISY HEART DECORATION"/>
    <s v="Debit Card"/>
    <n v="536520"/>
    <n v="20707"/>
    <n v="1.25"/>
    <n v="1"/>
    <n v="0.05"/>
    <x v="5"/>
    <n v="1.25"/>
    <n v="6.25E-2"/>
    <n v="1.1875"/>
    <n v="1.1875"/>
  </r>
  <r>
    <n v="948"/>
    <s v="Siobhan"/>
    <s v="Lang"/>
    <s v="NULL"/>
    <s v="siobhan.lang@gmail.com"/>
    <n v="337"/>
    <d v="2011-12-01T11:45:00"/>
    <n v="4"/>
    <n v="4"/>
    <s v="GIN + TONIC DIET METAL SIGN"/>
    <s v="Debit Card"/>
    <n v="536520"/>
    <n v="21175"/>
    <n v="2.1"/>
    <n v="1"/>
    <n v="0.05"/>
    <x v="5"/>
    <n v="2.1"/>
    <n v="0.10500000000000001"/>
    <n v="1.9950000000000001"/>
    <n v="1.9950000000000001"/>
  </r>
  <r>
    <n v="949"/>
    <s v="Venessa"/>
    <s v="Frost"/>
    <s v="NULL"/>
    <s v="venessa.frost@msn.com"/>
    <n v="338"/>
    <d v="2011-12-01T11:45:00"/>
    <n v="4"/>
    <n v="6"/>
    <s v="IVORY GIANT GARDEN THERMOMETER"/>
    <s v="Debit Card"/>
    <n v="536520"/>
    <n v="22926"/>
    <n v="5.95"/>
    <n v="1"/>
    <n v="7.0000000000000007E-2"/>
    <x v="5"/>
    <n v="5.95"/>
    <n v="0.41650000000000004"/>
    <n v="5.5335000000000001"/>
    <n v="5.5335000000000001"/>
  </r>
  <r>
    <n v="950"/>
    <s v="Verna"/>
    <s v="Solis"/>
    <s v="(507) 115-1633"/>
    <s v="verna.solis@yahoo.com"/>
    <n v="338"/>
    <d v="2011-12-01T11:45:00"/>
    <n v="4"/>
    <n v="10"/>
    <s v="CARD HOLDER GINGHAM HEART"/>
    <s v="Debit Card"/>
    <n v="536520"/>
    <n v="22588"/>
    <n v="2.5499999999999998"/>
    <n v="2"/>
    <n v="7.0000000000000007E-2"/>
    <x v="5"/>
    <n v="5.0999999999999996"/>
    <n v="0.35699999999999998"/>
    <n v="4.7429999999999994"/>
    <n v="9.4859999999999989"/>
  </r>
  <r>
    <n v="951"/>
    <s v="Steve"/>
    <s v="Bender"/>
    <s v="NULL"/>
    <s v="steve.bender@gmail.com"/>
    <n v="338"/>
    <d v="2011-12-01T11:45:00"/>
    <n v="4"/>
    <n v="22"/>
    <s v="SMALL STRIPES CHOCOLATE GIFT BAG "/>
    <s v="Debit Card"/>
    <n v="536520"/>
    <n v="21292"/>
    <n v="0.85"/>
    <n v="16"/>
    <n v="0.1"/>
    <x v="5"/>
    <n v="13.6"/>
    <n v="1.36"/>
    <n v="12.24"/>
    <n v="195.84"/>
  </r>
  <r>
    <n v="952"/>
    <s v="Aileen"/>
    <s v="Marquez"/>
    <s v="NULL"/>
    <s v="aileen.marquez@msn.com"/>
    <n v="338"/>
    <d v="2011-12-01T11:45:00"/>
    <n v="4"/>
    <n v="11"/>
    <s v="S/6 WOODEN SKITTLES IN COTTON BAG"/>
    <s v="Debit Card"/>
    <n v="536520"/>
    <n v="21890"/>
    <n v="2.95"/>
    <n v="1"/>
    <n v="7.0000000000000007E-2"/>
    <x v="5"/>
    <n v="2.95"/>
    <n v="0.20650000000000004"/>
    <n v="2.7435"/>
    <n v="2.7435"/>
  </r>
  <r>
    <n v="953"/>
    <s v="Kattie"/>
    <s v="Stevenson"/>
    <s v="NULL"/>
    <s v="kattie.stevenson@aol.com"/>
    <n v="338"/>
    <d v="2011-12-01T11:45:00"/>
    <n v="4"/>
    <n v="9"/>
    <s v="HAND WARMER RED RETROSPOT"/>
    <s v="Debit Card"/>
    <n v="536520"/>
    <n v="22632"/>
    <n v="2.1"/>
    <n v="4"/>
    <n v="0.05"/>
    <x v="5"/>
    <n v="8.4"/>
    <n v="0.42000000000000004"/>
    <n v="7.98"/>
    <n v="31.92"/>
  </r>
  <r>
    <n v="954"/>
    <s v="Hassan"/>
    <s v="Nash"/>
    <s v="NULL"/>
    <s v="hassan.nash@yahoo.com"/>
    <n v="339"/>
    <d v="2011-12-01T11:45:00"/>
    <n v="4"/>
    <n v="13"/>
    <s v="HAND WARMER UNION JACK"/>
    <s v="Debit Card"/>
    <n v="536520"/>
    <n v="22633"/>
    <n v="2.1"/>
    <n v="3"/>
    <n v="0.1"/>
    <x v="5"/>
    <n v="6.3000000000000007"/>
    <n v="0.63000000000000012"/>
    <n v="5.6700000000000008"/>
    <n v="17.010000000000002"/>
  </r>
  <r>
    <n v="955"/>
    <s v="Delfina"/>
    <s v="Gilliam"/>
    <s v="NULL"/>
    <s v="delfina.gilliam@hotmail.com"/>
    <n v="339"/>
    <d v="2011-12-01T11:45:00"/>
    <n v="4"/>
    <n v="15"/>
    <s v="FRENCH WC SIGN BLUE METAL"/>
    <s v="Debit Card"/>
    <n v="536520"/>
    <n v="22670"/>
    <n v="1.25"/>
    <n v="1"/>
    <n v="0.05"/>
    <x v="5"/>
    <n v="1.25"/>
    <n v="6.25E-2"/>
    <n v="1.1875"/>
    <n v="1.1875"/>
  </r>
  <r>
    <n v="956"/>
    <s v="Venus"/>
    <s v="Hewitt"/>
    <s v="NULL"/>
    <s v="venus.hewitt@msn.com"/>
    <n v="340"/>
    <d v="2011-12-01T11:45:00"/>
    <n v="4"/>
    <n v="11"/>
    <s v="PINK UNION JACK  LUGGAGE TAG"/>
    <s v="Debit Card"/>
    <n v="536520"/>
    <n v="21867"/>
    <n v="1.25"/>
    <n v="1"/>
    <n v="0.05"/>
    <x v="5"/>
    <n v="1.25"/>
    <n v="6.25E-2"/>
    <n v="1.1875"/>
    <n v="1.1875"/>
  </r>
  <r>
    <n v="957"/>
    <s v="Stephen"/>
    <s v="Vega"/>
    <s v="(657) 288-3778"/>
    <s v="stephen.vega@msn.com"/>
    <n v="340"/>
    <d v="2011-12-01T11:45:00"/>
    <n v="4"/>
    <n v="24"/>
    <s v="TRAY, BREAKFAST IN BED"/>
    <s v="Debit Card"/>
    <n v="536520"/>
    <n v="22760"/>
    <n v="12.75"/>
    <n v="1"/>
    <n v="0.05"/>
    <x v="5"/>
    <n v="12.75"/>
    <n v="0.63750000000000007"/>
    <n v="12.112500000000001"/>
    <n v="12.112500000000001"/>
  </r>
  <r>
    <n v="958"/>
    <s v="Ciera"/>
    <s v="Koch"/>
    <s v="NULL"/>
    <s v="ciera.koch@gmail.com"/>
    <n v="340"/>
    <d v="2011-12-01T11:45:00"/>
    <n v="4"/>
    <n v="13"/>
    <s v="PIZZA PLATE IN BOX"/>
    <s v="Debit Card"/>
    <n v="536520"/>
    <n v="22107"/>
    <n v="3.75"/>
    <n v="2"/>
    <n v="0.1"/>
    <x v="5"/>
    <n v="7.5"/>
    <n v="0.75"/>
    <n v="6.75"/>
    <n v="13.5"/>
  </r>
  <r>
    <n v="959"/>
    <s v="Christel"/>
    <s v="Barber"/>
    <s v="(916) 679-3547"/>
    <s v="christel.barber@hotmail.com"/>
    <n v="340"/>
    <d v="2011-12-01T11:45:00"/>
    <n v="4"/>
    <n v="12"/>
    <s v="HEART OF WICKER LARGE"/>
    <s v="Debit Card"/>
    <n v="536520"/>
    <n v="22470"/>
    <n v="2.95"/>
    <n v="1"/>
    <n v="7.0000000000000007E-2"/>
    <x v="5"/>
    <n v="2.95"/>
    <n v="0.20650000000000004"/>
    <n v="2.7435"/>
    <n v="2.7435"/>
  </r>
  <r>
    <n v="960"/>
    <s v="Arline"/>
    <s v="Lawson"/>
    <s v="(516) 792-3395"/>
    <s v="arline.lawson@gmail.com"/>
    <n v="340"/>
    <d v="2011-12-01T11:45:00"/>
    <n v="4"/>
    <n v="10"/>
    <s v="PINK HEART DOTS HOT WATER BOTTLE"/>
    <s v="Debit Card"/>
    <n v="536520"/>
    <n v="21486"/>
    <n v="3.75"/>
    <n v="1"/>
    <n v="0.1"/>
    <x v="5"/>
    <n v="3.75"/>
    <n v="0.375"/>
    <n v="3.375"/>
    <n v="3.375"/>
  </r>
  <r>
    <n v="961"/>
    <s v="Iva"/>
    <s v="Wilcox"/>
    <s v="NULL"/>
    <s v="iva.wilcox@aol.com"/>
    <n v="341"/>
    <d v="2011-12-01T11:45:00"/>
    <n v="4"/>
    <n v="23"/>
    <s v="PLACE SETTING WHITE HEART"/>
    <s v="Debit Card"/>
    <n v="536520"/>
    <n v="22151"/>
    <n v="0.42"/>
    <n v="14"/>
    <n v="0.05"/>
    <x v="5"/>
    <n v="5.88"/>
    <n v="0.29399999999999998"/>
    <n v="5.5860000000000003"/>
    <n v="78.204000000000008"/>
  </r>
  <r>
    <n v="962"/>
    <s v="Maple"/>
    <s v="Griffin"/>
    <s v="NULL"/>
    <s v="maple.griffin@gmail.com"/>
    <n v="342"/>
    <d v="2011-12-01T11:45:00"/>
    <n v="4"/>
    <n v="26"/>
    <s v="SET OF 4 NAPKIN CHARMS LEAVES   "/>
    <s v="Debit Card"/>
    <n v="536520"/>
    <n v="22643"/>
    <n v="2.5499999999999998"/>
    <n v="4"/>
    <n v="7.0000000000000007E-2"/>
    <x v="5"/>
    <n v="10.199999999999999"/>
    <n v="0.71399999999999997"/>
    <n v="9.4859999999999989"/>
    <n v="37.943999999999996"/>
  </r>
  <r>
    <n v="963"/>
    <s v="Anisha"/>
    <s v="Lang"/>
    <s v="NULL"/>
    <s v="anisha.lang@aol.com"/>
    <n v="342"/>
    <d v="2011-12-01T11:45:00"/>
    <n v="4"/>
    <n v="9"/>
    <s v="SET OF 4 NAPKIN CHARMS STARS   "/>
    <s v="Debit Card"/>
    <n v="536520"/>
    <n v="22642"/>
    <n v="2.5499999999999998"/>
    <n v="4"/>
    <n v="0.2"/>
    <x v="5"/>
    <n v="10.199999999999999"/>
    <n v="2.04"/>
    <n v="8.16"/>
    <n v="32.64"/>
  </r>
  <r>
    <n v="964"/>
    <s v="Brent"/>
    <s v="Calderon"/>
    <s v="(361) 981-8725"/>
    <s v="brent.calderon@aol.com"/>
    <n v="342"/>
    <d v="2011-12-01T11:45:00"/>
    <n v="4"/>
    <n v="16"/>
    <s v="SET OF 4 NAPKIN CHARMS CUTLERY"/>
    <s v="Debit Card"/>
    <n v="536520"/>
    <n v="22604"/>
    <n v="2.5499999999999998"/>
    <n v="3"/>
    <n v="0.1"/>
    <x v="5"/>
    <n v="7.6499999999999995"/>
    <n v="0.76500000000000001"/>
    <n v="6.8849999999999998"/>
    <n v="20.655000000000001"/>
  </r>
  <r>
    <n v="965"/>
    <s v="Margit"/>
    <s v="Osborn"/>
    <s v="NULL"/>
    <s v="margit.osborn@yahoo.com"/>
    <n v="343"/>
    <d v="2011-12-01T11:45:00"/>
    <n v="4"/>
    <n v="20"/>
    <s v="CARAVAN SQUARE TISSUE BOX"/>
    <s v="Debit Card"/>
    <n v="536520"/>
    <n v="22099"/>
    <n v="1.25"/>
    <n v="2"/>
    <n v="0.2"/>
    <x v="5"/>
    <n v="2.5"/>
    <n v="0.5"/>
    <n v="2"/>
    <n v="4"/>
  </r>
  <r>
    <n v="966"/>
    <s v="Novella"/>
    <s v="Patel"/>
    <s v="NULL"/>
    <s v="novella.patel@gmail.com"/>
    <n v="343"/>
    <d v="2011-12-01T11:45:00"/>
    <n v="4"/>
    <n v="25"/>
    <s v="PLASTERS IN TIN SKULLS"/>
    <s v="Debit Card"/>
    <n v="536520"/>
    <n v="22553"/>
    <n v="1.65"/>
    <n v="1"/>
    <n v="0.05"/>
    <x v="5"/>
    <n v="1.65"/>
    <n v="8.2500000000000004E-2"/>
    <n v="1.5674999999999999"/>
    <n v="1.5674999999999999"/>
  </r>
  <r>
    <n v="967"/>
    <s v="Laurette"/>
    <s v="Hebert"/>
    <s v="NULL"/>
    <s v="laurette.hebert@msn.com"/>
    <n v="343"/>
    <d v="2011-12-01T11:45:00"/>
    <n v="4"/>
    <n v="5"/>
    <s v="PLASTERS IN TIN SPACEBOY"/>
    <s v="Credit Card "/>
    <n v="536520"/>
    <n v="22551"/>
    <n v="1.65"/>
    <n v="1"/>
    <n v="0.05"/>
    <x v="0"/>
    <n v="1.65"/>
    <n v="8.2500000000000004E-2"/>
    <n v="1.5674999999999999"/>
    <n v="1.5674999999999999"/>
  </r>
  <r>
    <n v="968"/>
    <s v="Jonna"/>
    <s v="Brown"/>
    <s v="NULL"/>
    <s v="jonna.brown@aol.com"/>
    <n v="343"/>
    <d v="2011-12-01T11:45:00"/>
    <n v="4"/>
    <n v="10"/>
    <s v="BUTTON BOX "/>
    <s v="Credit Card "/>
    <n v="536520"/>
    <n v="22653"/>
    <n v="1.95"/>
    <n v="1"/>
    <n v="0.1"/>
    <x v="0"/>
    <n v="1.95"/>
    <n v="0.19500000000000001"/>
    <n v="1.7549999999999999"/>
    <n v="1.7549999999999999"/>
  </r>
  <r>
    <n v="969"/>
    <s v="Jennell"/>
    <s v="Solis"/>
    <s v="(507) 421-7354"/>
    <s v="jennell.solis@hotmail.com"/>
    <n v="344"/>
    <d v="2011-12-01T11:45:00"/>
    <n v="4"/>
    <n v="22"/>
    <s v="PLASTERS IN TIN VINTAGE PAISLEY "/>
    <s v="Credit Card "/>
    <n v="536520"/>
    <n v="22557"/>
    <n v="1.65"/>
    <n v="2"/>
    <n v="0.05"/>
    <x v="0"/>
    <n v="3.3"/>
    <n v="0.16500000000000001"/>
    <n v="3.1349999999999998"/>
    <n v="6.27"/>
  </r>
  <r>
    <n v="970"/>
    <s v="Ruth"/>
    <s v="Horton"/>
    <s v="NULL"/>
    <s v="ruth.horton@gmail.com"/>
    <n v="344"/>
    <d v="2011-12-01T11:45:00"/>
    <n v="4"/>
    <n v="18"/>
    <s v="12 MESSAGE CARDS WITH ENVELOPES"/>
    <s v="Credit Card "/>
    <n v="536520"/>
    <n v="22906"/>
    <n v="1.65"/>
    <n v="6"/>
    <n v="7.0000000000000007E-2"/>
    <x v="0"/>
    <n v="9.8999999999999986"/>
    <n v="0.69299999999999995"/>
    <n v="9.206999999999999"/>
    <n v="55.24199999999999"/>
  </r>
  <r>
    <n v="971"/>
    <s v="Samual"/>
    <s v="Warner"/>
    <s v="(631) 151-4988"/>
    <s v="samual.warner@gmail.com"/>
    <n v="344"/>
    <d v="2011-12-01T11:45:00"/>
    <n v="4"/>
    <n v="14"/>
    <s v="SMALL RED BABUSHKA NOTEBOOK "/>
    <s v="Credit Card "/>
    <n v="536520"/>
    <n v="22754"/>
    <n v="0.85"/>
    <n v="1"/>
    <n v="0.2"/>
    <x v="0"/>
    <n v="0.85"/>
    <n v="0.17"/>
    <n v="0.67999999999999994"/>
    <n v="0.67999999999999994"/>
  </r>
  <r>
    <n v="972"/>
    <s v="Damian"/>
    <s v="Mills"/>
    <s v="(562) 924-3079"/>
    <s v="damian.mills@yahoo.com"/>
    <n v="345"/>
    <d v="2011-12-01T11:45:00"/>
    <n v="4"/>
    <n v="18"/>
    <s v="CUPCAKE LACE PAPER SET 6"/>
    <s v="Credit Card "/>
    <n v="536520"/>
    <n v="22938"/>
    <n v="1.95"/>
    <n v="5"/>
    <n v="0.1"/>
    <x v="0"/>
    <n v="9.75"/>
    <n v="0.97500000000000009"/>
    <n v="8.7750000000000004"/>
    <n v="43.875"/>
  </r>
  <r>
    <n v="973"/>
    <s v="Margaretta"/>
    <s v="Clayton"/>
    <s v="NULL"/>
    <s v="margaretta.clayton@yahoo.com"/>
    <n v="345"/>
    <d v="2011-12-01T11:45:00"/>
    <n v="4"/>
    <n v="24"/>
    <s v="PACK 3 BOXES CHRISTMAS PANNETONE"/>
    <s v="Credit Card "/>
    <n v="536520"/>
    <n v="22812"/>
    <n v="1.95"/>
    <n v="3"/>
    <n v="7.0000000000000007E-2"/>
    <x v="0"/>
    <n v="5.85"/>
    <n v="0.40950000000000003"/>
    <n v="5.4404999999999992"/>
    <n v="16.321499999999997"/>
  </r>
  <r>
    <n v="974"/>
    <s v="Marcell"/>
    <s v="Barrett"/>
    <s v="NULL"/>
    <s v="marcell.barrett@gmail.com"/>
    <n v="346"/>
    <d v="2011-12-01T11:45:00"/>
    <n v="4"/>
    <n v="13"/>
    <s v="HERB MARKER MINT"/>
    <s v="Credit Card "/>
    <n v="536520"/>
    <n v="22919"/>
    <n v="0.65"/>
    <n v="2"/>
    <n v="7.0000000000000007E-2"/>
    <x v="0"/>
    <n v="1.3"/>
    <n v="9.1000000000000011E-2"/>
    <n v="1.2090000000000001"/>
    <n v="2.4180000000000001"/>
  </r>
  <r>
    <n v="975"/>
    <s v="Annis"/>
    <s v="Sanchez"/>
    <s v="(424) 352-6275"/>
    <s v="annis.sanchez@aol.com"/>
    <n v="346"/>
    <d v="2011-12-01T11:45:00"/>
    <n v="4"/>
    <n v="23"/>
    <s v="HERB MARKER ROSEMARY"/>
    <s v="Credit Card "/>
    <n v="536520"/>
    <n v="22917"/>
    <n v="0.65"/>
    <n v="1"/>
    <n v="0.2"/>
    <x v="0"/>
    <n v="0.65"/>
    <n v="0.13"/>
    <n v="0.52"/>
    <n v="0.52"/>
  </r>
  <r>
    <n v="976"/>
    <s v="Ayanna"/>
    <s v="Cherry"/>
    <s v="NULL"/>
    <s v="ayanna.cherry@yahoo.com"/>
    <n v="346"/>
    <d v="2011-12-01T11:45:00"/>
    <n v="4"/>
    <n v="21"/>
    <s v="HERB MARKER BASIL"/>
    <s v="Credit Card "/>
    <n v="536520"/>
    <n v="22920"/>
    <n v="0.65"/>
    <n v="3"/>
    <n v="0.1"/>
    <x v="0"/>
    <n v="1.9500000000000002"/>
    <n v="0.19500000000000003"/>
    <n v="1.7550000000000001"/>
    <n v="5.2650000000000006"/>
  </r>
  <r>
    <n v="977"/>
    <s v="Barton"/>
    <s v="Cox"/>
    <s v="NULL"/>
    <s v="barton.cox@yahoo.com"/>
    <n v="346"/>
    <d v="2011-12-01T11:45:00"/>
    <n v="4"/>
    <n v="15"/>
    <s v="HERB MARKER CHIVES "/>
    <s v="Credit Card "/>
    <n v="536520"/>
    <n v="22921"/>
    <n v="0.65"/>
    <n v="2"/>
    <n v="0.05"/>
    <x v="0"/>
    <n v="1.3"/>
    <n v="6.5000000000000002E-2"/>
    <n v="1.2350000000000001"/>
    <n v="2.4700000000000002"/>
  </r>
  <r>
    <n v="978"/>
    <s v="Diana"/>
    <s v="Reyes"/>
    <s v="NULL"/>
    <s v="diana.reyes@msn.com"/>
    <n v="346"/>
    <d v="2011-12-01T11:45:00"/>
    <n v="4"/>
    <n v="18"/>
    <s v="HERB MARKER PARSLEY"/>
    <s v="Credit Card "/>
    <n v="536520"/>
    <n v="22918"/>
    <n v="0.65"/>
    <n v="2"/>
    <n v="0.05"/>
    <x v="0"/>
    <n v="1.3"/>
    <n v="6.5000000000000002E-2"/>
    <n v="1.2350000000000001"/>
    <n v="2.4700000000000002"/>
  </r>
  <r>
    <n v="979"/>
    <s v="Ingeborg"/>
    <s v="Ellison"/>
    <s v="NULL"/>
    <s v="ingeborg.ellison@yahoo.com"/>
    <n v="347"/>
    <d v="2011-12-01T11:45:00"/>
    <n v="4"/>
    <n v="23"/>
    <s v="HERB MARKER THYME"/>
    <s v="Credit Card "/>
    <n v="536520"/>
    <n v="22916"/>
    <n v="0.65"/>
    <n v="1"/>
    <n v="7.0000000000000007E-2"/>
    <x v="0"/>
    <n v="0.65"/>
    <n v="4.5500000000000006E-2"/>
    <n v="0.60450000000000004"/>
    <n v="0.60450000000000004"/>
  </r>
  <r>
    <n v="980"/>
    <s v="Carter"/>
    <s v="Booth"/>
    <s v="NULL"/>
    <s v="carter.booth@msn.com"/>
    <n v="348"/>
    <d v="2011-12-01T11:45:00"/>
    <n v="4"/>
    <n v="5"/>
    <s v="WHITE HANGING HEART T-LIGHT HOLDER"/>
    <s v="Credit Card "/>
    <n v="536520"/>
    <s v="85123A"/>
    <n v="2.95"/>
    <n v="3"/>
    <n v="0.05"/>
    <x v="0"/>
    <n v="8.8500000000000014"/>
    <n v="0.44250000000000012"/>
    <n v="8.4075000000000006"/>
    <n v="25.222500000000004"/>
  </r>
  <r>
    <n v="981"/>
    <s v="Christel"/>
    <s v="Cardenas"/>
    <s v="(562) 342-8083"/>
    <s v="christel.cardenas@aol.com"/>
    <n v="348"/>
    <d v="2011-12-01T11:45:00"/>
    <n v="4"/>
    <n v="15"/>
    <s v="METAL MERRY CHRISTMAS WREATH"/>
    <s v="Credit Card "/>
    <n v="536520"/>
    <n v="22575"/>
    <n v="1.95"/>
    <n v="1"/>
    <n v="7.0000000000000007E-2"/>
    <x v="0"/>
    <n v="1.95"/>
    <n v="0.13650000000000001"/>
    <n v="1.8134999999999999"/>
    <n v="1.8134999999999999"/>
  </r>
  <r>
    <n v="982"/>
    <s v="Orval"/>
    <s v="Hunter"/>
    <s v="NULL"/>
    <s v="orval.hunter@aol.com"/>
    <n v="349"/>
    <d v="2011-12-01T11:45:00"/>
    <n v="4"/>
    <n v="20"/>
    <s v="WHITE CHRISTMAS GARLAND STARS TREES"/>
    <s v="Credit Card "/>
    <n v="536520"/>
    <n v="21804"/>
    <n v="3.75"/>
    <n v="3"/>
    <n v="0.2"/>
    <x v="0"/>
    <n v="11.25"/>
    <n v="2.25"/>
    <n v="9"/>
    <n v="27"/>
  </r>
  <r>
    <n v="983"/>
    <s v="Marguerite"/>
    <s v="Berger"/>
    <s v="NULL"/>
    <s v="marguerite.berger@aol.com"/>
    <n v="350"/>
    <d v="2011-12-01T11:45:00"/>
    <n v="4"/>
    <n v="6"/>
    <s v="RETROSPOT SMALL TUBE MATCHES"/>
    <s v="Credit Card "/>
    <n v="536520"/>
    <n v="21584"/>
    <n v="1.65"/>
    <n v="12"/>
    <n v="0.05"/>
    <x v="0"/>
    <n v="19.799999999999997"/>
    <n v="0.98999999999999988"/>
    <n v="18.809999999999999"/>
    <n v="225.71999999999997"/>
  </r>
  <r>
    <n v="984"/>
    <s v="Ivette"/>
    <s v="Warren"/>
    <s v="NULL"/>
    <s v="ivette.warren@gmail.com"/>
    <n v="350"/>
    <d v="2011-12-01T11:45:00"/>
    <n v="4"/>
    <n v="20"/>
    <s v="RETROSPOT GIANT TUBE MATCHES"/>
    <s v="Credit Card "/>
    <n v="536520"/>
    <n v="21588"/>
    <n v="2.5499999999999998"/>
    <n v="3"/>
    <n v="7.0000000000000007E-2"/>
    <x v="0"/>
    <n v="7.6499999999999995"/>
    <n v="0.53549999999999998"/>
    <n v="7.1144999999999996"/>
    <n v="21.343499999999999"/>
  </r>
  <r>
    <n v="985"/>
    <s v="Milagros"/>
    <s v="Weber"/>
    <s v="NULL"/>
    <s v="milagros.weber@hotmail.com"/>
    <n v="350"/>
    <d v="2011-12-01T11:45:00"/>
    <n v="4"/>
    <n v="3"/>
    <s v="PLACE SETTING WHITE STAR"/>
    <s v="Credit Card "/>
    <n v="536520"/>
    <n v="22152"/>
    <n v="0.42"/>
    <n v="12"/>
    <n v="7.0000000000000007E-2"/>
    <x v="0"/>
    <n v="5.04"/>
    <n v="0.35280000000000006"/>
    <n v="4.6871999999999998"/>
    <n v="56.246399999999994"/>
  </r>
  <r>
    <n v="986"/>
    <s v="Marcel"/>
    <s v="Lindsay"/>
    <s v="NULL"/>
    <s v="marcel.lindsay@hotmail.com"/>
    <n v="351"/>
    <d v="2011-12-01T11:45:00"/>
    <n v="4"/>
    <n v="4"/>
    <s v="GROW YOUR OWN BASIL IN ENAMEL MUG"/>
    <s v="Credit Card "/>
    <n v="536520"/>
    <n v="22441"/>
    <n v="2.1"/>
    <n v="1"/>
    <n v="0.05"/>
    <x v="0"/>
    <n v="2.1"/>
    <n v="0.10500000000000001"/>
    <n v="1.9950000000000001"/>
    <n v="1.9950000000000001"/>
  </r>
  <r>
    <n v="987"/>
    <s v="Louis"/>
    <s v="Powell"/>
    <s v="NULL"/>
    <s v="louis.powell@aol.com"/>
    <n v="351"/>
    <d v="2011-12-01T11:45:00"/>
    <n v="3"/>
    <n v="24"/>
    <s v="36 FOIL STAR CAKE CASES "/>
    <s v="Credit Card "/>
    <n v="536520"/>
    <n v="22955"/>
    <n v="2.1"/>
    <n v="200"/>
    <n v="0.1"/>
    <x v="4"/>
    <n v="420"/>
    <n v="42"/>
    <n v="378"/>
    <n v="75600"/>
  </r>
  <r>
    <n v="988"/>
    <s v="Vanda"/>
    <s v="Holmes"/>
    <s v="NULL"/>
    <s v="vanda.holmes@aol.com"/>
    <n v="351"/>
    <d v="2011-12-01T11:45:00"/>
    <n v="3"/>
    <n v="20"/>
    <s v="36 FOIL HEART CAKE CASES"/>
    <s v="Credit Card "/>
    <n v="536520"/>
    <n v="22956"/>
    <n v="2.1"/>
    <n v="300"/>
    <n v="0.2"/>
    <x v="4"/>
    <n v="630"/>
    <n v="126"/>
    <n v="504"/>
    <n v="151200"/>
  </r>
  <r>
    <n v="989"/>
    <s v="Loreen"/>
    <s v="Byers"/>
    <s v="NULL"/>
    <s v="loreen.byers@yahoo.com"/>
    <n v="351"/>
    <d v="2011-12-01T11:45:00"/>
    <n v="3"/>
    <n v="22"/>
    <s v="PACK OF 6 SWEETIE GIFT BOXES"/>
    <s v="Credit Card "/>
    <n v="536520"/>
    <n v="22582"/>
    <n v="2.5499999999999998"/>
    <n v="100"/>
    <n v="7.0000000000000007E-2"/>
    <x v="4"/>
    <n v="254.99999999999997"/>
    <n v="17.850000000000001"/>
    <n v="237.14999999999998"/>
    <n v="23714.999999999996"/>
  </r>
  <r>
    <n v="990"/>
    <s v="Casimira"/>
    <s v="Chapman"/>
    <s v="NULL"/>
    <s v="casimira.chapman@yahoo.com"/>
    <n v="352"/>
    <d v="2011-12-01T11:45:00"/>
    <n v="3"/>
    <n v="11"/>
    <s v="PACK OF 6 HANDBAG GIFT BOXES"/>
    <s v="Credit Card "/>
    <n v="536520"/>
    <n v="22583"/>
    <n v="2.5499999999999998"/>
    <n v="200"/>
    <n v="0.2"/>
    <x v="4"/>
    <n v="509.99999999999994"/>
    <n v="102"/>
    <n v="407.99999999999994"/>
    <n v="81599.999999999985"/>
  </r>
  <r>
    <n v="991"/>
    <s v="Brigida"/>
    <s v="Larson"/>
    <s v="NULL"/>
    <s v="brigida.larson@hotmail.com"/>
    <n v="352"/>
    <d v="2011-12-01T11:45:00"/>
    <n v="3"/>
    <n v="14"/>
    <s v="GARLAND WOODEN HAPPY EASTER"/>
    <s v="Credit Card "/>
    <n v="536520"/>
    <n v="22241"/>
    <n v="1.25"/>
    <n v="100"/>
    <n v="0.2"/>
    <x v="4"/>
    <n v="125"/>
    <n v="25"/>
    <n v="100"/>
    <n v="10000"/>
  </r>
  <r>
    <n v="992"/>
    <s v="Chere"/>
    <s v="Alston"/>
    <s v="NULL"/>
    <s v="chere.alston@gmail.com"/>
    <n v="353"/>
    <d v="2011-12-01T11:45:00"/>
    <n v="3"/>
    <n v="2"/>
    <s v="CALENDAR PAPER CUT DESIGN"/>
    <s v="Credit Card "/>
    <n v="536520"/>
    <n v="22904"/>
    <n v="2.95"/>
    <n v="100"/>
    <n v="0.2"/>
    <x v="4"/>
    <n v="295"/>
    <n v="59"/>
    <n v="236"/>
    <n v="23600"/>
  </r>
  <r>
    <n v="993"/>
    <s v="Giovanna"/>
    <s v="Jefferson"/>
    <s v="NULL"/>
    <s v="giovanna.jefferson@gmail.com"/>
    <n v="354"/>
    <d v="2011-12-01T11:45:00"/>
    <n v="3"/>
    <n v="21"/>
    <s v="CALENDAR IN SEASON DESIGN"/>
    <s v="Credit Card "/>
    <n v="536520"/>
    <n v="22905"/>
    <n v="2.95"/>
    <n v="100"/>
    <n v="0.2"/>
    <x v="4"/>
    <n v="295"/>
    <n v="59"/>
    <n v="236"/>
    <n v="23600"/>
  </r>
  <r>
    <n v="994"/>
    <s v="Demarcus"/>
    <s v="Reese"/>
    <s v="NULL"/>
    <s v="demarcus.reese@gmail.com"/>
    <n v="354"/>
    <d v="2011-12-01T11:45:00"/>
    <n v="3"/>
    <n v="19"/>
    <s v="SMALL POPCORN HOLDER"/>
    <s v="Amazon Pay"/>
    <n v="536520"/>
    <n v="22197"/>
    <n v="0.85"/>
    <n v="100"/>
    <n v="0.05"/>
    <x v="4"/>
    <n v="85"/>
    <n v="4.25"/>
    <n v="80.75"/>
    <n v="8075"/>
  </r>
  <r>
    <n v="995"/>
    <s v="Amina"/>
    <s v="Salazar"/>
    <s v="NULL"/>
    <s v="amina.salazar@aol.com"/>
    <n v="355"/>
    <d v="2011-12-01T11:45:00"/>
    <n v="3"/>
    <n v="16"/>
    <s v="BLUE PAISLEY TISSUE BOX"/>
    <s v="Amazon Pay"/>
    <n v="536520"/>
    <n v="22092"/>
    <n v="1.25"/>
    <n v="100"/>
    <n v="0.1"/>
    <x v="4"/>
    <n v="125"/>
    <n v="12.5"/>
    <n v="112.5"/>
    <n v="11250"/>
  </r>
  <r>
    <n v="996"/>
    <s v="Serafina"/>
    <s v="Clemons"/>
    <s v="NULL"/>
    <s v="serafina.clemons@gmail.com"/>
    <n v="355"/>
    <d v="2011-12-01T11:45:00"/>
    <n v="3"/>
    <n v="14"/>
    <s v="HEART OF WICKER SMALL"/>
    <s v="Amazon Pay"/>
    <n v="536520"/>
    <n v="22469"/>
    <n v="1.65"/>
    <n v="100"/>
    <n v="7.0000000000000007E-2"/>
    <x v="4"/>
    <n v="165"/>
    <n v="11.55"/>
    <n v="153.44999999999999"/>
    <n v="15344.999999999998"/>
  </r>
  <r>
    <n v="997"/>
    <s v="Trinidad"/>
    <s v="Mcclain"/>
    <s v="NULL"/>
    <s v="trinidad.mcclain@msn.com"/>
    <n v="356"/>
    <d v="2011-12-01T11:45:00"/>
    <n v="3"/>
    <n v="23"/>
    <s v="SKULLS SQUARE TISSUE BOX"/>
    <s v="Amazon Pay"/>
    <n v="536520"/>
    <n v="22100"/>
    <n v="1.25"/>
    <n v="100"/>
    <n v="0.05"/>
    <x v="4"/>
    <n v="125"/>
    <n v="6.25"/>
    <n v="118.75"/>
    <n v="11875"/>
  </r>
  <r>
    <n v="998"/>
    <s v="Heather"/>
    <s v="Chaney"/>
    <s v="NULL"/>
    <s v="heather.chaney@yahoo.com"/>
    <n v="356"/>
    <d v="2011-12-01T11:45:00"/>
    <n v="3"/>
    <n v="4"/>
    <s v="PINK PAISLEY SQUARE TISSUE BOX "/>
    <s v="Amazon Pay"/>
    <n v="536520"/>
    <n v="22096"/>
    <n v="1.25"/>
    <n v="100"/>
    <n v="0.05"/>
    <x v="4"/>
    <n v="125"/>
    <n v="6.25"/>
    <n v="118.75"/>
    <n v="11875"/>
  </r>
  <r>
    <n v="999"/>
    <s v="Latoya"/>
    <s v="Johns"/>
    <s v="NULL"/>
    <s v="latoya.johns@hotmail.com"/>
    <n v="356"/>
    <d v="2011-12-01T11:45:00"/>
    <n v="3"/>
    <n v="13"/>
    <s v="PACK OF 6 HANDBAG GIFT BOXES"/>
    <s v="Credit Card "/>
    <n v="536520"/>
    <n v="22583"/>
    <n v="2.5499999999999998"/>
    <n v="1"/>
    <n v="0.05"/>
    <x v="4"/>
    <n v="2.5499999999999998"/>
    <n v="0.1275"/>
    <n v="2.4224999999999999"/>
    <n v="2.4224999999999999"/>
  </r>
  <r>
    <n v="1000"/>
    <s v="Shiloh"/>
    <s v="Reeves"/>
    <s v="NULL"/>
    <s v="shiloh.reeves@msn.com"/>
    <n v="357"/>
    <d v="2012-12-01T12:43:00"/>
    <n v="3"/>
    <n v="17"/>
    <s v="TOAST ITS - HAPPY BIRTHDAY"/>
    <s v="Credit Card "/>
    <n v="536520"/>
    <n v="21358"/>
    <n v="1.25"/>
    <n v="2"/>
    <n v="0.05"/>
    <x v="4"/>
    <n v="2.5"/>
    <n v="0.125"/>
    <n v="2.375"/>
    <n v="4.75"/>
  </r>
  <r>
    <n v="1001"/>
    <s v="Lee"/>
    <s v="Roman"/>
    <s v="(631) 913-6967"/>
    <s v="lee.roman@gmail.com"/>
    <n v="357"/>
    <d v="2012-12-01T12:43:00"/>
    <n v="3"/>
    <n v="21"/>
    <s v="SET/10 IVORY POLKADOT PARTY CANDLES"/>
    <s v="Credit Card "/>
    <n v="536520"/>
    <n v="21123"/>
    <n v="1.25"/>
    <n v="1"/>
    <n v="7.0000000000000007E-2"/>
    <x v="4"/>
    <n v="1.25"/>
    <n v="8.7500000000000008E-2"/>
    <n v="1.1625000000000001"/>
    <n v="1.1625000000000001"/>
  </r>
  <r>
    <n v="1002"/>
    <s v="Cami"/>
    <s v="Williamson"/>
    <s v="NULL"/>
    <s v="cami.williamson@hotmail.com"/>
    <n v="357"/>
    <d v="2012-12-01T12:43:00"/>
    <n v="4"/>
    <n v="24"/>
    <s v="SET/10 BLUE POLKADOT PARTY CANDLES"/>
    <s v="Credit Card "/>
    <n v="536520"/>
    <n v="21124"/>
    <n v="1.25"/>
    <n v="1"/>
    <n v="7.0000000000000007E-2"/>
    <x v="4"/>
    <n v="1.25"/>
    <n v="8.7500000000000008E-2"/>
    <n v="1.1625000000000001"/>
    <n v="1.1625000000000001"/>
  </r>
  <r>
    <n v="1003"/>
    <s v="Sharell"/>
    <s v="Ross"/>
    <s v="NULL"/>
    <s v="sharell.ross@msn.com"/>
    <n v="357"/>
    <d v="2012-12-01T12:43:00"/>
    <n v="4"/>
    <n v="9"/>
    <s v="SET/10 PINK POLKADOT PARTY CANDLES"/>
    <s v="Credit Card "/>
    <n v="536520"/>
    <n v="21122"/>
    <n v="1.25"/>
    <n v="1"/>
    <n v="0.05"/>
    <x v="4"/>
    <n v="1.25"/>
    <n v="6.25E-2"/>
    <n v="1.1875"/>
    <n v="1.1875"/>
  </r>
  <r>
    <n v="1004"/>
    <s v="Jerald"/>
    <s v="Blackwell"/>
    <s v="NULL"/>
    <s v="jerald.blackwell@hotmail.com"/>
    <n v="358"/>
    <d v="2012-12-01T12:43:00"/>
    <n v="4"/>
    <n v="21"/>
    <s v="SET OF 3 HEART COOKIE CUTTERS"/>
    <s v="Credit Card "/>
    <n v="536520"/>
    <n v="84378"/>
    <n v="1.25"/>
    <n v="1"/>
    <n v="0.1"/>
    <x v="4"/>
    <n v="1.25"/>
    <n v="0.125"/>
    <n v="1.125"/>
    <n v="1.125"/>
  </r>
  <r>
    <n v="1005"/>
    <s v="Ruthanne"/>
    <s v="Franco"/>
    <s v="NULL"/>
    <s v="ruthanne.franco@yahoo.com"/>
    <n v="358"/>
    <d v="2012-12-01T12:43:00"/>
    <n v="4"/>
    <n v="6"/>
    <s v="PACK OF 12 HEARTS DESIGN TISSUES "/>
    <s v="Credit Card "/>
    <n v="536520"/>
    <n v="21985"/>
    <n v="0.28999999999999998"/>
    <n v="12"/>
    <n v="7.0000000000000007E-2"/>
    <x v="4"/>
    <n v="3.4799999999999995"/>
    <n v="0.24359999999999998"/>
    <n v="3.2363999999999997"/>
    <n v="38.836799999999997"/>
  </r>
  <r>
    <n v="1006"/>
    <s v="Marjory"/>
    <s v="Leonard"/>
    <s v="NULL"/>
    <s v="marjory.leonard@msn.com"/>
    <n v="358"/>
    <d v="2012-12-01T12:43:00"/>
    <n v="4"/>
    <n v="8"/>
    <s v="SKULLS STORAGE BOX SMALL"/>
    <s v="Credit Card "/>
    <n v="536520"/>
    <n v="21427"/>
    <n v="2.1"/>
    <n v="2"/>
    <n v="0.05"/>
    <x v="4"/>
    <n v="4.2"/>
    <n v="0.21000000000000002"/>
    <n v="3.99"/>
    <n v="7.98"/>
  </r>
  <r>
    <n v="1007"/>
    <s v="Jimmy"/>
    <s v="Russell"/>
    <s v="NULL"/>
    <s v="jimmy.russell@hotmail.com"/>
    <n v="358"/>
    <d v="2012-12-01T12:43:00"/>
    <n v="4"/>
    <n v="18"/>
    <s v="REX CASH+CARRY JUMBO SHOPPER"/>
    <s v="Credit Card "/>
    <n v="536520"/>
    <n v="21034"/>
    <n v="0.95"/>
    <n v="2"/>
    <n v="0.1"/>
    <x v="4"/>
    <n v="1.9"/>
    <n v="0.19"/>
    <n v="1.71"/>
    <n v="3.42"/>
  </r>
  <r>
    <n v="1008"/>
    <s v="Berneice"/>
    <s v="Pollard"/>
    <s v="NULL"/>
    <s v="berneice.pollard@hotmail.com"/>
    <n v="359"/>
    <d v="2012-12-01T12:43:00"/>
    <n v="4"/>
    <n v="15"/>
    <s v="JUMBO STORAGE BAG SKULLS"/>
    <s v="Credit Card "/>
    <n v="536520"/>
    <n v="21930"/>
    <n v="1.95"/>
    <n v="1"/>
    <n v="7.0000000000000007E-2"/>
    <x v="4"/>
    <n v="1.95"/>
    <n v="0.13650000000000001"/>
    <n v="1.8134999999999999"/>
    <n v="1.8134999999999999"/>
  </r>
  <r>
    <n v="1009"/>
    <s v="Deangelo"/>
    <s v="Cooley"/>
    <s v="NULL"/>
    <s v="deangelo.cooley@aol.com"/>
    <n v="359"/>
    <d v="2012-12-01T12:43:00"/>
    <n v="4"/>
    <n v="9"/>
    <s v="GARDEN PATH JOURNAL"/>
    <s v="Credit Card "/>
    <n v="536520"/>
    <n v="20772"/>
    <n v="2.5499999999999998"/>
    <n v="1"/>
    <n v="7.0000000000000007E-2"/>
    <x v="4"/>
    <n v="2.5499999999999998"/>
    <n v="0.17849999999999999"/>
    <n v="2.3714999999999997"/>
    <n v="2.3714999999999997"/>
  </r>
  <r>
    <n v="1010"/>
    <s v="Katia"/>
    <s v="Henry"/>
    <s v="NULL"/>
    <s v="katia.henry@msn.com"/>
    <n v="359"/>
    <d v="2012-12-01T12:43:00"/>
    <n v="3"/>
    <n v="7"/>
    <s v="HEART OF WICKER SMALL"/>
    <s v="Credit Card "/>
    <n v="536520"/>
    <n v="22469"/>
    <n v="1.65"/>
    <n v="2"/>
    <n v="0.2"/>
    <x v="4"/>
    <n v="3.3"/>
    <n v="0.66"/>
    <n v="2.6399999999999997"/>
    <n v="5.2799999999999994"/>
  </r>
  <r>
    <n v="1011"/>
    <s v="Sebrina"/>
    <s v="Gross"/>
    <s v="NULL"/>
    <s v="sebrina.gross@yahoo.com"/>
    <n v="360"/>
    <d v="2012-12-01T12:43:00"/>
    <n v="4"/>
    <n v="26"/>
    <s v="BLACK ORANGE SQUEEZER"/>
    <s v="Credit Card "/>
    <n v="536520"/>
    <s v="71406C"/>
    <n v="0.42"/>
    <n v="12"/>
    <n v="0.05"/>
    <x v="4"/>
    <n v="5.04"/>
    <n v="0.252"/>
    <n v="4.7880000000000003"/>
    <n v="57.456000000000003"/>
  </r>
  <r>
    <n v="1012"/>
    <s v="Josephine"/>
    <s v="Dale"/>
    <s v="NULL"/>
    <s v="josephine.dale@aol.com"/>
    <n v="360"/>
    <d v="2012-12-01T12:43:00"/>
    <n v="4"/>
    <n v="7"/>
    <s v="SET OF 72 GREEN PAPER DOILIES"/>
    <s v="Credit Card "/>
    <n v="536520"/>
    <s v="84985A"/>
    <n v="1.45"/>
    <n v="1"/>
    <n v="0.2"/>
    <x v="4"/>
    <n v="1.45"/>
    <n v="0.28999999999999998"/>
    <n v="1.1599999999999999"/>
    <n v="1.1599999999999999"/>
  </r>
  <r>
    <n v="1013"/>
    <s v="Alma"/>
    <s v="Peck"/>
    <s v="NULL"/>
    <s v="alma.peck@aol.com"/>
    <n v="360"/>
    <d v="2012-12-01T12:43:00"/>
    <n v="4"/>
    <n v="13"/>
    <s v="RETROSPOT RED WASHING UP GLOVES"/>
    <s v="Credit Card "/>
    <n v="536520"/>
    <n v="20754"/>
    <n v="2.1"/>
    <n v="1"/>
    <n v="0.05"/>
    <x v="4"/>
    <n v="2.1"/>
    <n v="0.10500000000000001"/>
    <n v="1.9950000000000001"/>
    <n v="1.9950000000000001"/>
  </r>
  <r>
    <n v="1014"/>
    <s v="Ling"/>
    <s v="Newman"/>
    <s v="NULL"/>
    <s v="ling.newman@msn.com"/>
    <n v="360"/>
    <d v="2012-12-01T12:43:00"/>
    <n v="4"/>
    <n v="25"/>
    <s v="SMALL LICORICE DES PINK BOWL"/>
    <s v="Credit Card "/>
    <n v="536520"/>
    <s v="84596E"/>
    <n v="1.25"/>
    <n v="1"/>
    <n v="0.1"/>
    <x v="4"/>
    <n v="1.25"/>
    <n v="0.125"/>
    <n v="1.125"/>
    <n v="1.125"/>
  </r>
  <r>
    <n v="1015"/>
    <s v="Nichelle"/>
    <s v="Rosario"/>
    <s v="NULL"/>
    <s v="nichelle.rosario@hotmail.com"/>
    <n v="361"/>
    <d v="2012-12-01T12:43:00"/>
    <n v="4"/>
    <n v="24"/>
    <s v="SWISS ROLL TOWEL, CHOCOLATE  SPOTS"/>
    <s v="Credit Card "/>
    <n v="536520"/>
    <n v="21111"/>
    <n v="2.95"/>
    <n v="1"/>
    <n v="0.05"/>
    <x v="4"/>
    <n v="2.95"/>
    <n v="0.14750000000000002"/>
    <n v="2.8025000000000002"/>
    <n v="2.8025000000000002"/>
  </r>
  <r>
    <n v="1016"/>
    <s v="Shenna"/>
    <s v="Benton"/>
    <s v="(212) 578-2912"/>
    <s v="shenna.benton@msn.com"/>
    <n v="361"/>
    <d v="2012-12-01T12:43:00"/>
    <n v="4"/>
    <n v="6"/>
    <s v="PICNIC BASKET WICKER LARGE"/>
    <s v="Credit Card "/>
    <n v="536520"/>
    <n v="22501"/>
    <n v="9.9499999999999993"/>
    <n v="1"/>
    <n v="0.1"/>
    <x v="4"/>
    <n v="9.9499999999999993"/>
    <n v="0.995"/>
    <n v="8.9550000000000001"/>
    <n v="8.9550000000000001"/>
  </r>
  <r>
    <n v="1017"/>
    <s v="Philip"/>
    <s v="Bryan"/>
    <s v="(510) 533-4262"/>
    <s v="philip.bryan@hotmail.com"/>
    <n v="361"/>
    <d v="2012-12-01T12:43:00"/>
    <n v="4"/>
    <n v="11"/>
    <s v="CREAM SWEETHEART EGG HOLDER"/>
    <s v="Credit Card "/>
    <n v="536521"/>
    <n v="22854"/>
    <n v="4.95"/>
    <n v="1"/>
    <n v="0.1"/>
    <x v="4"/>
    <n v="4.95"/>
    <n v="0.49500000000000005"/>
    <n v="4.4550000000000001"/>
    <n v="4.4550000000000001"/>
  </r>
  <r>
    <n v="1018"/>
    <s v="Carita"/>
    <s v="Salinas"/>
    <s v="NULL"/>
    <s v="carita.salinas@yahoo.com"/>
    <n v="362"/>
    <d v="2012-12-01T12:43:00"/>
    <n v="4"/>
    <n v="2"/>
    <s v="PINK 3 PIECE POLKADOT CUTLERY SET"/>
    <s v="Credit Card "/>
    <n v="536522"/>
    <s v="84997D"/>
    <n v="3.75"/>
    <n v="1"/>
    <n v="7.0000000000000007E-2"/>
    <x v="4"/>
    <n v="3.75"/>
    <n v="0.26250000000000001"/>
    <n v="3.4874999999999998"/>
    <n v="3.4874999999999998"/>
  </r>
  <r>
    <n v="1019"/>
    <s v="Janie"/>
    <s v="Herrera"/>
    <s v="NULL"/>
    <s v="janie.herrera@gmail.com"/>
    <n v="363"/>
    <d v="2012-12-01T12:43:00"/>
    <n v="4"/>
    <n v="21"/>
    <s v="PINK PARTY BAGS"/>
    <s v="Credit Card "/>
    <n v="536522"/>
    <s v="47599A"/>
    <n v="2.1"/>
    <n v="1"/>
    <n v="0.1"/>
    <x v="4"/>
    <n v="2.1"/>
    <n v="0.21000000000000002"/>
    <n v="1.8900000000000001"/>
    <n v="1.8900000000000001"/>
  </r>
  <r>
    <n v="1020"/>
    <s v="Lorraine"/>
    <s v="Marks"/>
    <s v="NULL"/>
    <s v="lorraine.marks@msn.com"/>
    <n v="363"/>
    <d v="2012-12-01T12:43:00"/>
    <n v="3"/>
    <n v="14"/>
    <s v="BLUE PARTY BAGS "/>
    <s v="Credit Card "/>
    <n v="536522"/>
    <s v="47599B"/>
    <n v="2.1"/>
    <n v="1"/>
    <n v="7.0000000000000007E-2"/>
    <x v="4"/>
    <n v="2.1"/>
    <n v="0.14700000000000002"/>
    <n v="1.9530000000000001"/>
    <n v="1.9530000000000001"/>
  </r>
  <r>
    <n v="1021"/>
    <s v="Nicolas"/>
    <s v="Carlson"/>
    <s v="NULL"/>
    <s v="nicolas.carlson@yahoo.com"/>
    <n v="363"/>
    <d v="2012-12-01T12:43:00"/>
    <n v="4"/>
    <n v="15"/>
    <s v="FELTCRAFT PRINCESS CHARLOTTE DOLL"/>
    <s v="Credit Card "/>
    <n v="536522"/>
    <n v="22749"/>
    <n v="3.75"/>
    <n v="1"/>
    <n v="0.1"/>
    <x v="4"/>
    <n v="3.75"/>
    <n v="0.375"/>
    <n v="3.375"/>
    <n v="3.375"/>
  </r>
  <r>
    <n v="1022"/>
    <s v="Hye"/>
    <s v="Mercer"/>
    <s v="NULL"/>
    <s v="hye.mercer@gmail.com"/>
    <n v="363"/>
    <d v="2012-12-01T12:43:00"/>
    <n v="4"/>
    <n v="20"/>
    <s v="PINK CREAM FELT CRAFT TRINKET BOX "/>
    <s v="Credit Card "/>
    <n v="536522"/>
    <n v="20972"/>
    <n v="1.25"/>
    <n v="1"/>
    <n v="0.2"/>
    <x v="4"/>
    <n v="1.25"/>
    <n v="0.25"/>
    <n v="1"/>
    <n v="1"/>
  </r>
  <r>
    <n v="1023"/>
    <s v="Adena"/>
    <s v="Blake"/>
    <s v="NULL"/>
    <s v="adena.blake@hotmail.com"/>
    <n v="364"/>
    <d v="2012-12-01T12:43:00"/>
    <n v="4"/>
    <n v="25"/>
    <s v="FELTCRAFT CUSHION BUTTERFLY"/>
    <s v="Credit Card "/>
    <n v="536522"/>
    <n v="22569"/>
    <n v="3.75"/>
    <n v="1"/>
    <n v="0.05"/>
    <x v="4"/>
    <n v="3.75"/>
    <n v="0.1875"/>
    <n v="3.5625"/>
    <n v="3.5625"/>
  </r>
  <r>
    <n v="1024"/>
    <s v="Coleman"/>
    <s v="Boyd"/>
    <s v="(915) 607-6336"/>
    <s v="coleman.boyd@yahoo.com"/>
    <n v="365"/>
    <d v="2012-12-01T12:43:00"/>
    <n v="4"/>
    <n v="24"/>
    <s v="RED RETROSPOT OVEN GLOVE DOUBLE"/>
    <s v="Credit Card "/>
    <n v="536522"/>
    <n v="21041"/>
    <n v="2.95"/>
    <n v="1"/>
    <n v="7.0000000000000007E-2"/>
    <x v="4"/>
    <n v="2.95"/>
    <n v="0.20650000000000004"/>
    <n v="2.7435"/>
    <n v="2.7435"/>
  </r>
  <r>
    <n v="1025"/>
    <s v="Daphine"/>
    <s v="Willis"/>
    <s v="NULL"/>
    <s v="daphine.willis@msn.com"/>
    <n v="366"/>
    <d v="2012-12-01T12:43:00"/>
    <n v="4"/>
    <n v="21"/>
    <s v="RIDGED GLASS STORAGE JAR CREAM LID"/>
    <s v="Credit Card "/>
    <n v="536522"/>
    <n v="21664"/>
    <n v="3.75"/>
    <n v="2"/>
    <n v="0.1"/>
    <x v="4"/>
    <n v="7.5"/>
    <n v="0.75"/>
    <n v="6.75"/>
    <n v="13.5"/>
  </r>
  <r>
    <n v="1026"/>
    <s v="Jenine"/>
    <s v="Dawson"/>
    <s v="NULL"/>
    <s v="jenine.dawson@msn.com"/>
    <n v="366"/>
    <d v="2012-12-01T12:43:00"/>
    <n v="4"/>
    <n v="4"/>
    <s v="BOX OF 6 ASSORTED COLOUR TEASPOONS"/>
    <s v="Credit Card "/>
    <n v="536522"/>
    <n v="84969"/>
    <n v="4.25"/>
    <n v="1"/>
    <n v="7.0000000000000007E-2"/>
    <x v="4"/>
    <n v="4.25"/>
    <n v="0.29750000000000004"/>
    <n v="3.9525000000000001"/>
    <n v="3.9525000000000001"/>
  </r>
  <r>
    <n v="1027"/>
    <s v="Shanita"/>
    <s v="Wiley"/>
    <s v="NULL"/>
    <s v="shanita.wiley@yahoo.com"/>
    <n v="366"/>
    <d v="2012-12-01T12:43:00"/>
    <n v="4"/>
    <n v="16"/>
    <s v="PACK OF 20 NAPKINS PANTRY DESIGN"/>
    <s v="Credit Card "/>
    <n v="536522"/>
    <n v="22907"/>
    <n v="0.85"/>
    <n v="1"/>
    <n v="0.2"/>
    <x v="4"/>
    <n v="0.85"/>
    <n v="0.17"/>
    <n v="0.67999999999999994"/>
    <n v="0.67999999999999994"/>
  </r>
  <r>
    <n v="1028"/>
    <s v="Shanna"/>
    <s v="Bonner"/>
    <s v="NULL"/>
    <s v="shanna.bonner@msn.com"/>
    <n v="367"/>
    <d v="2012-12-01T12:43:00"/>
    <n v="4"/>
    <n v="26"/>
    <s v="HAND WARMER OWL DESIGN"/>
    <s v="Credit Card "/>
    <n v="536522"/>
    <n v="22865"/>
    <n v="2.1"/>
    <n v="2"/>
    <n v="0.1"/>
    <x v="4"/>
    <n v="4.2"/>
    <n v="0.42000000000000004"/>
    <n v="3.7800000000000002"/>
    <n v="7.5600000000000005"/>
  </r>
  <r>
    <n v="1029"/>
    <s v="Ping"/>
    <s v="Quinn"/>
    <s v="NULL"/>
    <s v="ping.quinn@gmail.com"/>
    <n v="367"/>
    <d v="2012-12-01T12:43:00"/>
    <n v="4"/>
    <n v="14"/>
    <s v="HAND WARMER SCOTTY DOG DESIGN"/>
    <s v="Credit Card "/>
    <n v="536522"/>
    <n v="22866"/>
    <n v="2.1"/>
    <n v="1"/>
    <n v="0.05"/>
    <x v="4"/>
    <n v="2.1"/>
    <n v="0.10500000000000001"/>
    <n v="1.9950000000000001"/>
    <n v="1.9950000000000001"/>
  </r>
  <r>
    <n v="1030"/>
    <s v="Saran"/>
    <s v="Moses"/>
    <s v="NULL"/>
    <s v="saran.moses@yahoo.com"/>
    <n v="367"/>
    <d v="2012-12-01T12:43:00"/>
    <n v="4"/>
    <n v="10"/>
    <s v="HAND WARMER RED RETROSPOT"/>
    <s v="Credit Card "/>
    <n v="536522"/>
    <n v="22632"/>
    <n v="2.1"/>
    <n v="2"/>
    <n v="0.05"/>
    <x v="4"/>
    <n v="4.2"/>
    <n v="0.21000000000000002"/>
    <n v="3.99"/>
    <n v="7.98"/>
  </r>
  <r>
    <n v="1031"/>
    <s v="Tonja"/>
    <s v="Bean"/>
    <s v="NULL"/>
    <s v="tonja.bean@aol.com"/>
    <n v="368"/>
    <d v="2012-12-01T12:43:00"/>
    <n v="4"/>
    <n v="5"/>
    <s v="SWEETHEART CAKESTAND 3 TIER"/>
    <s v="Credit Card "/>
    <n v="536522"/>
    <n v="22776"/>
    <n v="9.9499999999999993"/>
    <n v="1"/>
    <n v="0.2"/>
    <x v="4"/>
    <n v="9.9499999999999993"/>
    <n v="1.99"/>
    <n v="7.9599999999999991"/>
    <n v="7.9599999999999991"/>
  </r>
  <r>
    <n v="1032"/>
    <s v="Vernon"/>
    <s v="Knowles"/>
    <s v="NULL"/>
    <s v="vernon.knowles@yahoo.com"/>
    <n v="368"/>
    <d v="2012-12-01T12:43:00"/>
    <n v="4"/>
    <n v="10"/>
    <s v="STAR DECORATION PAINTED ZINC "/>
    <s v="Credit Card "/>
    <n v="536522"/>
    <n v="22338"/>
    <n v="0.65"/>
    <n v="2"/>
    <n v="0.2"/>
    <x v="4"/>
    <n v="1.3"/>
    <n v="0.26"/>
    <n v="1.04"/>
    <n v="2.08"/>
  </r>
  <r>
    <n v="1033"/>
    <s v="Jeannette"/>
    <s v="Skinner"/>
    <s v="NULL"/>
    <s v="jeannette.skinner@yahoo.com"/>
    <n v="368"/>
    <d v="2012-12-01T12:43:00"/>
    <n v="4"/>
    <n v="21"/>
    <s v="CHRISTMAS HANGING STAR WITH BELL"/>
    <s v="Credit Card "/>
    <n v="536522"/>
    <n v="21810"/>
    <n v="1.25"/>
    <n v="2"/>
    <n v="0.1"/>
    <x v="4"/>
    <n v="2.5"/>
    <n v="0.25"/>
    <n v="2.25"/>
    <n v="4.5"/>
  </r>
  <r>
    <n v="1034"/>
    <s v="Rico"/>
    <s v="Salas"/>
    <s v="NULL"/>
    <s v="rico.salas@msn.com"/>
    <n v="368"/>
    <d v="2012-12-01T12:43:00"/>
    <n v="4"/>
    <n v="19"/>
    <s v="SILK PURSE BABUSHKA PINK"/>
    <s v="Credit Card "/>
    <n v="536522"/>
    <n v="22449"/>
    <n v="3.35"/>
    <n v="1"/>
    <n v="0.05"/>
    <x v="4"/>
    <n v="3.35"/>
    <n v="0.16750000000000001"/>
    <n v="3.1825000000000001"/>
    <n v="3.1825000000000001"/>
  </r>
  <r>
    <n v="1035"/>
    <s v="Tangela"/>
    <s v="Hurley"/>
    <s v="NULL"/>
    <s v="tangela.hurley@msn.com"/>
    <n v="369"/>
    <d v="2012-12-01T12:43:00"/>
    <n v="4"/>
    <n v="10"/>
    <s v="MULTICOLOUR  CONFETTI IN TUBE"/>
    <s v="Credit Card "/>
    <n v="536522"/>
    <n v="21197"/>
    <n v="1.65"/>
    <n v="1"/>
    <n v="7.0000000000000007E-2"/>
    <x v="4"/>
    <n v="1.65"/>
    <n v="0.11550000000000001"/>
    <n v="1.5345"/>
    <n v="1.5345"/>
  </r>
  <r>
    <n v="1036"/>
    <s v="Randee"/>
    <s v="Lester"/>
    <s v="NULL"/>
    <s v="randee.lester@gmail.com"/>
    <n v="370"/>
    <d v="2012-12-01T12:43:00"/>
    <n v="4"/>
    <n v="25"/>
    <s v="ORANGE SCENTED SET/9 T-LIGHTS"/>
    <s v="Credit Card "/>
    <n v="536522"/>
    <s v="85231G"/>
    <n v="0.85"/>
    <n v="1"/>
    <n v="0.05"/>
    <x v="4"/>
    <n v="0.85"/>
    <n v="4.2500000000000003E-2"/>
    <n v="0.8075"/>
    <n v="0.8075"/>
  </r>
  <r>
    <n v="1037"/>
    <s v="Ashanti"/>
    <s v="Hammond"/>
    <s v="NULL"/>
    <s v="ashanti.hammond@msn.com"/>
    <n v="370"/>
    <d v="2012-12-01T12:43:00"/>
    <n v="4"/>
    <n v="4"/>
    <s v="SET/10 RED POLKADOT PARTY CANDLES"/>
    <s v="Credit Card "/>
    <n v="536522"/>
    <n v="21121"/>
    <n v="1.25"/>
    <n v="1"/>
    <n v="0.1"/>
    <x v="4"/>
    <n v="1.25"/>
    <n v="0.125"/>
    <n v="1.125"/>
    <n v="1.125"/>
  </r>
  <r>
    <n v="1038"/>
    <s v="Garry"/>
    <s v="Juarez"/>
    <s v="NULL"/>
    <s v="garry.juarez@hotmail.com"/>
    <n v="371"/>
    <d v="2012-12-01T12:43:00"/>
    <n v="4"/>
    <n v="14"/>
    <s v="PLACE SETTING WHITE HEART"/>
    <s v="Credit Card "/>
    <n v="536522"/>
    <n v="22151"/>
    <n v="0.42"/>
    <n v="2"/>
    <n v="0.2"/>
    <x v="4"/>
    <n v="0.84"/>
    <n v="0.16800000000000001"/>
    <n v="0.67199999999999993"/>
    <n v="1.3439999999999999"/>
  </r>
  <r>
    <n v="1039"/>
    <s v="Bee"/>
    <s v="Baker"/>
    <s v="NULL"/>
    <s v="bee.baker@aol.com"/>
    <n v="371"/>
    <d v="2012-12-01T12:43:00"/>
    <n v="4"/>
    <n v="12"/>
    <s v="ZINC METAL HEART DECORATION"/>
    <s v="Credit Card "/>
    <n v="536522"/>
    <n v="84836"/>
    <n v="1.25"/>
    <n v="2"/>
    <n v="0.2"/>
    <x v="4"/>
    <n v="2.5"/>
    <n v="0.5"/>
    <n v="2"/>
    <n v="4"/>
  </r>
  <r>
    <n v="1040"/>
    <s v="Shantae"/>
    <s v="Hammond"/>
    <s v="NULL"/>
    <s v="shantae.hammond@hotmail.com"/>
    <n v="372"/>
    <d v="2012-12-01T12:43:00"/>
    <n v="4"/>
    <n v="11"/>
    <s v="AGED GLASS SILVER T-LIGHT HOLDER"/>
    <s v="Credit Card "/>
    <n v="536522"/>
    <n v="21326"/>
    <n v="0.65"/>
    <n v="12"/>
    <n v="0.05"/>
    <x v="4"/>
    <n v="7.8000000000000007"/>
    <n v="0.39000000000000007"/>
    <n v="7.410000000000001"/>
    <n v="88.920000000000016"/>
  </r>
  <r>
    <n v="1041"/>
    <s v="Bettye"/>
    <s v="Espinoza"/>
    <s v="NULL"/>
    <s v="bettye.espinoza@yahoo.com"/>
    <n v="372"/>
    <d v="2012-12-01T12:43:00"/>
    <n v="4"/>
    <n v="14"/>
    <s v="CHOCOLATE 3 WICK MORRIS BOX CANDLE"/>
    <s v="Credit Card "/>
    <n v="536522"/>
    <s v="85035B"/>
    <n v="4.25"/>
    <n v="1"/>
    <n v="0.1"/>
    <x v="4"/>
    <n v="4.25"/>
    <n v="0.42500000000000004"/>
    <n v="3.8250000000000002"/>
    <n v="3.8250000000000002"/>
  </r>
  <r>
    <n v="1042"/>
    <s v="Larissa"/>
    <s v="Hays"/>
    <s v="NULL"/>
    <s v="larissa.hays@aol.com"/>
    <n v="372"/>
    <d v="2012-12-01T12:43:00"/>
    <n v="4"/>
    <n v="5"/>
    <s v="SET OF 16 VINTAGE PISTACHIO CUTLERY"/>
    <s v="Credit Card "/>
    <n v="536522"/>
    <s v="84968C"/>
    <n v="12.75"/>
    <n v="1"/>
    <n v="0.1"/>
    <x v="4"/>
    <n v="12.75"/>
    <n v="1.2750000000000001"/>
    <n v="11.475"/>
    <n v="11.475"/>
  </r>
  <r>
    <n v="1043"/>
    <s v="Diane"/>
    <s v="Jones"/>
    <s v="NULL"/>
    <s v="diane.jones@gmail.com"/>
    <n v="373"/>
    <d v="2012-12-01T12:43:00"/>
    <n v="4"/>
    <n v="8"/>
    <s v="CINAMMON SET OF 9 T-LIGHTS"/>
    <s v="Credit Card "/>
    <n v="536522"/>
    <s v="85231B"/>
    <n v="0.85"/>
    <n v="1"/>
    <n v="0.05"/>
    <x v="4"/>
    <n v="0.85"/>
    <n v="4.2500000000000003E-2"/>
    <n v="0.8075"/>
    <n v="0.8075"/>
  </r>
  <r>
    <n v="1044"/>
    <s v="Zenia"/>
    <s v="Bruce"/>
    <s v="NULL"/>
    <s v="zenia.bruce@aol.com"/>
    <n v="373"/>
    <d v="2012-12-01T12:43:00"/>
    <n v="4"/>
    <n v="22"/>
    <s v="RIBBON REEL CHRISTMAS SOCK BAUBLE"/>
    <s v="Credit Card "/>
    <n v="536522"/>
    <n v="22739"/>
    <n v="1.65"/>
    <n v="5"/>
    <n v="0.1"/>
    <x v="4"/>
    <n v="8.25"/>
    <n v="0.82500000000000007"/>
    <n v="7.4249999999999998"/>
    <n v="37.125"/>
  </r>
  <r>
    <n v="1045"/>
    <s v="Pasquale"/>
    <s v="Hogan"/>
    <s v="NULL"/>
    <s v="pasquale.hogan@aol.com"/>
    <n v="373"/>
    <d v="2012-12-01T12:43:00"/>
    <n v="4"/>
    <n v="19"/>
    <s v="RETRO COFFEE MUGS ASSORTED"/>
    <s v="Credit Card "/>
    <n v="536522"/>
    <n v="37370"/>
    <n v="1.25"/>
    <n v="2"/>
    <n v="0.2"/>
    <x v="4"/>
    <n v="2.5"/>
    <n v="0.5"/>
    <n v="2"/>
    <n v="4"/>
  </r>
  <r>
    <n v="1046"/>
    <s v="Dane"/>
    <s v="Mcdaniel"/>
    <s v="NULL"/>
    <s v="dane.mcdaniel@hotmail.com"/>
    <n v="373"/>
    <d v="2012-12-01T12:43:00"/>
    <n v="4"/>
    <n v="12"/>
    <s v="CHRISTMAS LIGHTS 10 REINDEER"/>
    <s v="Credit Card "/>
    <n v="536522"/>
    <n v="22941"/>
    <n v="8.5"/>
    <n v="1"/>
    <n v="0.1"/>
    <x v="4"/>
    <n v="8.5"/>
    <n v="0.85000000000000009"/>
    <n v="7.65"/>
    <n v="7.65"/>
  </r>
  <r>
    <n v="1047"/>
    <s v="Jamaal"/>
    <s v="Baker"/>
    <s v="NULL"/>
    <s v="jamaal.baker@hotmail.com"/>
    <n v="373"/>
    <d v="2012-12-01T12:43:00"/>
    <n v="3"/>
    <n v="13"/>
    <s v="CHRISTMAS TOILET ROLL"/>
    <s v="Credit Card "/>
    <n v="536522"/>
    <n v="21098"/>
    <n v="1.25"/>
    <n v="2"/>
    <n v="0.1"/>
    <x v="4"/>
    <n v="2.5"/>
    <n v="0.25"/>
    <n v="2.25"/>
    <n v="4.5"/>
  </r>
  <r>
    <n v="1048"/>
    <s v="Ji"/>
    <s v="Burt"/>
    <s v="NULL"/>
    <s v="ji.burt@hotmail.com"/>
    <n v="374"/>
    <d v="2012-12-01T12:43:00"/>
    <n v="4"/>
    <n v="10"/>
    <s v="PLACE SETTING WHITE HEART"/>
    <s v="Credit Card "/>
    <n v="536522"/>
    <n v="22151"/>
    <n v="0.42"/>
    <n v="1"/>
    <n v="0.1"/>
    <x v="4"/>
    <n v="0.42"/>
    <n v="4.2000000000000003E-2"/>
    <n v="0.378"/>
    <n v="0.378"/>
  </r>
  <r>
    <n v="1049"/>
    <s v="Marcelino"/>
    <s v="Mcbride"/>
    <s v="NULL"/>
    <s v="marcelino.mcbride@hotmail.com"/>
    <n v="374"/>
    <d v="2012-12-01T12:43:00"/>
    <n v="4"/>
    <n v="7"/>
    <s v="ZINC METAL HEART DECORATION"/>
    <s v="Credit Card "/>
    <n v="536522"/>
    <n v="84836"/>
    <n v="1.25"/>
    <n v="1"/>
    <n v="7.0000000000000007E-2"/>
    <x v="4"/>
    <n v="1.25"/>
    <n v="8.7500000000000008E-2"/>
    <n v="1.1625000000000001"/>
    <n v="1.1625000000000001"/>
  </r>
  <r>
    <n v="1050"/>
    <s v="Rozella"/>
    <s v="Fitzgerald"/>
    <s v="NULL"/>
    <s v="rozella.fitzgerald@yahoo.com"/>
    <n v="375"/>
    <d v="2012-12-01T12:43:00"/>
    <n v="4"/>
    <n v="21"/>
    <s v="SET/5 RED RETROSPOT LID GLASS BOWLS"/>
    <s v="Credit Card "/>
    <n v="536522"/>
    <n v="20914"/>
    <n v="2.95"/>
    <n v="1"/>
    <n v="0.05"/>
    <x v="4"/>
    <n v="2.95"/>
    <n v="0.14750000000000002"/>
    <n v="2.8025000000000002"/>
    <n v="2.8025000000000002"/>
  </r>
  <r>
    <n v="1051"/>
    <s v="Tonisha"/>
    <s v="Fowler"/>
    <s v="NULL"/>
    <s v="tonisha.fowler@msn.com"/>
    <n v="375"/>
    <d v="2012-12-01T12:43:00"/>
    <n v="4"/>
    <n v="2"/>
    <s v="FELTCRAFT PRINCESS CHARLOTTE DOLL"/>
    <s v="Credit Card "/>
    <n v="536522"/>
    <n v="22749"/>
    <n v="3.75"/>
    <n v="2"/>
    <n v="0.05"/>
    <x v="4"/>
    <n v="7.5"/>
    <n v="0.375"/>
    <n v="7.125"/>
    <n v="14.25"/>
  </r>
  <r>
    <n v="1052"/>
    <s v="Zora"/>
    <s v="Ford"/>
    <s v="(916) 192-3196"/>
    <s v="zora.ford@gmail.com"/>
    <n v="375"/>
    <d v="2012-12-01T12:43:00"/>
    <n v="4"/>
    <n v="4"/>
    <s v="PINK HEARTS PAPER GARLAND"/>
    <s v="Credit Card "/>
    <n v="536522"/>
    <n v="21190"/>
    <n v="1.65"/>
    <n v="1"/>
    <n v="7.0000000000000007E-2"/>
    <x v="4"/>
    <n v="1.65"/>
    <n v="0.11550000000000001"/>
    <n v="1.5345"/>
    <n v="1.5345"/>
  </r>
  <r>
    <n v="1053"/>
    <s v="Parthenia"/>
    <s v="Figueroa"/>
    <s v="NULL"/>
    <s v="parthenia.figueroa@msn.com"/>
    <n v="375"/>
    <d v="2012-12-01T12:43:00"/>
    <n v="4"/>
    <n v="12"/>
    <s v="BLUE 3 PIECE POLKADOT CUTLERY SET"/>
    <s v="Credit Card "/>
    <n v="536522"/>
    <s v="84997C"/>
    <n v="3.75"/>
    <n v="1"/>
    <n v="0.05"/>
    <x v="4"/>
    <n v="3.75"/>
    <n v="0.1875"/>
    <n v="3.5625"/>
    <n v="3.5625"/>
  </r>
  <r>
    <n v="1054"/>
    <s v="Arielle"/>
    <s v="Levine"/>
    <s v="NULL"/>
    <s v="arielle.levine@yahoo.com"/>
    <n v="376"/>
    <d v="2012-12-01T12:43:00"/>
    <n v="4"/>
    <n v="2"/>
    <s v="CHRISTMAS HANGING STAR WITH BELL"/>
    <s v="Credit Card "/>
    <n v="536522"/>
    <n v="21810"/>
    <n v="1.25"/>
    <n v="1"/>
    <n v="7.0000000000000007E-2"/>
    <x v="4"/>
    <n v="1.25"/>
    <n v="8.7500000000000008E-2"/>
    <n v="1.1625000000000001"/>
    <n v="1.1625000000000001"/>
  </r>
  <r>
    <n v="1055"/>
    <s v="Hildegarde"/>
    <s v="Christensen"/>
    <s v="NULL"/>
    <s v="hildegarde.christensen@hotmail.com"/>
    <n v="376"/>
    <d v="2012-12-01T12:43:00"/>
    <n v="4"/>
    <n v="23"/>
    <s v="WHITE BELL HONEYCOMB PAPER "/>
    <s v="Credit Card "/>
    <n v="536522"/>
    <n v="21192"/>
    <n v="1.65"/>
    <n v="3"/>
    <n v="0.1"/>
    <x v="4"/>
    <n v="4.9499999999999993"/>
    <n v="0.49499999999999994"/>
    <n v="4.4549999999999992"/>
    <n v="13.364999999999998"/>
  </r>
  <r>
    <n v="1056"/>
    <s v="Rebbecca"/>
    <s v="Espinoza"/>
    <s v="NULL"/>
    <s v="rebbecca.espinoza@hotmail.com"/>
    <n v="377"/>
    <d v="2012-12-01T12:43:00"/>
    <n v="4"/>
    <n v="8"/>
    <s v="BLACK/BLUE POLKADOT UMBRELLA"/>
    <s v="Credit Card "/>
    <n v="536522"/>
    <s v="85014A"/>
    <n v="5.95"/>
    <n v="1"/>
    <n v="0.05"/>
    <x v="4"/>
    <n v="5.95"/>
    <n v="0.29750000000000004"/>
    <n v="5.6524999999999999"/>
    <n v="5.6524999999999999"/>
  </r>
  <r>
    <n v="1057"/>
    <s v="Conchita"/>
    <s v="Boone"/>
    <s v="NULL"/>
    <s v="conchita.boone@gmail.com"/>
    <n v="377"/>
    <d v="2012-12-01T12:43:00"/>
    <n v="4"/>
    <n v="14"/>
    <s v="SET/10 BLUE POLKADOT PARTY CANDLES"/>
    <s v="Credit Card "/>
    <n v="536522"/>
    <n v="21124"/>
    <n v="1.25"/>
    <n v="2"/>
    <n v="7.0000000000000007E-2"/>
    <x v="4"/>
    <n v="2.5"/>
    <n v="0.17500000000000002"/>
    <n v="2.3250000000000002"/>
    <n v="4.6500000000000004"/>
  </r>
  <r>
    <n v="1058"/>
    <s v="Aisha"/>
    <s v="Woods"/>
    <s v="NULL"/>
    <s v="aisha.woods@gmail.com"/>
    <n v="378"/>
    <d v="2012-12-01T12:43:00"/>
    <n v="4"/>
    <n v="26"/>
    <s v=" 4 PURPLE FLOCK DINNER CANDLES"/>
    <s v="Credit Card "/>
    <n v="536522"/>
    <s v="72800B"/>
    <n v="2.5499999999999998"/>
    <n v="2"/>
    <n v="0.05"/>
    <x v="4"/>
    <n v="5.0999999999999996"/>
    <n v="0.255"/>
    <n v="4.8449999999999998"/>
    <n v="9.69"/>
  </r>
  <r>
    <n v="1059"/>
    <s v="Season"/>
    <s v="Harvey"/>
    <s v="NULL"/>
    <s v="season.harvey@yahoo.com"/>
    <n v="379"/>
    <d v="2012-12-01T12:43:00"/>
    <n v="4"/>
    <n v="9"/>
    <s v="PINK &amp; WHITE BREAKFAST TRAY"/>
    <s v="Credit Card "/>
    <n v="536522"/>
    <s v="84563A"/>
    <n v="5.95"/>
    <n v="1"/>
    <n v="7.0000000000000007E-2"/>
    <x v="4"/>
    <n v="5.95"/>
    <n v="0.41650000000000004"/>
    <n v="5.5335000000000001"/>
    <n v="5.5335000000000001"/>
  </r>
  <r>
    <n v="1060"/>
    <s v="Tommie"/>
    <s v="Cooley"/>
    <s v="(717) 634-4113"/>
    <s v="tommie.cooley@yahoo.com"/>
    <n v="379"/>
    <d v="2012-12-01T12:43:00"/>
    <n v="4"/>
    <n v="16"/>
    <s v="PIZZA PLATE IN BOX"/>
    <s v="Credit Card "/>
    <n v="536522"/>
    <n v="22107"/>
    <n v="3.75"/>
    <n v="2"/>
    <n v="0.2"/>
    <x v="4"/>
    <n v="7.5"/>
    <n v="1.5"/>
    <n v="6"/>
    <n v="12"/>
  </r>
  <r>
    <n v="1061"/>
    <s v="Alanna"/>
    <s v="Barry"/>
    <s v="NULL"/>
    <s v="alanna.barry@yahoo.com"/>
    <n v="380"/>
    <d v="2012-12-01T12:43:00"/>
    <n v="4"/>
    <n v="16"/>
    <s v="ENGLISH ROSE SPIRIT LEVEL "/>
    <s v="Credit Card "/>
    <n v="536522"/>
    <s v="47504H"/>
    <n v="1.95"/>
    <n v="1"/>
    <n v="0.05"/>
    <x v="4"/>
    <n v="1.95"/>
    <n v="9.7500000000000003E-2"/>
    <n v="1.8525"/>
    <n v="1.8525"/>
  </r>
  <r>
    <n v="1062"/>
    <s v="Jerri"/>
    <s v="Guthrie"/>
    <s v="NULL"/>
    <s v="jerri.guthrie@msn.com"/>
    <n v="380"/>
    <d v="2012-12-01T12:43:00"/>
    <n v="4"/>
    <n v="11"/>
    <s v="SET/10 RED POLKADOT PARTY CANDLES"/>
    <s v="Credit Card "/>
    <n v="536522"/>
    <n v="21121"/>
    <n v="1.25"/>
    <n v="1"/>
    <n v="0.05"/>
    <x v="4"/>
    <n v="1.25"/>
    <n v="6.25E-2"/>
    <n v="1.1875"/>
    <n v="1.1875"/>
  </r>
  <r>
    <n v="1063"/>
    <s v="Tammy"/>
    <s v="Austin"/>
    <s v="NULL"/>
    <s v="tammy.austin@yahoo.com"/>
    <n v="381"/>
    <d v="2012-12-01T12:43:00"/>
    <n v="4"/>
    <n v="21"/>
    <s v="SET/10 PINK POLKADOT PARTY CANDLES"/>
    <s v="Credit Card "/>
    <n v="536522"/>
    <n v="21122"/>
    <n v="1.25"/>
    <n v="1"/>
    <n v="7.0000000000000007E-2"/>
    <x v="4"/>
    <n v="1.25"/>
    <n v="8.7500000000000008E-2"/>
    <n v="1.1625000000000001"/>
    <n v="1.1625000000000001"/>
  </r>
  <r>
    <n v="1064"/>
    <s v="Patsy"/>
    <s v="Russo"/>
    <s v="NULL"/>
    <s v="patsy.russo@gmail.com"/>
    <n v="382"/>
    <d v="2012-12-01T12:43:00"/>
    <n v="4"/>
    <n v="8"/>
    <s v="LARGE ROUND WICKER PLATTER "/>
    <s v="Credit Card "/>
    <n v="536522"/>
    <n v="21742"/>
    <n v="5.95"/>
    <n v="1"/>
    <n v="0.1"/>
    <x v="4"/>
    <n v="5.95"/>
    <n v="0.59500000000000008"/>
    <n v="5.3550000000000004"/>
    <n v="5.3550000000000004"/>
  </r>
  <r>
    <n v="1065"/>
    <s v="Desiree"/>
    <s v="Branch"/>
    <s v="NULL"/>
    <s v="desiree.branch@msn.com"/>
    <n v="382"/>
    <d v="2012-12-01T12:43:00"/>
    <n v="4"/>
    <n v="9"/>
    <s v="FELTCRAFT HAIRBAND PINK AND PURPLE"/>
    <s v="Credit Card "/>
    <n v="536522"/>
    <n v="22566"/>
    <n v="0.85"/>
    <n v="1"/>
    <n v="0.1"/>
    <x v="4"/>
    <n v="0.85"/>
    <n v="8.5000000000000006E-2"/>
    <n v="0.76500000000000001"/>
    <n v="0.76500000000000001"/>
  </r>
  <r>
    <n v="1066"/>
    <s v="Raeann"/>
    <s v="Duncan"/>
    <s v="(657) 256-2008"/>
    <s v="raeann.duncan@aol.com"/>
    <n v="382"/>
    <d v="2012-12-01T12:43:00"/>
    <n v="4"/>
    <n v="13"/>
    <s v="RIDGED GLASS STORAGE JAR CREAM LID"/>
    <s v="Credit Card "/>
    <n v="536522"/>
    <n v="21664"/>
    <n v="3.75"/>
    <n v="1"/>
    <n v="7.0000000000000007E-2"/>
    <x v="4"/>
    <n v="3.75"/>
    <n v="0.26250000000000001"/>
    <n v="3.4874999999999998"/>
    <n v="3.4874999999999998"/>
  </r>
  <r>
    <n v="1067"/>
    <s v="Lillia"/>
    <s v="Gillespie"/>
    <s v="NULL"/>
    <s v="lillia.gillespie@hotmail.com"/>
    <n v="383"/>
    <d v="2012-12-01T12:43:00"/>
    <n v="4"/>
    <n v="19"/>
    <s v="HAND WARMER RED RETROSPOT"/>
    <s v="Credit Card "/>
    <n v="536522"/>
    <n v="22632"/>
    <n v="2.1"/>
    <n v="1"/>
    <n v="7.0000000000000007E-2"/>
    <x v="4"/>
    <n v="2.1"/>
    <n v="0.14700000000000002"/>
    <n v="1.9530000000000001"/>
    <n v="1.9530000000000001"/>
  </r>
  <r>
    <n v="1068"/>
    <s v="Doris"/>
    <s v="Kaufman"/>
    <s v="NULL"/>
    <s v="doris.kaufman@gmail.com"/>
    <n v="383"/>
    <d v="2012-12-01T12:43:00"/>
    <n v="4"/>
    <n v="22"/>
    <s v="SET/10 PINK POLKADOT PARTY CANDLES"/>
    <s v="Credit Card "/>
    <n v="536522"/>
    <n v="21122"/>
    <n v="1.25"/>
    <n v="1"/>
    <n v="0.05"/>
    <x v="4"/>
    <n v="1.25"/>
    <n v="6.25E-2"/>
    <n v="1.1875"/>
    <n v="1.1875"/>
  </r>
  <r>
    <n v="1069"/>
    <s v="Rodolfo"/>
    <s v="Buck"/>
    <s v="NULL"/>
    <s v="rodolfo.buck@gmail.com"/>
    <n v="383"/>
    <d v="2012-12-01T12:43:00"/>
    <n v="4"/>
    <n v="13"/>
    <s v="BLACK TEA TOWEL CLASSIC DESIGN"/>
    <s v="Credit Card "/>
    <n v="536522"/>
    <n v="22481"/>
    <n v="1.25"/>
    <n v="3"/>
    <n v="0.1"/>
    <x v="4"/>
    <n v="3.75"/>
    <n v="0.375"/>
    <n v="3.375"/>
    <n v="10.125"/>
  </r>
  <r>
    <n v="1070"/>
    <s v="Olimpia"/>
    <s v="Mays"/>
    <s v="NULL"/>
    <s v="olimpia.mays@aol.com"/>
    <n v="383"/>
    <d v="2012-12-01T12:43:00"/>
    <n v="4"/>
    <n v="21"/>
    <s v="JUMBO BAG RED RETROSPOT"/>
    <s v="Credit Card "/>
    <n v="536522"/>
    <s v="85099B"/>
    <n v="1.95"/>
    <n v="1"/>
    <n v="0.05"/>
    <x v="4"/>
    <n v="1.95"/>
    <n v="9.7500000000000003E-2"/>
    <n v="1.8525"/>
    <n v="1.8525"/>
  </r>
  <r>
    <n v="1071"/>
    <s v="Shemeka"/>
    <s v="Lyons"/>
    <s v="NULL"/>
    <s v="shemeka.lyons@msn.com"/>
    <n v="383"/>
    <d v="2012-12-01T12:43:00"/>
    <n v="4"/>
    <n v="14"/>
    <s v="JUMBO STORAGE BAG SUKI"/>
    <s v="Credit Card "/>
    <n v="536522"/>
    <n v="21931"/>
    <n v="1.95"/>
    <n v="1"/>
    <n v="0.1"/>
    <x v="4"/>
    <n v="1.95"/>
    <n v="0.19500000000000001"/>
    <n v="1.7549999999999999"/>
    <n v="1.7549999999999999"/>
  </r>
  <r>
    <n v="1072"/>
    <s v="Maryalice"/>
    <s v="Henry"/>
    <s v="NULL"/>
    <s v="maryalice.henry@msn.com"/>
    <n v="384"/>
    <d v="2012-12-01T12:43:00"/>
    <n v="3"/>
    <n v="20"/>
    <s v="CHRISTMAS LIGHTS 10 VINTAGE BAUBLES"/>
    <s v="Credit Card "/>
    <n v="536523"/>
    <n v="22943"/>
    <n v="4.95"/>
    <n v="6"/>
    <n v="0.1"/>
    <x v="4"/>
    <n v="29.700000000000003"/>
    <n v="2.9700000000000006"/>
    <n v="26.730000000000004"/>
    <n v="160.38000000000002"/>
  </r>
  <r>
    <n v="1073"/>
    <s v="Leeanne"/>
    <s v="Cross"/>
    <s v="NULL"/>
    <s v="leeanne.cross@yahoo.com"/>
    <n v="384"/>
    <d v="2012-12-01T12:43:00"/>
    <n v="4"/>
    <n v="21"/>
    <s v="BABUSHKA LIGHTS STRING OF 10"/>
    <s v="Credit Card "/>
    <n v="536523"/>
    <n v="22468"/>
    <n v="6.75"/>
    <n v="2"/>
    <n v="0.2"/>
    <x v="4"/>
    <n v="13.5"/>
    <n v="2.7"/>
    <n v="10.8"/>
    <n v="21.6"/>
  </r>
  <r>
    <n v="1074"/>
    <s v="Lanelle"/>
    <s v="Guerra"/>
    <s v="NULL"/>
    <s v="lanelle.guerra@yahoo.com"/>
    <n v="384"/>
    <d v="2012-12-01T12:43:00"/>
    <n v="3"/>
    <n v="8"/>
    <s v="FELTCRAFT 6 FLOWER FRIENDS"/>
    <s v="Credit Card "/>
    <n v="536523"/>
    <n v="22149"/>
    <n v="2.1"/>
    <n v="6"/>
    <n v="0.05"/>
    <x v="4"/>
    <n v="12.600000000000001"/>
    <n v="0.63000000000000012"/>
    <n v="11.97"/>
    <n v="71.820000000000007"/>
  </r>
  <r>
    <n v="1075"/>
    <s v="Dann"/>
    <s v="Huff"/>
    <s v="NULL"/>
    <s v="dann.huff@gmail.com"/>
    <n v="384"/>
    <d v="2012-12-01T12:43:00"/>
    <n v="4"/>
    <n v="15"/>
    <s v="RETROSPOT HEART HOT WATER BOTTLE"/>
    <s v="Credit Card "/>
    <n v="536523"/>
    <n v="21485"/>
    <n v="4.95"/>
    <n v="3"/>
    <n v="0.1"/>
    <x v="4"/>
    <n v="14.850000000000001"/>
    <n v="1.4850000000000003"/>
    <n v="13.365000000000002"/>
    <n v="40.095000000000006"/>
  </r>
  <r>
    <n v="1076"/>
    <s v="Sherise"/>
    <s v="Mercer"/>
    <s v="NULL"/>
    <s v="sherise.mercer@gmail.com"/>
    <n v="384"/>
    <d v="2012-12-01T12:43:00"/>
    <n v="4"/>
    <n v="4"/>
    <s v="VICTORIAN SEWING BOX SMALL "/>
    <s v="Credit Card "/>
    <n v="536523"/>
    <n v="21259"/>
    <n v="5.95"/>
    <n v="2"/>
    <n v="0.2"/>
    <x v="4"/>
    <n v="11.9"/>
    <n v="2.3800000000000003"/>
    <n v="9.52"/>
    <n v="19.04"/>
  </r>
  <r>
    <n v="1077"/>
    <s v="Heather"/>
    <s v="Perry"/>
    <s v="NULL"/>
    <s v="heather.perry@gmail.com"/>
    <n v="385"/>
    <d v="2012-12-01T12:43:00"/>
    <n v="4"/>
    <n v="21"/>
    <s v="HOMEMADE JAM SCENTED CANDLES"/>
    <s v="Credit Card "/>
    <n v="536523"/>
    <n v="22969"/>
    <n v="1.45"/>
    <n v="12"/>
    <n v="7.0000000000000007E-2"/>
    <x v="4"/>
    <n v="17.399999999999999"/>
    <n v="1.218"/>
    <n v="16.181999999999999"/>
    <n v="194.18399999999997"/>
  </r>
  <r>
    <n v="1078"/>
    <s v="Theresia"/>
    <s v="Barron"/>
    <s v="NULL"/>
    <s v="theresia.barron@aol.com"/>
    <n v="385"/>
    <d v="2012-12-01T12:43:00"/>
    <n v="4"/>
    <n v="7"/>
    <s v="ROSES REGENCY TEACUP AND SAUCER "/>
    <s v="Credit Card "/>
    <n v="536523"/>
    <n v="22699"/>
    <n v="2.95"/>
    <n v="6"/>
    <n v="0.2"/>
    <x v="4"/>
    <n v="17.700000000000003"/>
    <n v="3.5400000000000009"/>
    <n v="14.160000000000002"/>
    <n v="84.960000000000008"/>
  </r>
  <r>
    <n v="1079"/>
    <s v="Cindi"/>
    <s v="Ellis"/>
    <s v="NULL"/>
    <s v="cindi.ellis@yahoo.com"/>
    <n v="385"/>
    <d v="2012-12-01T12:43:00"/>
    <n v="4"/>
    <n v="26"/>
    <s v="T-LIGHT HOLDER HANGING LACE"/>
    <s v="Credit Card "/>
    <n v="536523"/>
    <n v="22217"/>
    <n v="1.25"/>
    <n v="12"/>
    <n v="0.05"/>
    <x v="4"/>
    <n v="15"/>
    <n v="0.75"/>
    <n v="14.25"/>
    <n v="171"/>
  </r>
  <r>
    <n v="1080"/>
    <s v="Mirella"/>
    <s v="Duffy"/>
    <s v="NULL"/>
    <s v="mirella.duffy@yahoo.com"/>
    <n v="386"/>
    <d v="2012-12-01T12:43:00"/>
    <n v="4"/>
    <n v="8"/>
    <s v="HANGING HEART MIRROR DECORATION "/>
    <s v="Credit Card "/>
    <n v="536523"/>
    <n v="22227"/>
    <n v="0.65"/>
    <n v="24"/>
    <n v="0.2"/>
    <x v="4"/>
    <n v="15.600000000000001"/>
    <n v="3.1200000000000006"/>
    <n v="12.48"/>
    <n v="299.52"/>
  </r>
  <r>
    <n v="1081"/>
    <s v="Carson"/>
    <s v="Macias"/>
    <s v="NULL"/>
    <s v="carson.macias@gmail.com"/>
    <n v="386"/>
    <d v="2012-12-01T12:43:00"/>
    <n v="4"/>
    <n v="3"/>
    <s v="LOVEBIRD HANGING DECORATION WHITE "/>
    <s v="Credit Card "/>
    <n v="536523"/>
    <n v="22219"/>
    <n v="0.85"/>
    <n v="12"/>
    <n v="0.05"/>
    <x v="4"/>
    <n v="10.199999999999999"/>
    <n v="0.51"/>
    <n v="9.69"/>
    <n v="116.28"/>
  </r>
  <r>
    <n v="1082"/>
    <s v="Divina"/>
    <s v="Madden"/>
    <s v="(562) 264-3998"/>
    <s v="divina.madden@gmail.com"/>
    <n v="386"/>
    <d v="2012-12-01T12:43:00"/>
    <n v="4"/>
    <n v="16"/>
    <s v="SCOTTIE DOG HOT WATER BOTTLE"/>
    <s v="Credit Card "/>
    <n v="536523"/>
    <n v="22111"/>
    <n v="4.95"/>
    <n v="3"/>
    <n v="0.2"/>
    <x v="4"/>
    <n v="14.850000000000001"/>
    <n v="2.9700000000000006"/>
    <n v="11.88"/>
    <n v="35.64"/>
  </r>
  <r>
    <n v="1083"/>
    <s v="Cher"/>
    <s v="Alston"/>
    <s v="NULL"/>
    <s v="cher.alston@msn.com"/>
    <n v="387"/>
    <d v="2012-12-01T12:43:00"/>
    <n v="4"/>
    <n v="18"/>
    <s v="HEART FILIGREE DOVE  SMALL"/>
    <s v="Credit Card "/>
    <n v="536523"/>
    <n v="22294"/>
    <n v="1.25"/>
    <n v="24"/>
    <n v="0.2"/>
    <x v="4"/>
    <n v="30"/>
    <n v="6"/>
    <n v="24"/>
    <n v="576"/>
  </r>
  <r>
    <n v="1084"/>
    <s v="Regine"/>
    <s v="Odom"/>
    <s v="NULL"/>
    <s v="regine.odom@msn.com"/>
    <n v="388"/>
    <d v="2012-12-01T12:43:00"/>
    <n v="4"/>
    <n v="19"/>
    <s v="SWISS ROLL TOWEL, CHOCOLATE  SPOTS"/>
    <s v="Credit Card "/>
    <n v="536524"/>
    <n v="21111"/>
    <n v="2.95"/>
    <n v="6"/>
    <n v="0.2"/>
    <x v="4"/>
    <n v="17.700000000000003"/>
    <n v="3.5400000000000009"/>
    <n v="14.160000000000002"/>
    <n v="84.960000000000008"/>
  </r>
  <r>
    <n v="1085"/>
    <s v="Adam"/>
    <s v="Thornton"/>
    <s v="NULL"/>
    <s v="adam.thornton@hotmail.com"/>
    <n v="388"/>
    <d v="2012-12-01T12:43:00"/>
    <n v="4"/>
    <n v="13"/>
    <s v="CREAM SLICE FLANNEL CHOCOLATE SPOT "/>
    <s v="Credit Card "/>
    <n v="536524"/>
    <n v="21106"/>
    <n v="2.95"/>
    <n v="6"/>
    <n v="7.0000000000000007E-2"/>
    <x v="4"/>
    <n v="17.700000000000003"/>
    <n v="1.2390000000000003"/>
    <n v="16.461000000000002"/>
    <n v="98.76600000000002"/>
  </r>
  <r>
    <n v="1086"/>
    <s v="Cori"/>
    <s v="Schwartz"/>
    <s v="NULL"/>
    <s v="cori.schwartz@msn.com"/>
    <n v="388"/>
    <d v="2012-12-01T12:43:00"/>
    <n v="4"/>
    <n v="2"/>
    <s v="CREAM SLICE FLANNEL PINK SPOT "/>
    <s v="Credit Card "/>
    <n v="536524"/>
    <n v="21107"/>
    <n v="2.95"/>
    <n v="6"/>
    <n v="7.0000000000000007E-2"/>
    <x v="4"/>
    <n v="17.700000000000003"/>
    <n v="1.2390000000000003"/>
    <n v="16.461000000000002"/>
    <n v="98.76600000000002"/>
  </r>
  <r>
    <n v="1087"/>
    <s v="Willow"/>
    <s v="Gardner"/>
    <s v="NULL"/>
    <s v="willow.gardner@gmail.com"/>
    <n v="388"/>
    <d v="2012-12-01T12:43:00"/>
    <n v="4"/>
    <n v="11"/>
    <s v="GREEN REGENCY TEACUP AND SAUCER"/>
    <s v="Credit Card "/>
    <n v="536524"/>
    <n v="22697"/>
    <n v="2.95"/>
    <n v="6"/>
    <n v="0.1"/>
    <x v="0"/>
    <n v="17.700000000000003"/>
    <n v="1.7700000000000005"/>
    <n v="15.930000000000003"/>
    <n v="95.580000000000013"/>
  </r>
  <r>
    <n v="1088"/>
    <s v="Jane"/>
    <s v="Henderson"/>
    <s v="NULL"/>
    <s v="jane.henderson@hotmail.com"/>
    <n v="389"/>
    <d v="2012-12-01T12:43:00"/>
    <n v="4"/>
    <n v="2"/>
    <s v="EIGHT PIECE DINOSAUR SET"/>
    <s v="Credit Card "/>
    <n v="536525"/>
    <n v="21826"/>
    <n v="1.25"/>
    <n v="2"/>
    <n v="7.0000000000000007E-2"/>
    <x v="0"/>
    <n v="2.5"/>
    <n v="0.17500000000000002"/>
    <n v="2.3250000000000002"/>
    <n v="4.6500000000000004"/>
  </r>
  <r>
    <n v="1089"/>
    <s v="Chere"/>
    <s v="Mcfadden"/>
    <s v="NULL"/>
    <s v="chere.mcfadden@yahoo.com"/>
    <n v="389"/>
    <d v="2012-12-01T12:43:00"/>
    <n v="3"/>
    <n v="15"/>
    <s v="VINTAGE HEADS AND TAILS CARD GAME "/>
    <s v="Credit Card "/>
    <n v="536525"/>
    <n v="21791"/>
    <n v="1.25"/>
    <n v="1"/>
    <n v="7.0000000000000007E-2"/>
    <x v="0"/>
    <n v="1.25"/>
    <n v="8.7500000000000008E-2"/>
    <n v="1.1625000000000001"/>
    <n v="1.1625000000000001"/>
  </r>
  <r>
    <n v="1090"/>
    <s v="Ira"/>
    <s v="Erickson"/>
    <s v="NULL"/>
    <s v="ira.erickson@aol.com"/>
    <n v="389"/>
    <d v="2012-12-01T12:43:00"/>
    <n v="4"/>
    <n v="10"/>
    <s v="HEADS AND TAILS SPORTING FUN"/>
    <s v="Credit Card "/>
    <n v="536525"/>
    <n v="22548"/>
    <n v="1.25"/>
    <n v="1"/>
    <n v="0.05"/>
    <x v="0"/>
    <n v="1.25"/>
    <n v="6.25E-2"/>
    <n v="1.1875"/>
    <n v="1.1875"/>
  </r>
  <r>
    <n v="1091"/>
    <s v="Risa"/>
    <s v="Gallagher"/>
    <s v="NULL"/>
    <s v="risa.gallagher@yahoo.com"/>
    <n v="389"/>
    <d v="2012-12-01T12:43:00"/>
    <n v="4"/>
    <n v="5"/>
    <s v="FELTCRAFT 6 FLOWER FRIENDS"/>
    <s v="Credit Card "/>
    <n v="536525"/>
    <n v="22149"/>
    <n v="2.1"/>
    <n v="1"/>
    <n v="0.05"/>
    <x v="0"/>
    <n v="2.1"/>
    <n v="0.10500000000000001"/>
    <n v="1.9950000000000001"/>
    <n v="1.9950000000000001"/>
  </r>
  <r>
    <n v="1092"/>
    <s v="Lavinia"/>
    <s v="Cotton"/>
    <s v="NULL"/>
    <s v="lavinia.cotton@yahoo.com"/>
    <n v="389"/>
    <d v="2012-12-01T12:43:00"/>
    <n v="4"/>
    <n v="9"/>
    <s v="ASS COL SMALL SAND GECKO P'WEIGHT"/>
    <s v="Credit Card "/>
    <n v="536525"/>
    <s v="17164B"/>
    <n v="0.42"/>
    <n v="2"/>
    <n v="0.2"/>
    <x v="0"/>
    <n v="0.84"/>
    <n v="0.16800000000000001"/>
    <n v="0.67199999999999993"/>
    <n v="1.3439999999999999"/>
  </r>
  <r>
    <n v="1093"/>
    <s v="Alejandrina"/>
    <s v="Hodges"/>
    <s v="NULL"/>
    <s v="alejandrina.hodges@msn.com"/>
    <n v="390"/>
    <d v="2012-12-01T12:43:00"/>
    <n v="4"/>
    <n v="23"/>
    <s v="REGENCY CAKESTAND 3 TIER"/>
    <s v="Credit Card "/>
    <n v="536525"/>
    <n v="22423"/>
    <n v="12.75"/>
    <n v="2"/>
    <n v="0.05"/>
    <x v="0"/>
    <n v="25.5"/>
    <n v="1.2750000000000001"/>
    <n v="24.225000000000001"/>
    <n v="48.45"/>
  </r>
  <r>
    <n v="1094"/>
    <s v="Keitha"/>
    <s v="Black"/>
    <s v="NULL"/>
    <s v="keitha.black@yahoo.com"/>
    <n v="390"/>
    <d v="2012-12-01T12:43:00"/>
    <n v="4"/>
    <n v="7"/>
    <s v="ENAMEL MEASURING JUG CREAM"/>
    <s v="Credit Card "/>
    <n v="536525"/>
    <n v="22429"/>
    <n v="4.25"/>
    <n v="1"/>
    <n v="7.0000000000000007E-2"/>
    <x v="0"/>
    <n v="4.25"/>
    <n v="0.29750000000000004"/>
    <n v="3.9525000000000001"/>
    <n v="3.9525000000000001"/>
  </r>
  <r>
    <n v="1095"/>
    <s v="Corene"/>
    <s v="Swanson"/>
    <s v="NULL"/>
    <s v="corene.swanson@aol.com"/>
    <n v="390"/>
    <d v="2012-12-01T12:43:00"/>
    <n v="4"/>
    <n v="9"/>
    <s v="ENAMEL FIRE BUCKET CREAM"/>
    <s v="Credit Card "/>
    <n v="536525"/>
    <n v="22428"/>
    <n v="6.95"/>
    <n v="1"/>
    <n v="0.05"/>
    <x v="0"/>
    <n v="6.95"/>
    <n v="0.34750000000000003"/>
    <n v="6.6025"/>
    <n v="6.6025"/>
  </r>
  <r>
    <n v="1096"/>
    <s v="Tonda"/>
    <s v="Webb"/>
    <s v="NULL"/>
    <s v="tonda.webb@yahoo.com"/>
    <n v="391"/>
    <d v="2012-12-01T12:43:00"/>
    <n v="4"/>
    <n v="8"/>
    <s v="12 PENCILS SMALL TUBE SKULL"/>
    <s v="Credit Card "/>
    <n v="536525"/>
    <n v="20974"/>
    <n v="0.65"/>
    <n v="3"/>
    <n v="7.0000000000000007E-2"/>
    <x v="0"/>
    <n v="1.9500000000000002"/>
    <n v="0.13650000000000004"/>
    <n v="1.8135000000000001"/>
    <n v="5.4405000000000001"/>
  </r>
  <r>
    <n v="1097"/>
    <s v="Collen"/>
    <s v="Dennis"/>
    <s v="NULL"/>
    <s v="collen.dennis@gmail.com"/>
    <n v="391"/>
    <d v="2012-12-01T12:43:00"/>
    <n v="4"/>
    <n v="5"/>
    <s v="12 PENCIL SMALL TUBE WOODLAND"/>
    <s v="Credit Card "/>
    <n v="536525"/>
    <n v="20973"/>
    <n v="0.65"/>
    <n v="2"/>
    <n v="0.2"/>
    <x v="1"/>
    <n v="1.3"/>
    <n v="0.26"/>
    <n v="1.04"/>
    <n v="2.08"/>
  </r>
  <r>
    <n v="1098"/>
    <s v="Treasa"/>
    <s v="Dickerson"/>
    <s v="NULL"/>
    <s v="treasa.dickerson@hotmail.com"/>
    <n v="391"/>
    <d v="2012-12-01T12:43:00"/>
    <n v="4"/>
    <n v="24"/>
    <s v="BLUE PAPER PARASOL "/>
    <s v="Credit Card "/>
    <n v="536525"/>
    <s v="15044B"/>
    <n v="2.95"/>
    <n v="1"/>
    <n v="7.0000000000000007E-2"/>
    <x v="1"/>
    <n v="2.95"/>
    <n v="0.20650000000000004"/>
    <n v="2.7435"/>
    <n v="2.7435"/>
  </r>
  <r>
    <n v="1099"/>
    <s v="Jewell"/>
    <s v="Reyes"/>
    <s v="NULL"/>
    <s v="jewell.reyes@hotmail.com"/>
    <n v="392"/>
    <d v="2012-12-01T12:43:00"/>
    <n v="4"/>
    <n v="14"/>
    <s v="HANGING MEDINA LANTERN SMALL"/>
    <s v="Credit Card "/>
    <n v="536525"/>
    <n v="21324"/>
    <n v="2.95"/>
    <n v="2"/>
    <n v="0.1"/>
    <x v="1"/>
    <n v="5.9"/>
    <n v="0.59000000000000008"/>
    <n v="5.3100000000000005"/>
    <n v="10.620000000000001"/>
  </r>
  <r>
    <n v="1100"/>
    <s v="Penny"/>
    <s v="Acevedo"/>
    <s v="NULL"/>
    <s v="penny.acevedo@yahoo.com"/>
    <n v="392"/>
    <d v="2012-12-01T12:43:00"/>
    <n v="4"/>
    <n v="3"/>
    <s v="RED RETROSPOT MINI CASES"/>
    <s v="Credit Card "/>
    <n v="536525"/>
    <n v="20750"/>
    <n v="7.95"/>
    <n v="10"/>
    <n v="0.05"/>
    <x v="1"/>
    <n v="79.5"/>
    <n v="3.9750000000000001"/>
    <n v="75.525000000000006"/>
    <n v="755.25"/>
  </r>
  <r>
    <n v="1101"/>
    <s v="Louise"/>
    <s v="Flowers"/>
    <s v="NULL"/>
    <s v="louise.flowers@yahoo.com"/>
    <n v="393"/>
    <d v="2012-12-01T12:43:00"/>
    <n v="4"/>
    <n v="6"/>
    <s v="VICTORIAN  METAL POSTCARD SPRING"/>
    <s v="Credit Card "/>
    <n v="536526"/>
    <n v="21135"/>
    <n v="1.69"/>
    <n v="16"/>
    <n v="0.2"/>
    <x v="1"/>
    <n v="27.04"/>
    <n v="5.4080000000000004"/>
    <n v="21.631999999999998"/>
    <n v="346.11199999999997"/>
  </r>
  <r>
    <n v="1102"/>
    <s v="Henrietta"/>
    <s v="Wagner"/>
    <s v="(682) 143-2224"/>
    <s v="henrietta.wagner@hotmail.com"/>
    <n v="394"/>
    <d v="2012-12-01T12:43:00"/>
    <n v="4"/>
    <n v="23"/>
    <s v="METAL 4 HOOK HANGER FRENCH CHATEAU"/>
    <s v="Credit Card "/>
    <n v="536526"/>
    <n v="22173"/>
    <n v="2.95"/>
    <n v="16"/>
    <n v="0.05"/>
    <x v="1"/>
    <n v="47.2"/>
    <n v="2.3600000000000003"/>
    <n v="44.84"/>
    <n v="717.44"/>
  </r>
  <r>
    <n v="1103"/>
    <s v="Ardelia"/>
    <s v="Cooley"/>
    <s v="NULL"/>
    <s v="ardelia.cooley@aol.com"/>
    <n v="394"/>
    <d v="2012-12-01T12:43:00"/>
    <n v="4"/>
    <n v="16"/>
    <s v="BLACK KITCHEN SCALES"/>
    <s v="Credit Card "/>
    <n v="536526"/>
    <n v="22626"/>
    <n v="8.5"/>
    <n v="2"/>
    <n v="0.2"/>
    <x v="1"/>
    <n v="17"/>
    <n v="3.4000000000000004"/>
    <n v="13.6"/>
    <n v="27.2"/>
  </r>
  <r>
    <n v="1104"/>
    <s v="Khalilah"/>
    <s v="Robertson"/>
    <s v="NULL"/>
    <s v="khalilah.robertson@aol.com"/>
    <n v="394"/>
    <d v="2012-12-01T12:43:00"/>
    <n v="4"/>
    <n v="14"/>
    <s v="RED KITCHEN SCALES"/>
    <s v="Credit Card "/>
    <n v="536526"/>
    <n v="22625"/>
    <n v="8.5"/>
    <n v="6"/>
    <n v="0.2"/>
    <x v="1"/>
    <n v="51"/>
    <n v="10.200000000000001"/>
    <n v="40.799999999999997"/>
    <n v="244.79999999999998"/>
  </r>
  <r>
    <n v="1105"/>
    <s v="Armando"/>
    <s v="Black"/>
    <s v="NULL"/>
    <s v="armando.black@gmail.com"/>
    <n v="395"/>
    <d v="2012-12-01T12:43:00"/>
    <n v="4"/>
    <n v="14"/>
    <s v="IVORY KITCHEN SCALES"/>
    <s v="Credit Card "/>
    <n v="536526"/>
    <n v="22624"/>
    <n v="8.5"/>
    <n v="6"/>
    <n v="0.05"/>
    <x v="1"/>
    <n v="51"/>
    <n v="2.5500000000000003"/>
    <n v="48.45"/>
    <n v="290.70000000000005"/>
  </r>
  <r>
    <n v="1106"/>
    <s v="Jerri"/>
    <s v="Henry"/>
    <s v="NULL"/>
    <s v="jerri.henry@msn.com"/>
    <n v="396"/>
    <d v="2012-12-01T12:43:00"/>
    <n v="4"/>
    <n v="12"/>
    <s v="JUMBO BAG PINK VINTAGE PAISLEY"/>
    <s v="Credit Card "/>
    <n v="536526"/>
    <n v="21929"/>
    <n v="1.95"/>
    <n v="20"/>
    <n v="0.1"/>
    <x v="1"/>
    <n v="39"/>
    <n v="3.9000000000000004"/>
    <n v="35.1"/>
    <n v="702"/>
  </r>
  <r>
    <n v="1107"/>
    <s v="Lynda"/>
    <s v="Newman"/>
    <s v="NULL"/>
    <s v="lynda.newman@msn.com"/>
    <n v="396"/>
    <d v="2012-12-01T12:43:00"/>
    <n v="4"/>
    <n v="25"/>
    <s v="JUMBO BAG RED RETROSPOT"/>
    <s v="Credit Card "/>
    <n v="536526"/>
    <s v="85099B"/>
    <n v="1.95"/>
    <n v="10"/>
    <n v="0.05"/>
    <x v="1"/>
    <n v="19.5"/>
    <n v="0.97500000000000009"/>
    <n v="18.524999999999999"/>
    <n v="185.25"/>
  </r>
  <r>
    <n v="1108"/>
    <s v="Bao"/>
    <s v="Wade"/>
    <s v="NULL"/>
    <s v="bao.wade@gmail.com"/>
    <n v="396"/>
    <d v="2012-12-01T12:43:00"/>
    <n v="4"/>
    <n v="5"/>
    <s v="JUMBO SHOPPER VINTAGE RED PAISLEY"/>
    <s v="Credit Card "/>
    <n v="536526"/>
    <n v="22411"/>
    <n v="1.95"/>
    <n v="10"/>
    <n v="0.2"/>
    <x v="1"/>
    <n v="19.5"/>
    <n v="3.9000000000000004"/>
    <n v="15.6"/>
    <n v="156"/>
  </r>
  <r>
    <n v="1109"/>
    <s v="Gussie"/>
    <s v="Harding"/>
    <s v="NULL"/>
    <s v="gussie.harding@gmail.com"/>
    <n v="397"/>
    <d v="2012-12-01T12:43:00"/>
    <n v="4"/>
    <n v="7"/>
    <s v="GREY HEART HOT WATER BOTTLE"/>
    <s v="Credit Card "/>
    <n v="536526"/>
    <n v="22113"/>
    <n v="3.75"/>
    <n v="8"/>
    <n v="0.05"/>
    <x v="1"/>
    <n v="30"/>
    <n v="1.5"/>
    <n v="28.5"/>
    <n v="228"/>
  </r>
  <r>
    <n v="1110"/>
    <s v="Shirely"/>
    <s v="Cantrell"/>
    <s v="NULL"/>
    <s v="shirely.cantrell@aol.com"/>
    <n v="398"/>
    <d v="2012-12-01T12:43:00"/>
    <n v="1"/>
    <n v="8"/>
    <s v="SET OF 6 T-LIGHTS SANTA"/>
    <s v="Cash on Delivery"/>
    <n v="536527"/>
    <n v="22809"/>
    <n v="2.95"/>
    <n v="6"/>
    <n v="0.05"/>
    <x v="0"/>
    <n v="17.700000000000003"/>
    <n v="0.88500000000000023"/>
    <n v="16.815000000000001"/>
    <n v="100.89000000000001"/>
  </r>
  <r>
    <n v="1111"/>
    <s v="Caroline"/>
    <s v="Jenkins"/>
    <s v="NULL"/>
    <s v="caroline.jenkins@msn.com"/>
    <n v="398"/>
    <d v="2012-12-01T12:43:00"/>
    <n v="2"/>
    <n v="18"/>
    <s v="ROTATING SILVER ANGELS T-LIGHT HLDR"/>
    <s v="Cash on Delivery"/>
    <n v="536527"/>
    <n v="84347"/>
    <n v="2.5499999999999998"/>
    <n v="6"/>
    <n v="0.05"/>
    <x v="0"/>
    <n v="15.299999999999999"/>
    <n v="0.76500000000000001"/>
    <n v="14.534999999999998"/>
    <n v="87.21"/>
  </r>
  <r>
    <n v="1112"/>
    <s v="Hollis"/>
    <s v="Rasmussen"/>
    <s v="NULL"/>
    <s v="hollis.rasmussen@yahoo.com"/>
    <n v="398"/>
    <d v="2012-12-01T12:43:00"/>
    <n v="2"/>
    <n v="25"/>
    <s v="MULTI COLOUR SILVER T-LIGHT HOLDER"/>
    <s v="Cash on Delivery"/>
    <n v="536527"/>
    <n v="84945"/>
    <n v="0.85"/>
    <n v="12"/>
    <n v="0.2"/>
    <x v="0"/>
    <n v="10.199999999999999"/>
    <n v="2.04"/>
    <n v="8.16"/>
    <n v="97.92"/>
  </r>
  <r>
    <n v="1113"/>
    <s v="Kendra"/>
    <s v="Harrington"/>
    <s v="NULL"/>
    <s v="kendra.harrington@yahoo.com"/>
    <n v="398"/>
    <d v="2012-12-01T12:43:00"/>
    <n v="2"/>
    <n v="17"/>
    <s v="5 HOOK HANGER MAGIC TOADSTOOL"/>
    <s v="Cash on Delivery"/>
    <n v="536527"/>
    <n v="22242"/>
    <n v="1.65"/>
    <n v="12"/>
    <n v="0.05"/>
    <x v="0"/>
    <n v="19.799999999999997"/>
    <n v="0.98999999999999988"/>
    <n v="18.809999999999999"/>
    <n v="225.71999999999997"/>
  </r>
  <r>
    <n v="1114"/>
    <s v="Douglass"/>
    <s v="Blankenship"/>
    <s v="(229) 891-2087"/>
    <s v="douglass.blankenship@hotmail.com"/>
    <n v="399"/>
    <d v="2012-12-01T12:43:00"/>
    <n v="2"/>
    <n v="25"/>
    <s v="3 HOOK HANGER MAGIC GARDEN"/>
    <s v="Cash on Delivery"/>
    <n v="536527"/>
    <n v="22244"/>
    <n v="1.95"/>
    <n v="12"/>
    <n v="0.05"/>
    <x v="0"/>
    <n v="23.4"/>
    <n v="1.17"/>
    <n v="22.229999999999997"/>
    <n v="266.76"/>
  </r>
  <r>
    <n v="1115"/>
    <s v="Lina"/>
    <s v="Meadows"/>
    <s v="NULL"/>
    <s v="lina.meadows@aol.com"/>
    <n v="399"/>
    <d v="2012-12-01T12:43:00"/>
    <n v="2"/>
    <n v="11"/>
    <s v="5 HOOK HANGER RED MAGIC TOADSTOOL"/>
    <s v="Cash on Delivery"/>
    <n v="536527"/>
    <n v="22243"/>
    <n v="1.65"/>
    <n v="12"/>
    <n v="0.05"/>
    <x v="0"/>
    <n v="19.799999999999997"/>
    <n v="0.98999999999999988"/>
    <n v="18.809999999999999"/>
    <n v="225.71999999999997"/>
  </r>
  <r>
    <n v="1116"/>
    <s v="Patria"/>
    <s v="Harper"/>
    <s v="NULL"/>
    <s v="patria.harper@msn.com"/>
    <n v="399"/>
    <d v="2012-12-01T12:43:00"/>
    <n v="2"/>
    <n v="14"/>
    <s v="ASSORTED COLOUR LIZARD SUCTION HOOK"/>
    <s v="Cash on Delivery"/>
    <n v="536527"/>
    <n v="47421"/>
    <n v="0.42"/>
    <n v="24"/>
    <n v="0.1"/>
    <x v="0"/>
    <n v="10.08"/>
    <n v="1.008"/>
    <n v="9.0719999999999992"/>
    <n v="217.72799999999998"/>
  </r>
  <r>
    <n v="1117"/>
    <s v="Jeffrey"/>
    <s v="Hill"/>
    <s v="NULL"/>
    <s v="jeffrey.hill@gmail.com"/>
    <n v="400"/>
    <d v="2012-12-01T12:43:00"/>
    <n v="1"/>
    <n v="24"/>
    <s v="JUMBO BAG WOODLAND ANIMALS"/>
    <s v="Cash on Delivery"/>
    <n v="536527"/>
    <n v="20712"/>
    <n v="1.95"/>
    <n v="10"/>
    <n v="7.0000000000000007E-2"/>
    <x v="0"/>
    <n v="19.5"/>
    <n v="1.3650000000000002"/>
    <n v="18.134999999999998"/>
    <n v="181.34999999999997"/>
  </r>
  <r>
    <n v="1118"/>
    <s v="Ja"/>
    <s v="Dillard"/>
    <s v="NULL"/>
    <s v="ja.dillard@yahoo.com"/>
    <n v="400"/>
    <d v="2012-12-01T12:43:00"/>
    <n v="1"/>
    <n v="9"/>
    <s v="JUMBO BAG OWLS"/>
    <s v="Cash on Delivery"/>
    <n v="536527"/>
    <n v="20713"/>
    <n v="1.95"/>
    <n v="10"/>
    <n v="0.2"/>
    <x v="0"/>
    <n v="19.5"/>
    <n v="3.9000000000000004"/>
    <n v="15.6"/>
    <n v="156"/>
  </r>
  <r>
    <n v="1119"/>
    <s v="Tora"/>
    <s v="Dunlap"/>
    <s v="NULL"/>
    <s v="tora.dunlap@hotmail.com"/>
    <n v="400"/>
    <d v="2012-12-01T12:43:00"/>
    <n v="3"/>
    <n v="3"/>
    <s v="HOT WATER BOTTLE BABUSHKA "/>
    <s v="Debit Card"/>
    <n v="536527"/>
    <n v="22837"/>
    <n v="4.6500000000000004"/>
    <n v="4"/>
    <n v="0.2"/>
    <x v="0"/>
    <n v="18.600000000000001"/>
    <n v="3.7200000000000006"/>
    <n v="14.88"/>
    <n v="59.52"/>
  </r>
  <r>
    <n v="1120"/>
    <s v="Karole"/>
    <s v="Alvarez"/>
    <s v="NULL"/>
    <s v="karole.alvarez@gmail.com"/>
    <n v="401"/>
    <d v="2012-12-01T12:43:00"/>
    <n v="3"/>
    <n v="23"/>
    <s v="HOMEMADE JAM SCENTED CANDLES"/>
    <s v="Debit Card"/>
    <n v="536527"/>
    <n v="22969"/>
    <n v="1.45"/>
    <n v="12"/>
    <n v="0.2"/>
    <x v="0"/>
    <n v="17.399999999999999"/>
    <n v="3.48"/>
    <n v="13.919999999999998"/>
    <n v="167.03999999999996"/>
  </r>
  <r>
    <n v="1121"/>
    <s v="Shasta"/>
    <s v="Combs"/>
    <s v="NULL"/>
    <s v="shasta.combs@yahoo.com"/>
    <n v="401"/>
    <d v="2012-12-01T12:43:00"/>
    <n v="4"/>
    <n v="10"/>
    <s v="CHILDREN'S CIRCUS PARADE MUG"/>
    <s v="Debit Card"/>
    <n v="536527"/>
    <n v="22973"/>
    <n v="1.65"/>
    <n v="12"/>
    <n v="0.2"/>
    <x v="0"/>
    <n v="19.799999999999997"/>
    <n v="3.9599999999999995"/>
    <n v="15.839999999999998"/>
    <n v="190.07999999999998"/>
  </r>
  <r>
    <n v="1122"/>
    <s v="Cicely"/>
    <s v="Deleon"/>
    <s v="NULL"/>
    <s v="cicely.deleon@yahoo.com"/>
    <n v="402"/>
    <d v="2012-12-01T12:43:00"/>
    <n v="4"/>
    <n v="6"/>
    <s v="PACK 3 FIRE ENGINE/CAR PATCHES"/>
    <s v="Amazon Pay"/>
    <n v="536527"/>
    <s v="84569B"/>
    <n v="1.25"/>
    <n v="12"/>
    <n v="7.0000000000000007E-2"/>
    <x v="0"/>
    <n v="15"/>
    <n v="1.05"/>
    <n v="13.95"/>
    <n v="167.39999999999998"/>
  </r>
  <r>
    <n v="1123"/>
    <s v="Raphael"/>
    <s v="O'neil"/>
    <s v="NULL"/>
    <s v="raphael.o'neil@aol.com"/>
    <n v="402"/>
    <d v="2012-12-01T12:43:00"/>
    <n v="4"/>
    <n v="5"/>
    <s v="PICTURE DOMINOES"/>
    <s v="Amazon Pay"/>
    <n v="536527"/>
    <n v="22549"/>
    <n v="1.45"/>
    <n v="12"/>
    <n v="7.0000000000000007E-2"/>
    <x v="0"/>
    <n v="17.399999999999999"/>
    <n v="1.218"/>
    <n v="16.181999999999999"/>
    <n v="194.18399999999997"/>
  </r>
  <r>
    <n v="1124"/>
    <s v="Hubert"/>
    <s v="Reilly"/>
    <s v="NULL"/>
    <s v="hubert.reilly@hotmail.com"/>
    <n v="402"/>
    <d v="2012-12-01T12:43:00"/>
    <n v="4"/>
    <n v="26"/>
    <s v="POSTAGE"/>
    <s v="Amazon Pay"/>
    <n v="536527"/>
    <s v="POST"/>
    <n v="18"/>
    <n v="1"/>
    <n v="0.05"/>
    <x v="0"/>
    <n v="18"/>
    <n v="0.9"/>
    <n v="17.100000000000001"/>
    <n v="17.100000000000001"/>
  </r>
  <r>
    <n v="1125"/>
    <s v="Caleb"/>
    <s v="England"/>
    <s v="NULL"/>
    <s v="caleb.england@gmail.com"/>
    <n v="403"/>
    <d v="2012-12-01T12:43:00"/>
    <n v="4"/>
    <n v="12"/>
    <s v="CARD PSYCHEDELIC APPLES"/>
    <s v="Credit Card "/>
    <n v="536528"/>
    <n v="22815"/>
    <n v="0.42"/>
    <n v="12"/>
    <n v="0.1"/>
    <x v="1"/>
    <n v="5.04"/>
    <n v="0.504"/>
    <n v="4.5359999999999996"/>
    <n v="54.431999999999995"/>
  </r>
  <r>
    <n v="1126"/>
    <s v="Elmira"/>
    <s v="Levy"/>
    <s v="NULL"/>
    <s v="elmira.levy@gmail.com"/>
    <n v="403"/>
    <d v="2012-12-01T12:43:00"/>
    <n v="4"/>
    <n v="7"/>
    <s v="HAND WARMER OWL DESIGN"/>
    <s v="Credit Card "/>
    <n v="536528"/>
    <n v="22865"/>
    <n v="2.1"/>
    <n v="1"/>
    <n v="0.2"/>
    <x v="1"/>
    <n v="2.1"/>
    <n v="0.42000000000000004"/>
    <n v="1.6800000000000002"/>
    <n v="1.6800000000000002"/>
  </r>
  <r>
    <n v="1127"/>
    <s v="Waldo"/>
    <s v="Hart"/>
    <s v="NULL"/>
    <s v="waldo.hart@yahoo.com"/>
    <n v="403"/>
    <d v="2012-12-01T12:43:00"/>
    <n v="4"/>
    <n v="22"/>
    <s v="PACK OF 6 BIRDY GIFT TAGS"/>
    <s v="Credit Card "/>
    <n v="536528"/>
    <n v="22585"/>
    <n v="1.25"/>
    <n v="6"/>
    <n v="0.05"/>
    <x v="1"/>
    <n v="7.5"/>
    <n v="0.375"/>
    <n v="7.125"/>
    <n v="42.75"/>
  </r>
  <r>
    <n v="1128"/>
    <s v="Bea"/>
    <s v="Kane"/>
    <s v="NULL"/>
    <s v="bea.kane@aol.com"/>
    <n v="403"/>
    <d v="2012-12-01T12:43:00"/>
    <n v="4"/>
    <n v="24"/>
    <s v="COSY HOUR GIANT TUBE MATCHES"/>
    <s v="Credit Card "/>
    <n v="536528"/>
    <n v="21587"/>
    <n v="2.5499999999999998"/>
    <n v="1"/>
    <n v="0.2"/>
    <x v="1"/>
    <n v="2.5499999999999998"/>
    <n v="0.51"/>
    <n v="2.04"/>
    <n v="2.04"/>
  </r>
  <r>
    <n v="1129"/>
    <s v="Gilberto"/>
    <s v="Sanders"/>
    <s v="NULL"/>
    <s v="gilberto.sanders@hotmail.com"/>
    <n v="404"/>
    <d v="2012-12-01T12:43:00"/>
    <n v="4"/>
    <n v="9"/>
    <s v="SET OF 72 GREEN PAPER DOILIES"/>
    <s v="Credit Card "/>
    <n v="536528"/>
    <s v="84985A"/>
    <n v="1.45"/>
    <n v="1"/>
    <n v="7.0000000000000007E-2"/>
    <x v="1"/>
    <n v="1.45"/>
    <n v="0.10150000000000001"/>
    <n v="1.3485"/>
    <n v="1.3485"/>
  </r>
  <r>
    <n v="1130"/>
    <s v="Benny"/>
    <s v="Bender"/>
    <s v="NULL"/>
    <s v="benny.bender@aol.com"/>
    <n v="404"/>
    <d v="2012-12-01T12:43:00"/>
    <n v="4"/>
    <n v="25"/>
    <s v="IVORY ENCHANTED FOREST PLACEMAT"/>
    <s v="Credit Card "/>
    <n v="536528"/>
    <s v="85114B"/>
    <n v="1.65"/>
    <n v="1"/>
    <n v="0.05"/>
    <x v="1"/>
    <n v="1.65"/>
    <n v="8.2500000000000004E-2"/>
    <n v="1.5674999999999999"/>
    <n v="1.5674999999999999"/>
  </r>
  <r>
    <n v="1131"/>
    <s v="Desmond"/>
    <s v="Rose"/>
    <s v="NULL"/>
    <s v="desmond.rose@hotmail.com"/>
    <n v="404"/>
    <d v="2012-12-01T12:43:00"/>
    <n v="4"/>
    <n v="16"/>
    <s v="PACK 3 BOXES BIRD PANNETONE "/>
    <s v="Credit Card "/>
    <n v="536528"/>
    <n v="22813"/>
    <n v="1.95"/>
    <n v="3"/>
    <n v="0.2"/>
    <x v="1"/>
    <n v="5.85"/>
    <n v="1.17"/>
    <n v="4.68"/>
    <n v="14.04"/>
  </r>
  <r>
    <n v="1132"/>
    <s v="Parthenia"/>
    <s v="Holman"/>
    <s v="NULL"/>
    <s v="parthenia.holman@gmail.com"/>
    <n v="405"/>
    <d v="2012-12-01T12:43:00"/>
    <n v="4"/>
    <n v="3"/>
    <s v="PARTY CONES CANDY ASSORTED"/>
    <s v="Credit Card "/>
    <n v="536528"/>
    <n v="22128"/>
    <n v="1.25"/>
    <n v="6"/>
    <n v="0.2"/>
    <x v="1"/>
    <n v="7.5"/>
    <n v="1.5"/>
    <n v="6"/>
    <n v="36"/>
  </r>
  <r>
    <n v="1133"/>
    <s v="Dung"/>
    <s v="King"/>
    <s v="NULL"/>
    <s v="dung.king@aol.com"/>
    <n v="405"/>
    <d v="2012-12-01T12:43:00"/>
    <n v="4"/>
    <n v="10"/>
    <s v="3 TIER CAKE TIN GREEN AND CREAM"/>
    <s v="Credit Card "/>
    <n v="536528"/>
    <n v="22839"/>
    <n v="14.95"/>
    <n v="1"/>
    <n v="0.1"/>
    <x v="1"/>
    <n v="14.95"/>
    <n v="1.4950000000000001"/>
    <n v="13.454999999999998"/>
    <n v="13.454999999999998"/>
  </r>
  <r>
    <n v="1134"/>
    <s v="Sherril"/>
    <s v="Alvarado"/>
    <s v="NULL"/>
    <s v="sherril.alvarado@hotmail.com"/>
    <n v="405"/>
    <d v="2012-12-01T12:43:00"/>
    <n v="4"/>
    <n v="14"/>
    <s v="PACK OF 6 PANNETONE GIFT BOXES"/>
    <s v="Credit Card "/>
    <n v="536528"/>
    <n v="22584"/>
    <n v="2.5499999999999998"/>
    <n v="2"/>
    <n v="7.0000000000000007E-2"/>
    <x v="1"/>
    <n v="5.0999999999999996"/>
    <n v="0.35699999999999998"/>
    <n v="4.7429999999999994"/>
    <n v="9.4859999999999989"/>
  </r>
  <r>
    <n v="1135"/>
    <s v="Alisia"/>
    <s v="Albert"/>
    <s v="NULL"/>
    <s v="alisia.albert@gmail.com"/>
    <n v="406"/>
    <d v="2012-12-01T12:43:00"/>
    <n v="4"/>
    <n v="4"/>
    <s v="PARTY CONE CHRISTMAS DECORATION "/>
    <s v="Credit Card "/>
    <n v="536528"/>
    <n v="22130"/>
    <n v="0.85"/>
    <n v="12"/>
    <n v="0.2"/>
    <x v="1"/>
    <n v="10.199999999999999"/>
    <n v="2.04"/>
    <n v="8.16"/>
    <n v="97.92"/>
  </r>
  <r>
    <n v="1136"/>
    <s v="Kallie"/>
    <s v="Best"/>
    <s v="(507) 997-4112"/>
    <s v="kallie.best@aol.com"/>
    <n v="407"/>
    <d v="2012-12-01T12:43:00"/>
    <n v="4"/>
    <n v="20"/>
    <s v="CUPCAKE LACE PAPER SET 6"/>
    <s v="Credit Card "/>
    <n v="536528"/>
    <n v="22938"/>
    <n v="1.95"/>
    <n v="3"/>
    <n v="0.2"/>
    <x v="1"/>
    <n v="5.85"/>
    <n v="1.17"/>
    <n v="4.68"/>
    <n v="14.04"/>
  </r>
  <r>
    <n v="1137"/>
    <s v="Dottie"/>
    <s v="Roberts"/>
    <s v="NULL"/>
    <s v="dottie.roberts@aol.com"/>
    <n v="407"/>
    <d v="2012-12-01T12:43:00"/>
    <n v="4"/>
    <n v="5"/>
    <s v="JUMBO SHOPPER VINTAGE RED PAISLEY"/>
    <s v="Credit Card "/>
    <n v="536528"/>
    <n v="22411"/>
    <n v="1.95"/>
    <n v="1"/>
    <n v="0.05"/>
    <x v="1"/>
    <n v="1.95"/>
    <n v="9.7500000000000003E-2"/>
    <n v="1.8525"/>
    <n v="1.8525"/>
  </r>
  <r>
    <n v="1138"/>
    <s v="Hubert"/>
    <s v="Stone"/>
    <s v="NULL"/>
    <s v="hubert.stone@hotmail.com"/>
    <n v="408"/>
    <d v="2012-12-01T12:43:00"/>
    <n v="4"/>
    <n v="18"/>
    <s v="RED TOADSTOOL LED NIGHT LIGHT"/>
    <s v="Credit Card "/>
    <n v="536528"/>
    <n v="21731"/>
    <n v="1.65"/>
    <n v="2"/>
    <n v="0.2"/>
    <x v="1"/>
    <n v="3.3"/>
    <n v="0.66"/>
    <n v="2.6399999999999997"/>
    <n v="5.2799999999999994"/>
  </r>
  <r>
    <n v="1139"/>
    <s v="Gabriella"/>
    <s v="Jones"/>
    <s v="NULL"/>
    <s v="gabriella.jones@hotmail.com"/>
    <n v="408"/>
    <d v="2012-12-01T12:43:00"/>
    <n v="4"/>
    <n v="3"/>
    <s v="PACK OF 12 LONDON TISSUES "/>
    <s v="Credit Card "/>
    <n v="536528"/>
    <n v="22616"/>
    <n v="0.28999999999999998"/>
    <n v="1"/>
    <n v="7.0000000000000007E-2"/>
    <x v="1"/>
    <n v="0.28999999999999998"/>
    <n v="2.0300000000000002E-2"/>
    <n v="0.2697"/>
    <n v="0.2697"/>
  </r>
  <r>
    <n v="1140"/>
    <s v="Penney"/>
    <s v="Hall"/>
    <s v="NULL"/>
    <s v="penney.hall@msn.com"/>
    <n v="408"/>
    <d v="2012-12-01T12:43:00"/>
    <n v="4"/>
    <n v="2"/>
    <s v="MEASURING TAPE BABUSHKA RED"/>
    <s v="Credit Card "/>
    <n v="536528"/>
    <n v="22454"/>
    <n v="2.95"/>
    <n v="1"/>
    <n v="7.0000000000000007E-2"/>
    <x v="1"/>
    <n v="2.95"/>
    <n v="0.20650000000000004"/>
    <n v="2.7435"/>
    <n v="2.7435"/>
  </r>
  <r>
    <n v="1141"/>
    <s v="Mallie"/>
    <s v="Osborn"/>
    <s v="NULL"/>
    <s v="mallie.osborn@gmail.com"/>
    <n v="408"/>
    <d v="2012-12-01T12:43:00"/>
    <n v="4"/>
    <n v="17"/>
    <s v="HAND WARMER OWL DESIGN"/>
    <s v="Credit Card "/>
    <n v="536528"/>
    <n v="22865"/>
    <n v="2.1"/>
    <n v="1"/>
    <n v="0.2"/>
    <x v="1"/>
    <n v="2.1"/>
    <n v="0.42000000000000004"/>
    <n v="1.6800000000000002"/>
    <n v="1.6800000000000002"/>
  </r>
  <r>
    <n v="1142"/>
    <s v="Britteny"/>
    <s v="Schroeder"/>
    <s v="NULL"/>
    <s v="britteny.schroeder@aol.com"/>
    <n v="409"/>
    <d v="2012-12-01T12:43:00"/>
    <n v="4"/>
    <n v="15"/>
    <s v="VINTAGE PAISLEY STATIONERY SET"/>
    <s v="Credit Card "/>
    <n v="536528"/>
    <n v="21992"/>
    <n v="2.95"/>
    <n v="1"/>
    <n v="7.0000000000000007E-2"/>
    <x v="1"/>
    <n v="2.95"/>
    <n v="0.20650000000000004"/>
    <n v="2.7435"/>
    <n v="2.7435"/>
  </r>
  <r>
    <n v="1143"/>
    <s v="Sommer"/>
    <s v="Hopkins"/>
    <s v="NULL"/>
    <s v="sommer.hopkins@gmail.com"/>
    <n v="409"/>
    <d v="2012-12-01T12:43:00"/>
    <n v="4"/>
    <n v="16"/>
    <s v="ROUND SNACK BOXES SET OF4 WOODLAND "/>
    <s v="Credit Card "/>
    <n v="536528"/>
    <n v="22326"/>
    <n v="2.95"/>
    <n v="4"/>
    <n v="0.2"/>
    <x v="1"/>
    <n v="11.8"/>
    <n v="2.3600000000000003"/>
    <n v="9.4400000000000013"/>
    <n v="37.760000000000005"/>
  </r>
  <r>
    <n v="1144"/>
    <s v="Jewel"/>
    <s v="Sparks"/>
    <s v="NULL"/>
    <s v="jewel.sparks@aol.com"/>
    <n v="409"/>
    <d v="2012-12-01T12:43:00"/>
    <n v="4"/>
    <n v="21"/>
    <s v="RIBBON REEL STRIPES DESIGN "/>
    <s v="Credit Card "/>
    <n v="536528"/>
    <n v="22082"/>
    <n v="1.65"/>
    <n v="1"/>
    <n v="0.05"/>
    <x v="1"/>
    <n v="1.65"/>
    <n v="8.2500000000000004E-2"/>
    <n v="1.5674999999999999"/>
    <n v="1.5674999999999999"/>
  </r>
  <r>
    <n v="1145"/>
    <s v="Deandrea"/>
    <s v="Vega"/>
    <s v="(914) 818-7312"/>
    <s v="deandrea.vega@gmail.com"/>
    <n v="410"/>
    <d v="2012-12-01T12:43:00"/>
    <n v="4"/>
    <n v="25"/>
    <s v="SCANDINAVIAN REDS RIBBONS"/>
    <s v="Credit Card "/>
    <n v="536528"/>
    <s v="85049E"/>
    <n v="1.25"/>
    <n v="1"/>
    <n v="0.1"/>
    <x v="1"/>
    <n v="1.25"/>
    <n v="0.125"/>
    <n v="1.125"/>
    <n v="1.125"/>
  </r>
  <r>
    <n v="1146"/>
    <s v="Charlsie"/>
    <s v="Carson"/>
    <s v="NULL"/>
    <s v="charlsie.carson@hotmail.com"/>
    <n v="410"/>
    <d v="2012-12-01T12:43:00"/>
    <n v="4"/>
    <n v="9"/>
    <s v="6 RIBBONS RUSTIC CHARM"/>
    <s v="Credit Card "/>
    <n v="536528"/>
    <n v="22077"/>
    <n v="1.65"/>
    <n v="2"/>
    <n v="0.05"/>
    <x v="1"/>
    <n v="3.3"/>
    <n v="0.16500000000000001"/>
    <n v="3.1349999999999998"/>
    <n v="6.27"/>
  </r>
  <r>
    <n v="1147"/>
    <s v="Kandace"/>
    <s v="Ayers"/>
    <s v="NULL"/>
    <s v="kandace.ayers@gmail.com"/>
    <n v="410"/>
    <d v="2012-12-01T12:43:00"/>
    <n v="4"/>
    <n v="24"/>
    <s v="TRADITIONAL CHRISTMAS RIBBONS"/>
    <s v="Credit Card "/>
    <n v="536528"/>
    <s v="85049A"/>
    <n v="1.25"/>
    <n v="1"/>
    <n v="0.1"/>
    <x v="1"/>
    <n v="1.25"/>
    <n v="0.125"/>
    <n v="1.125"/>
    <n v="1.125"/>
  </r>
  <r>
    <n v="1148"/>
    <s v="Lenore"/>
    <s v="Valdez"/>
    <s v="NULL"/>
    <s v="lenore.valdez@msn.com"/>
    <n v="411"/>
    <d v="2012-12-01T12:43:00"/>
    <n v="4"/>
    <n v="2"/>
    <s v="HAND WARMER OWL DESIGN"/>
    <s v="Credit Card "/>
    <n v="536528"/>
    <n v="22865"/>
    <n v="2.1"/>
    <n v="2"/>
    <n v="7.0000000000000007E-2"/>
    <x v="1"/>
    <n v="4.2"/>
    <n v="0.29400000000000004"/>
    <n v="3.9060000000000001"/>
    <n v="7.8120000000000003"/>
  </r>
  <r>
    <n v="1149"/>
    <s v="Drucilla"/>
    <s v="Gilliam"/>
    <s v="NULL"/>
    <s v="drucilla.gilliam@hotmail.com"/>
    <n v="411"/>
    <d v="2012-12-01T12:43:00"/>
    <n v="4"/>
    <n v="26"/>
    <s v="HAND WARMER BIRD DESIGN"/>
    <s v="Credit Card "/>
    <n v="536528"/>
    <n v="22867"/>
    <n v="2.1"/>
    <n v="3"/>
    <n v="0.05"/>
    <x v="1"/>
    <n v="6.3000000000000007"/>
    <n v="0.31500000000000006"/>
    <n v="5.9850000000000003"/>
    <n v="17.955000000000002"/>
  </r>
  <r>
    <n v="1150"/>
    <s v="Keturah"/>
    <s v="Reid"/>
    <s v="(361) 394-2024"/>
    <s v="keturah.reid@yahoo.com"/>
    <n v="412"/>
    <d v="2012-12-01T12:43:00"/>
    <n v="4"/>
    <n v="7"/>
    <s v="PAPER CHAIN KIT VINTAGE CHRISTMAS"/>
    <s v="Credit Card "/>
    <n v="536528"/>
    <n v="22910"/>
    <n v="2.95"/>
    <n v="3"/>
    <n v="0.1"/>
    <x v="1"/>
    <n v="8.8500000000000014"/>
    <n v="0.88500000000000023"/>
    <n v="7.9650000000000016"/>
    <n v="23.895000000000003"/>
  </r>
  <r>
    <n v="1151"/>
    <s v="Herminia"/>
    <s v="Reyes"/>
    <s v="NULL"/>
    <s v="herminia.reyes@gmail.com"/>
    <n v="412"/>
    <d v="2012-12-01T12:43:00"/>
    <n v="4"/>
    <n v="24"/>
    <s v="JAM JAR WITH GREEN LID"/>
    <s v="Credit Card "/>
    <n v="536528"/>
    <n v="22963"/>
    <n v="0.85"/>
    <n v="2"/>
    <n v="7.0000000000000007E-2"/>
    <x v="1"/>
    <n v="1.7"/>
    <n v="0.11900000000000001"/>
    <n v="1.581"/>
    <n v="3.1619999999999999"/>
  </r>
  <r>
    <n v="1152"/>
    <s v="Tuyet"/>
    <s v="Rosa"/>
    <s v="NULL"/>
    <s v="tuyet.rosa@aol.com"/>
    <n v="412"/>
    <d v="2012-12-01T12:43:00"/>
    <n v="4"/>
    <n v="17"/>
    <s v="JAM MAKING SET WITH JARS"/>
    <s v="Credit Card "/>
    <n v="536528"/>
    <n v="22960"/>
    <n v="4.25"/>
    <n v="1"/>
    <n v="0.1"/>
    <x v="1"/>
    <n v="4.25"/>
    <n v="0.42500000000000004"/>
    <n v="3.8250000000000002"/>
    <n v="3.8250000000000002"/>
  </r>
  <r>
    <n v="1153"/>
    <s v="Ara"/>
    <s v="Vazquez"/>
    <s v="NULL"/>
    <s v="ara.vazquez@msn.com"/>
    <n v="413"/>
    <d v="2012-12-01T12:43:00"/>
    <n v="4"/>
    <n v="8"/>
    <s v="RED ENCHANTED FOREST PLACEMAT"/>
    <s v="Credit Card "/>
    <n v="536528"/>
    <s v="85114C"/>
    <n v="1.65"/>
    <n v="1"/>
    <n v="0.05"/>
    <x v="1"/>
    <n v="1.65"/>
    <n v="8.2500000000000004E-2"/>
    <n v="1.5674999999999999"/>
    <n v="1.5674999999999999"/>
  </r>
  <r>
    <n v="1154"/>
    <s v="Barry"/>
    <s v="Albert"/>
    <s v="NULL"/>
    <s v="barry.albert@gmail.com"/>
    <n v="413"/>
    <d v="2012-12-01T12:43:00"/>
    <n v="4"/>
    <n v="25"/>
    <s v="IVORY ENCHANTED FOREST PLACEMAT"/>
    <s v="Credit Card "/>
    <n v="536528"/>
    <s v="85114B"/>
    <n v="1.65"/>
    <n v="1"/>
    <n v="0.1"/>
    <x v="1"/>
    <n v="1.65"/>
    <n v="0.16500000000000001"/>
    <n v="1.4849999999999999"/>
    <n v="1.4849999999999999"/>
  </r>
  <r>
    <n v="1155"/>
    <s v="Verdell"/>
    <s v="Joyner"/>
    <s v="NULL"/>
    <s v="verdell.joyner@aol.com"/>
    <n v="413"/>
    <d v="2012-12-01T12:43:00"/>
    <n v="4"/>
    <n v="9"/>
    <s v="CHILDRENS DOLLY GIRL MUG"/>
    <s v="Credit Card "/>
    <n v="536528"/>
    <n v="22974"/>
    <n v="1.65"/>
    <n v="2"/>
    <n v="7.0000000000000007E-2"/>
    <x v="1"/>
    <n v="3.3"/>
    <n v="0.23100000000000001"/>
    <n v="3.069"/>
    <n v="6.1379999999999999"/>
  </r>
  <r>
    <n v="1156"/>
    <s v="Han"/>
    <s v="Wade"/>
    <s v="NULL"/>
    <s v="han.wade@hotmail.com"/>
    <n v="414"/>
    <d v="2012-12-01T12:43:00"/>
    <n v="4"/>
    <n v="4"/>
    <s v="REGENCY CAKESTAND 3 TIER"/>
    <s v="Credit Card "/>
    <n v="536528"/>
    <n v="22423"/>
    <n v="12.75"/>
    <n v="1"/>
    <n v="0.1"/>
    <x v="1"/>
    <n v="12.75"/>
    <n v="1.2750000000000001"/>
    <n v="11.475"/>
    <n v="11.475"/>
  </r>
  <r>
    <n v="1157"/>
    <s v="Anton"/>
    <s v="Barton"/>
    <s v="(716) 472-3707"/>
    <s v="anton.barton@msn.com"/>
    <n v="415"/>
    <d v="2012-12-01T12:43:00"/>
    <n v="4"/>
    <n v="3"/>
    <s v="TOADSTOOL MONEY BOX"/>
    <s v="Credit Card "/>
    <n v="536528"/>
    <n v="21452"/>
    <n v="2.95"/>
    <n v="2"/>
    <n v="7.0000000000000007E-2"/>
    <x v="1"/>
    <n v="5.9"/>
    <n v="0.41300000000000009"/>
    <n v="5.4870000000000001"/>
    <n v="10.974"/>
  </r>
  <r>
    <n v="1158"/>
    <s v="Vito"/>
    <s v="Pickett"/>
    <s v="NULL"/>
    <s v="vito.pickett@hotmail.com"/>
    <n v="415"/>
    <d v="2012-12-01T12:43:00"/>
    <n v="4"/>
    <n v="23"/>
    <s v="CUPCAKE LACE PAPER SET 6"/>
    <s v="Credit Card "/>
    <n v="536528"/>
    <n v="22938"/>
    <n v="1.95"/>
    <n v="1"/>
    <n v="0.2"/>
    <x v="1"/>
    <n v="1.95"/>
    <n v="0.39"/>
    <n v="1.56"/>
    <n v="1.56"/>
  </r>
  <r>
    <n v="1159"/>
    <s v="Charlene"/>
    <s v="Norris"/>
    <s v="NULL"/>
    <s v="charlene.norris@msn.com"/>
    <n v="415"/>
    <d v="2012-12-01T12:43:00"/>
    <n v="4"/>
    <n v="5"/>
    <s v="PACK 3 BOXES CHRISTMAS PANNETONE"/>
    <s v="Credit Card "/>
    <n v="536528"/>
    <n v="22812"/>
    <n v="1.95"/>
    <n v="3"/>
    <n v="0.2"/>
    <x v="1"/>
    <n v="5.85"/>
    <n v="1.17"/>
    <n v="4.68"/>
    <n v="14.04"/>
  </r>
  <r>
    <n v="1160"/>
    <s v="Efren"/>
    <s v="Whitfield"/>
    <s v="NULL"/>
    <s v="efren.whitfield@gmail.com"/>
    <n v="415"/>
    <d v="2012-12-01T12:43:00"/>
    <n v="4"/>
    <n v="6"/>
    <s v="PACK OF 6 PANNETONE GIFT BOXES"/>
    <s v="Credit Card "/>
    <n v="536528"/>
    <n v="22584"/>
    <n v="2.5499999999999998"/>
    <n v="2"/>
    <n v="0.05"/>
    <x v="1"/>
    <n v="5.0999999999999996"/>
    <n v="0.255"/>
    <n v="4.8449999999999998"/>
    <n v="9.69"/>
  </r>
  <r>
    <n v="1161"/>
    <s v="Santa"/>
    <s v="Larson"/>
    <s v="NULL"/>
    <s v="santa.larson@gmail.com"/>
    <n v="416"/>
    <d v="2012-12-01T12:43:00"/>
    <n v="4"/>
    <n v="22"/>
    <s v="MAKE YOUR OWN MONSOON CARD KIT"/>
    <s v="Credit Card "/>
    <n v="536528"/>
    <n v="22744"/>
    <n v="2.95"/>
    <n v="2"/>
    <n v="7.0000000000000007E-2"/>
    <x v="1"/>
    <n v="5.9"/>
    <n v="0.41300000000000009"/>
    <n v="5.4870000000000001"/>
    <n v="10.974"/>
  </r>
  <r>
    <n v="1162"/>
    <s v="Carmelina"/>
    <s v="Sellers"/>
    <s v="NULL"/>
    <s v="carmelina.sellers@hotmail.com"/>
    <n v="416"/>
    <d v="2012-12-01T12:43:00"/>
    <n v="4"/>
    <n v="14"/>
    <s v="MAKE YOUR OWN FLOWERPOWER CARD KIT"/>
    <s v="Credit Card "/>
    <n v="536528"/>
    <n v="22743"/>
    <n v="2.95"/>
    <n v="1"/>
    <n v="7.0000000000000007E-2"/>
    <x v="1"/>
    <n v="2.95"/>
    <n v="0.20650000000000004"/>
    <n v="2.7435"/>
    <n v="2.7435"/>
  </r>
  <r>
    <n v="1163"/>
    <s v="Carmela"/>
    <s v="Hays"/>
    <s v="NULL"/>
    <s v="carmela.hays@aol.com"/>
    <n v="416"/>
    <d v="2012-12-01T12:43:00"/>
    <n v="4"/>
    <n v="24"/>
    <s v="PAPER CHAIN KIT LONDON"/>
    <s v="Credit Card "/>
    <n v="536528"/>
    <n v="22911"/>
    <n v="2.95"/>
    <n v="1"/>
    <n v="0.1"/>
    <x v="1"/>
    <n v="2.95"/>
    <n v="0.29500000000000004"/>
    <n v="2.6550000000000002"/>
    <n v="2.6550000000000002"/>
  </r>
  <r>
    <n v="1164"/>
    <s v="Patrina"/>
    <s v="Tanner"/>
    <s v="NULL"/>
    <s v="patrina.tanner@gmail.com"/>
    <n v="417"/>
    <d v="2012-12-01T12:43:00"/>
    <n v="4"/>
    <n v="26"/>
    <s v="PACK OF 6 BIRDY GIFT TAGS"/>
    <s v="Credit Card "/>
    <n v="536528"/>
    <n v="22585"/>
    <n v="1.25"/>
    <n v="5"/>
    <n v="7.0000000000000007E-2"/>
    <x v="1"/>
    <n v="6.25"/>
    <n v="0.43750000000000006"/>
    <n v="5.8125"/>
    <n v="29.0625"/>
  </r>
  <r>
    <n v="1165"/>
    <s v="Rikki"/>
    <s v="Morrow"/>
    <s v="(682) 936-1482"/>
    <s v="rikki.morrow@hotmail.com"/>
    <n v="417"/>
    <d v="2012-12-01T12:43:00"/>
    <n v="4"/>
    <n v="6"/>
    <s v=" SET 2 TEA TOWELS I LOVE LONDON "/>
    <s v="Credit Card "/>
    <n v="536528"/>
    <n v="22900"/>
    <n v="2.95"/>
    <n v="1"/>
    <n v="7.0000000000000007E-2"/>
    <x v="1"/>
    <n v="2.95"/>
    <n v="0.20650000000000004"/>
    <n v="2.7435"/>
    <n v="2.7435"/>
  </r>
  <r>
    <n v="1166"/>
    <s v="Junita"/>
    <s v="Reese"/>
    <s v="NULL"/>
    <s v="junita.reese@gmail.com"/>
    <n v="418"/>
    <d v="2012-12-01T12:43:00"/>
    <n v="4"/>
    <n v="12"/>
    <s v="PAPER CHAIN KIT LONDON"/>
    <s v="Credit Card "/>
    <n v="536528"/>
    <n v="22911"/>
    <n v="2.95"/>
    <n v="1"/>
    <n v="0.05"/>
    <x v="1"/>
    <n v="2.95"/>
    <n v="0.14750000000000002"/>
    <n v="2.8025000000000002"/>
    <n v="2.8025000000000002"/>
  </r>
  <r>
    <n v="1167"/>
    <s v="Ryan"/>
    <s v="Carter"/>
    <s v="NULL"/>
    <s v="ryan.carter@yahoo.com"/>
    <n v="418"/>
    <d v="2012-12-01T12:43:00"/>
    <n v="4"/>
    <n v="20"/>
    <s v="MAKE YOUR OWN FLOWERPOWER CARD KIT"/>
    <s v="Credit Card "/>
    <n v="536528"/>
    <n v="22743"/>
    <n v="2.95"/>
    <n v="1"/>
    <n v="0.05"/>
    <x v="1"/>
    <n v="2.95"/>
    <n v="0.14750000000000002"/>
    <n v="2.8025000000000002"/>
    <n v="2.8025000000000002"/>
  </r>
  <r>
    <n v="1168"/>
    <s v="Almeta"/>
    <s v="Benjamin"/>
    <s v="NULL"/>
    <s v="almeta.benjamin@aol.com"/>
    <n v="419"/>
    <d v="2012-12-01T12:43:00"/>
    <n v="4"/>
    <n v="9"/>
    <s v="MAKE YOUR OWN MONSOON CARD KIT"/>
    <s v="Credit Card "/>
    <n v="536528"/>
    <n v="22744"/>
    <n v="2.95"/>
    <n v="200"/>
    <n v="0.05"/>
    <x v="1"/>
    <n v="590"/>
    <n v="29.5"/>
    <n v="560.5"/>
    <n v="112100"/>
  </r>
  <r>
    <n v="1169"/>
    <s v="Beatris"/>
    <s v="Joyner"/>
    <s v="NULL"/>
    <s v="beatris.joyner@gmail.com"/>
    <n v="420"/>
    <d v="2012-12-01T12:43:00"/>
    <n v="4"/>
    <n v="17"/>
    <s v="JAM MAKING SET PRINTED"/>
    <s v="Credit Card "/>
    <n v="536528"/>
    <n v="22961"/>
    <n v="1.45"/>
    <n v="100"/>
    <n v="0.2"/>
    <x v="1"/>
    <n v="145"/>
    <n v="29"/>
    <n v="116"/>
    <n v="11600"/>
  </r>
  <r>
    <n v="1170"/>
    <s v="Mechelle"/>
    <s v="Chan"/>
    <s v="NULL"/>
    <s v="mechelle.chan@gmail.com"/>
    <n v="420"/>
    <d v="2012-12-01T12:43:00"/>
    <n v="4"/>
    <n v="15"/>
    <s v="JUMBO SHOPPER VINTAGE RED PAISLEY"/>
    <s v="Credit Card "/>
    <n v="536528"/>
    <n v="22411"/>
    <n v="1.95"/>
    <n v="300"/>
    <n v="0.1"/>
    <x v="1"/>
    <n v="585"/>
    <n v="58.5"/>
    <n v="526.5"/>
    <n v="157950"/>
  </r>
  <r>
    <n v="1171"/>
    <s v="Earlean"/>
    <s v="Pena"/>
    <s v="NULL"/>
    <s v="earlean.pena@yahoo.com"/>
    <n v="420"/>
    <d v="2012-12-01T12:43:00"/>
    <n v="4"/>
    <n v="3"/>
    <s v="MEASURING TAPE BABUSHKA RED"/>
    <s v="Credit Card "/>
    <n v="536528"/>
    <n v="22454"/>
    <n v="2.95"/>
    <n v="600"/>
    <n v="0.05"/>
    <x v="1"/>
    <n v="1770"/>
    <n v="88.5"/>
    <n v="1681.5"/>
    <n v="1008900"/>
  </r>
  <r>
    <n v="1172"/>
    <s v="Katherin"/>
    <s v="Clark"/>
    <s v="NULL"/>
    <s v="katherin.clark@yahoo.com"/>
    <n v="421"/>
    <d v="2012-12-01T12:43:00"/>
    <n v="4"/>
    <n v="6"/>
    <s v="MEASURING TAPE BABUSHKA BLUE"/>
    <s v="Credit Card "/>
    <n v="536528"/>
    <n v="22453"/>
    <n v="2.95"/>
    <n v="1"/>
    <n v="7.0000000000000007E-2"/>
    <x v="1"/>
    <n v="2.95"/>
    <n v="0.20650000000000004"/>
    <n v="2.7435"/>
    <n v="2.7435"/>
  </r>
  <r>
    <n v="1173"/>
    <s v="Chanel"/>
    <s v="May"/>
    <s v="NULL"/>
    <s v="chanel.may@msn.com"/>
    <n v="421"/>
    <d v="2012-12-01T12:43:00"/>
    <n v="4"/>
    <n v="3"/>
    <s v="SET OF 72 GREEN PAPER DOILIES"/>
    <s v="Credit Card "/>
    <n v="536528"/>
    <s v="84985A"/>
    <n v="1.45"/>
    <n v="1"/>
    <n v="0.2"/>
    <x v="1"/>
    <n v="1.45"/>
    <n v="0.28999999999999998"/>
    <n v="1.1599999999999999"/>
    <n v="1.1599999999999999"/>
  </r>
  <r>
    <n v="1174"/>
    <s v="Aaron"/>
    <s v="Knapp"/>
    <s v="(914) 402-4335"/>
    <s v="aaron.knapp@yahoo.com"/>
    <n v="421"/>
    <d v="2012-12-01T12:43:00"/>
    <n v="4"/>
    <n v="20"/>
    <s v="PENCIL CASE LIFE IS BEAUTIFUL"/>
    <s v="Credit Card "/>
    <n v="536528"/>
    <n v="22445"/>
    <n v="2.95"/>
    <n v="4"/>
    <n v="0.2"/>
    <x v="1"/>
    <n v="11.8"/>
    <n v="2.3600000000000003"/>
    <n v="9.4400000000000013"/>
    <n v="37.760000000000005"/>
  </r>
  <r>
    <n v="1175"/>
    <s v="Sindy"/>
    <s v="Anderson"/>
    <s v="NULL"/>
    <s v="sindy.anderson@gmail.com"/>
    <n v="421"/>
    <d v="2012-12-01T12:43:00"/>
    <n v="4"/>
    <n v="4"/>
    <s v="FELTCRAFT CUSHION OWL"/>
    <s v="Credit Card "/>
    <n v="536528"/>
    <n v="22568"/>
    <n v="3.75"/>
    <n v="3"/>
    <n v="7.0000000000000007E-2"/>
    <x v="1"/>
    <n v="11.25"/>
    <n v="0.78750000000000009"/>
    <n v="10.4625"/>
    <n v="31.387500000000003"/>
  </r>
  <r>
    <n v="1176"/>
    <s v="Sheree"/>
    <s v="Blanchard"/>
    <s v="NULL"/>
    <s v="sheree.blanchard@gmail.com"/>
    <n v="421"/>
    <d v="2012-12-01T12:43:00"/>
    <n v="4"/>
    <n v="23"/>
    <s v="FELTCRAFT CUSHION RABBIT"/>
    <s v="Credit Card "/>
    <n v="536528"/>
    <n v="22570"/>
    <n v="3.75"/>
    <n v="1"/>
    <n v="0.2"/>
    <x v="1"/>
    <n v="3.75"/>
    <n v="0.75"/>
    <n v="3"/>
    <n v="3"/>
  </r>
  <r>
    <n v="1177"/>
    <s v="Charlesetta"/>
    <s v="Soto"/>
    <s v="NULL"/>
    <s v="charlesetta.soto@yahoo.com"/>
    <n v="422"/>
    <d v="2012-12-01T12:43:00"/>
    <n v="3"/>
    <n v="20"/>
    <s v="WOODEN ROUNDERS GARDEN SET "/>
    <s v="Credit Card "/>
    <n v="536528"/>
    <n v="22607"/>
    <n v="9.9499999999999993"/>
    <n v="1"/>
    <n v="0.05"/>
    <x v="1"/>
    <n v="9.9499999999999993"/>
    <n v="0.4975"/>
    <n v="9.4524999999999988"/>
    <n v="9.4524999999999988"/>
  </r>
  <r>
    <n v="1178"/>
    <s v="Wendie"/>
    <s v="Nash"/>
    <s v="(805) 389-2549"/>
    <s v="wendie.nash@hotmail.com"/>
    <n v="423"/>
    <d v="2012-12-01T12:43:00"/>
    <n v="4"/>
    <n v="8"/>
    <s v="CHILDS BREAKFAST SET DOLLY GIRL "/>
    <s v="Credit Card "/>
    <n v="536528"/>
    <n v="22635"/>
    <n v="9.9499999999999993"/>
    <n v="1"/>
    <n v="0.05"/>
    <x v="1"/>
    <n v="9.9499999999999993"/>
    <n v="0.4975"/>
    <n v="9.4524999999999988"/>
    <n v="9.4524999999999988"/>
  </r>
  <r>
    <n v="1179"/>
    <s v="Vernetta"/>
    <s v="Banks"/>
    <s v="NULL"/>
    <s v="vernetta.banks@aol.com"/>
    <n v="423"/>
    <d v="2012-12-01T12:43:00"/>
    <n v="4"/>
    <n v="17"/>
    <s v="CHILDS BREAKFAST SET SPACEBOY "/>
    <s v="Credit Card "/>
    <n v="536528"/>
    <n v="22634"/>
    <n v="9.9499999999999993"/>
    <n v="1"/>
    <n v="0.2"/>
    <x v="1"/>
    <n v="9.9499999999999993"/>
    <n v="1.99"/>
    <n v="7.9599999999999991"/>
    <n v="7.9599999999999991"/>
  </r>
  <r>
    <n v="1180"/>
    <s v="Myrtle"/>
    <s v="Gardner"/>
    <s v="NULL"/>
    <s v="myrtle.gardner@aol.com"/>
    <n v="423"/>
    <d v="2012-12-01T12:43:00"/>
    <n v="4"/>
    <n v="23"/>
    <s v="3 TIER CAKE TIN GREEN AND CREAM"/>
    <s v="Credit Card "/>
    <n v="536528"/>
    <n v="22839"/>
    <n v="14.95"/>
    <n v="1"/>
    <n v="7.0000000000000007E-2"/>
    <x v="1"/>
    <n v="14.95"/>
    <n v="1.0465"/>
    <n v="13.903499999999999"/>
    <n v="13.903499999999999"/>
  </r>
  <r>
    <n v="1181"/>
    <s v="Agustina"/>
    <s v="Lawrence"/>
    <s v="NULL"/>
    <s v="agustina.lawrence@yahoo.com"/>
    <n v="423"/>
    <d v="2012-12-01T12:43:00"/>
    <n v="4"/>
    <n v="2"/>
    <s v="ROSE COTTAGE KEEPSAKE BOX "/>
    <s v="Credit Card "/>
    <n v="536528"/>
    <n v="22968"/>
    <n v="9.9499999999999993"/>
    <n v="3"/>
    <n v="0.2"/>
    <x v="1"/>
    <n v="29.849999999999998"/>
    <n v="5.97"/>
    <n v="23.88"/>
    <n v="71.64"/>
  </r>
  <r>
    <n v="1182"/>
    <s v="Trinidad"/>
    <s v="Chapman"/>
    <s v="NULL"/>
    <s v="trinidad.chapman@aol.com"/>
    <n v="424"/>
    <d v="2012-12-01T12:43:00"/>
    <n v="4"/>
    <n v="22"/>
    <s v="CAKE PLATE LOVEBIRD WHITE"/>
    <s v="Credit Card "/>
    <n v="536529"/>
    <n v="22222"/>
    <n v="4.95"/>
    <n v="3"/>
    <n v="0.1"/>
    <x v="1"/>
    <n v="14.850000000000001"/>
    <n v="1.4850000000000003"/>
    <n v="13.365000000000002"/>
    <n v="40.095000000000006"/>
  </r>
  <r>
    <n v="1183"/>
    <s v="Kim"/>
    <s v="Clark"/>
    <s v="NULL"/>
    <s v="kim.clark@msn.com"/>
    <n v="424"/>
    <d v="2012-12-01T12:43:00"/>
    <n v="4"/>
    <n v="6"/>
    <s v="WOODEN ADVENT CALENDAR RED"/>
    <s v="Credit Card "/>
    <n v="536529"/>
    <n v="22947"/>
    <n v="16.95"/>
    <n v="2"/>
    <n v="0.05"/>
    <x v="1"/>
    <n v="33.9"/>
    <n v="1.6950000000000001"/>
    <n v="32.204999999999998"/>
    <n v="64.41"/>
  </r>
  <r>
    <n v="1184"/>
    <s v="Annabelle"/>
    <s v="Hebert"/>
    <s v="NULL"/>
    <s v="annabelle.hebert@aol.com"/>
    <n v="425"/>
    <d v="2012-12-01T12:43:00"/>
    <n v="4"/>
    <n v="6"/>
    <s v="STAR PORTABLE TABLE LIGHT "/>
    <s v="Credit Card "/>
    <n v="536529"/>
    <n v="21743"/>
    <n v="2.95"/>
    <n v="6"/>
    <n v="0.1"/>
    <x v="1"/>
    <n v="17.700000000000003"/>
    <n v="1.7700000000000005"/>
    <n v="15.930000000000003"/>
    <n v="95.580000000000013"/>
  </r>
  <r>
    <n v="1185"/>
    <s v="Corine"/>
    <s v="Stuart"/>
    <s v="NULL"/>
    <s v="corine.stuart@msn.com"/>
    <n v="425"/>
    <d v="2012-12-01T12:43:00"/>
    <n v="4"/>
    <n v="21"/>
    <s v="GREEN CHRISTMAS TREE CARD HOLDER"/>
    <s v="Credit Card "/>
    <n v="536529"/>
    <n v="22187"/>
    <n v="4.25"/>
    <n v="4"/>
    <n v="7.0000000000000007E-2"/>
    <x v="1"/>
    <n v="17"/>
    <n v="1.1900000000000002"/>
    <n v="15.81"/>
    <n v="63.24"/>
  </r>
  <r>
    <n v="1186"/>
    <s v="Kiesha"/>
    <s v="Bond"/>
    <s v="NULL"/>
    <s v="kiesha.bond@aol.com"/>
    <n v="425"/>
    <d v="2012-12-01T12:43:00"/>
    <n v="4"/>
    <n v="19"/>
    <s v="STRING OF STARS CARD HOLDER"/>
    <s v="Credit Card "/>
    <n v="536529"/>
    <n v="22164"/>
    <n v="2.95"/>
    <n v="6"/>
    <n v="0.05"/>
    <x v="1"/>
    <n v="17.700000000000003"/>
    <n v="0.88500000000000023"/>
    <n v="16.815000000000001"/>
    <n v="100.89000000000001"/>
  </r>
  <r>
    <n v="1187"/>
    <s v="Kenyetta"/>
    <s v="Mason"/>
    <s v="NULL"/>
    <s v="kenyetta.mason@msn.com"/>
    <n v="426"/>
    <d v="2012-12-01T12:43:00"/>
    <n v="4"/>
    <n v="10"/>
    <s v="SET/12 TAPER CANDLES"/>
    <s v="Credit Card "/>
    <n v="536529"/>
    <n v="72598"/>
    <n v="0.85"/>
    <n v="12"/>
    <n v="0.1"/>
    <x v="1"/>
    <n v="10.199999999999999"/>
    <n v="1.02"/>
    <n v="9.18"/>
    <n v="110.16"/>
  </r>
  <r>
    <n v="1188"/>
    <s v="Marcene"/>
    <s v="Curtis"/>
    <s v="(914) 361-6045"/>
    <s v="marcene.curtis@msn.com"/>
    <n v="426"/>
    <d v="2012-12-01T12:43:00"/>
    <n v="4"/>
    <n v="23"/>
    <s v="VICTORIAN SEWING BOX LARGE"/>
    <s v="Credit Card "/>
    <n v="536529"/>
    <n v="21258"/>
    <n v="12.75"/>
    <n v="1"/>
    <n v="0.05"/>
    <x v="1"/>
    <n v="12.75"/>
    <n v="0.63750000000000007"/>
    <n v="12.112500000000001"/>
    <n v="12.112500000000001"/>
  </r>
  <r>
    <n v="1189"/>
    <s v="Sheila"/>
    <s v="Goodman"/>
    <s v="NULL"/>
    <s v="sheila.goodman@msn.com"/>
    <n v="427"/>
    <d v="2012-12-01T12:43:00"/>
    <n v="4"/>
    <n v="12"/>
    <s v="MINT KITCHEN SCALES"/>
    <s v="Credit Card "/>
    <n v="536529"/>
    <n v="22627"/>
    <n v="8.5"/>
    <n v="2"/>
    <n v="7.0000000000000007E-2"/>
    <x v="1"/>
    <n v="17"/>
    <n v="1.1900000000000002"/>
    <n v="15.81"/>
    <n v="31.62"/>
  </r>
  <r>
    <n v="1190"/>
    <s v="Romeo"/>
    <s v="Steele"/>
    <s v="NULL"/>
    <s v="romeo.steele@msn.com"/>
    <n v="427"/>
    <d v="2012-12-01T12:43:00"/>
    <n v="4"/>
    <n v="15"/>
    <s v="WHITE WOOD GARDEN PLANT LADDER"/>
    <s v="Credit Card "/>
    <n v="536529"/>
    <n v="22487"/>
    <n v="9.9499999999999993"/>
    <n v="2"/>
    <n v="0.1"/>
    <x v="1"/>
    <n v="19.899999999999999"/>
    <n v="1.99"/>
    <n v="17.91"/>
    <n v="35.82"/>
  </r>
  <r>
    <n v="1191"/>
    <s v="Tam"/>
    <s v="Fisher"/>
    <s v="(507) 351-9375"/>
    <s v="tam.fisher@aol.com"/>
    <n v="427"/>
    <d v="2012-12-01T12:43:00"/>
    <n v="4"/>
    <n v="26"/>
    <s v="GLASS JAR ENGLISH CONFECTIONERY"/>
    <s v="Credit Card "/>
    <n v="536530"/>
    <n v="22360"/>
    <n v="2.95"/>
    <n v="2"/>
    <n v="7.0000000000000007E-2"/>
    <x v="1"/>
    <n v="5.9"/>
    <n v="0.41300000000000009"/>
    <n v="5.4870000000000001"/>
    <n v="10.974"/>
  </r>
  <r>
    <n v="1192"/>
    <s v="Gena"/>
    <s v="Owens"/>
    <s v="NULL"/>
    <s v="gena.owens@gmail.com"/>
    <n v="428"/>
    <d v="2012-12-01T12:43:00"/>
    <n v="4"/>
    <n v="5"/>
    <s v="GLASS JAR DIGESTIVE BISCUITS"/>
    <s v="Credit Card "/>
    <n v="536530"/>
    <n v="22364"/>
    <n v="2.95"/>
    <n v="1"/>
    <n v="0.2"/>
    <x v="1"/>
    <n v="2.95"/>
    <n v="0.59000000000000008"/>
    <n v="2.3600000000000003"/>
    <n v="2.3600000000000003"/>
  </r>
  <r>
    <n v="1193"/>
    <s v="Phebe"/>
    <s v="Soto"/>
    <s v="NULL"/>
    <s v="phebe.soto@hotmail.com"/>
    <n v="428"/>
    <d v="2012-12-01T12:43:00"/>
    <n v="4"/>
    <n v="14"/>
    <s v="MILK BOTTLE WITH GLASS STOPPER "/>
    <s v="Credit Card "/>
    <n v="536530"/>
    <n v="21657"/>
    <n v="6.95"/>
    <n v="1"/>
    <n v="0.2"/>
    <x v="1"/>
    <n v="6.95"/>
    <n v="1.3900000000000001"/>
    <n v="5.5600000000000005"/>
    <n v="5.5600000000000005"/>
  </r>
  <r>
    <n v="1194"/>
    <s v="Leticia"/>
    <s v="Snyder"/>
    <s v="NULL"/>
    <s v="leticia.snyder@yahoo.com"/>
    <n v="429"/>
    <d v="2012-12-01T12:43:00"/>
    <n v="4"/>
    <n v="11"/>
    <s v="ROSES REGENCY TEACUP AND SAUCER "/>
    <s v="Credit Card "/>
    <n v="536530"/>
    <n v="22699"/>
    <n v="2.95"/>
    <n v="4"/>
    <n v="0.2"/>
    <x v="1"/>
    <n v="11.8"/>
    <n v="2.3600000000000003"/>
    <n v="9.4400000000000013"/>
    <n v="37.760000000000005"/>
  </r>
  <r>
    <n v="1195"/>
    <s v="Chantell"/>
    <s v="Bridges"/>
    <s v="(716) 941-6072"/>
    <s v="chantell.bridges@yahoo.com"/>
    <n v="429"/>
    <d v="2012-12-01T12:43:00"/>
    <n v="4"/>
    <n v="4"/>
    <s v="VINTAGE BILLBOARD DRINK ME MUG"/>
    <s v="Credit Card "/>
    <n v="536530"/>
    <n v="21071"/>
    <n v="1.25"/>
    <n v="24"/>
    <n v="0.1"/>
    <x v="1"/>
    <n v="30"/>
    <n v="3"/>
    <n v="27"/>
    <n v="648"/>
  </r>
  <r>
    <n v="1196"/>
    <s v="Ileana"/>
    <s v="Holt"/>
    <s v="NULL"/>
    <s v="ileana.holt@msn.com"/>
    <n v="429"/>
    <d v="2012-12-01T12:43:00"/>
    <n v="4"/>
    <n v="5"/>
    <s v="CHRISTMAS LIGHTS 10 REINDEER"/>
    <s v="Credit Card "/>
    <n v="536530"/>
    <n v="22941"/>
    <n v="8.5"/>
    <n v="1"/>
    <n v="0.05"/>
    <x v="1"/>
    <n v="8.5"/>
    <n v="0.42500000000000004"/>
    <n v="8.0749999999999993"/>
    <n v="8.0749999999999993"/>
  </r>
  <r>
    <n v="1197"/>
    <s v="Nakisha"/>
    <s v="Clay"/>
    <s v="NULL"/>
    <s v="nakisha.clay@gmail.com"/>
    <n v="429"/>
    <d v="2012-12-01T12:43:00"/>
    <n v="4"/>
    <n v="6"/>
    <s v="WELCOME  WOODEN BLOCK LETTERS"/>
    <s v="Credit Card "/>
    <n v="536530"/>
    <n v="22120"/>
    <n v="9.9499999999999993"/>
    <n v="1"/>
    <n v="7.0000000000000007E-2"/>
    <x v="1"/>
    <n v="9.9499999999999993"/>
    <n v="0.69650000000000001"/>
    <n v="9.2534999999999989"/>
    <n v="9.2534999999999989"/>
  </r>
  <r>
    <n v="1198"/>
    <s v="Cheryll"/>
    <s v="Snyder"/>
    <s v="NULL"/>
    <s v="cheryll.snyder@yahoo.com"/>
    <n v="429"/>
    <d v="2012-12-01T12:43:00"/>
    <n v="4"/>
    <n v="2"/>
    <s v="REGENCY CAKESTAND 3 TIER"/>
    <s v="Credit Card "/>
    <n v="536530"/>
    <n v="22423"/>
    <n v="12.75"/>
    <n v="1"/>
    <n v="0.1"/>
    <x v="1"/>
    <n v="12.75"/>
    <n v="1.2750000000000001"/>
    <n v="11.475"/>
    <n v="11.475"/>
  </r>
  <r>
    <n v="1199"/>
    <s v="Consuela"/>
    <s v="Collier"/>
    <s v="NULL"/>
    <s v="consuela.collier@msn.com"/>
    <n v="430"/>
    <d v="2012-12-01T12:43:00"/>
    <n v="4"/>
    <n v="22"/>
    <s v="SET/4 MODERN VINTAGE COTTON NAPKINS"/>
    <s v="Credit Card "/>
    <n v="536530"/>
    <n v="21038"/>
    <n v="2.95"/>
    <n v="1"/>
    <n v="0.1"/>
    <x v="1"/>
    <n v="2.95"/>
    <n v="0.29500000000000004"/>
    <n v="2.6550000000000002"/>
    <n v="2.6550000000000002"/>
  </r>
  <r>
    <n v="1200"/>
    <s v="Aubrey"/>
    <s v="Durham"/>
    <s v="NULL"/>
    <s v="aubrey.durham@aol.com"/>
    <n v="430"/>
    <d v="2012-12-01T12:43:00"/>
    <n v="4"/>
    <n v="11"/>
    <s v="VINTAGE UNION JACK APRON"/>
    <s v="Credit Card "/>
    <n v="536530"/>
    <n v="21625"/>
    <n v="6.95"/>
    <n v="1"/>
    <n v="7.0000000000000007E-2"/>
    <x v="1"/>
    <n v="6.95"/>
    <n v="0.48650000000000004"/>
    <n v="6.4634999999999998"/>
    <n v="6.4634999999999998"/>
  </r>
  <r>
    <n v="1201"/>
    <s v="Nita"/>
    <s v="Guy"/>
    <s v="NULL"/>
    <s v="nita.guy@hotmail.com"/>
    <n v="430"/>
    <d v="2012-12-01T12:43:00"/>
    <n v="4"/>
    <n v="4"/>
    <s v="SET 3 WICKER OVAL BASKETS W LIDS"/>
    <s v="Credit Card "/>
    <n v="536530"/>
    <n v="22783"/>
    <n v="19.95"/>
    <n v="1"/>
    <n v="0.2"/>
    <x v="1"/>
    <n v="19.95"/>
    <n v="3.99"/>
    <n v="15.959999999999999"/>
    <n v="15.959999999999999"/>
  </r>
  <r>
    <n v="1202"/>
    <s v="Carmina"/>
    <s v="Emerson"/>
    <s v="NULL"/>
    <s v="carmina.emerson@hotmail.com"/>
    <n v="430"/>
    <d v="2012-12-01T12:43:00"/>
    <n v="4"/>
    <n v="13"/>
    <s v="SWALLOW SQUARE TISSUE BOX"/>
    <s v="Credit Card "/>
    <n v="536530"/>
    <n v="22097"/>
    <n v="1.25"/>
    <n v="1"/>
    <n v="0.2"/>
    <x v="1"/>
    <n v="1.25"/>
    <n v="0.25"/>
    <n v="1"/>
    <n v="1"/>
  </r>
  <r>
    <n v="1203"/>
    <s v="Georgeann"/>
    <s v="Rojas"/>
    <s v="NULL"/>
    <s v="georgeann.rojas@msn.com"/>
    <n v="430"/>
    <d v="2012-12-01T12:43:00"/>
    <n v="4"/>
    <n v="8"/>
    <s v="WASHROOM METAL SIGN"/>
    <s v="Credit Card "/>
    <n v="536530"/>
    <n v="82552"/>
    <n v="1.45"/>
    <n v="1"/>
    <n v="0.2"/>
    <x v="0"/>
    <n v="1.45"/>
    <n v="0.28999999999999998"/>
    <n v="1.1599999999999999"/>
    <n v="1.1599999999999999"/>
  </r>
  <r>
    <n v="1204"/>
    <s v="Leslie"/>
    <s v="Higgins"/>
    <s v="NULL"/>
    <s v="leslie.higgins@hotmail.com"/>
    <n v="431"/>
    <d v="2012-12-01T12:43:00"/>
    <n v="4"/>
    <n v="14"/>
    <s v="NO JUNK MAIL METAL SIGN"/>
    <s v="Credit Card "/>
    <n v="536530"/>
    <n v="21179"/>
    <n v="1.25"/>
    <n v="1"/>
    <n v="0.2"/>
    <x v="0"/>
    <n v="1.25"/>
    <n v="0.25"/>
    <n v="1"/>
    <n v="1"/>
  </r>
  <r>
    <n v="1205"/>
    <s v="Emmaline"/>
    <s v="Huber"/>
    <s v="NULL"/>
    <s v="emmaline.huber@gmail.com"/>
    <n v="431"/>
    <d v="2012-12-01T12:43:00"/>
    <n v="4"/>
    <n v="6"/>
    <s v="SLATE TILE NATURAL HANGING"/>
    <s v="Credit Card "/>
    <n v="536530"/>
    <n v="22185"/>
    <n v="1.65"/>
    <n v="4"/>
    <n v="0.1"/>
    <x v="0"/>
    <n v="6.6"/>
    <n v="0.66"/>
    <n v="5.9399999999999995"/>
    <n v="23.759999999999998"/>
  </r>
  <r>
    <n v="1206"/>
    <s v="Mercy"/>
    <s v="Brown"/>
    <s v="NULL"/>
    <s v="mercy.brown@msn.com"/>
    <n v="431"/>
    <d v="2012-12-01T12:43:00"/>
    <n v="4"/>
    <n v="18"/>
    <s v="SWALLOW SQUARE TISSUE BOX"/>
    <s v="Credit Card "/>
    <n v="536530"/>
    <n v="22097"/>
    <n v="1.25"/>
    <n v="1"/>
    <n v="0.2"/>
    <x v="0"/>
    <n v="1.25"/>
    <n v="0.25"/>
    <n v="1"/>
    <n v="1"/>
  </r>
  <r>
    <n v="1207"/>
    <s v="Jenell"/>
    <s v="Crosby"/>
    <s v="(631) 544-4772"/>
    <s v="jenell.crosby@hotmail.com"/>
    <n v="431"/>
    <d v="2012-12-01T12:43:00"/>
    <n v="4"/>
    <n v="13"/>
    <s v="VINTAGE GLASS COFFEE CADDY"/>
    <s v="Credit Card "/>
    <n v="536530"/>
    <n v="21662"/>
    <n v="5.95"/>
    <n v="1"/>
    <n v="7.0000000000000007E-2"/>
    <x v="0"/>
    <n v="5.95"/>
    <n v="0.41650000000000004"/>
    <n v="5.5335000000000001"/>
    <n v="5.5335000000000001"/>
  </r>
  <r>
    <n v="1208"/>
    <s v="Leila"/>
    <s v="Barr"/>
    <s v="NULL"/>
    <s v="leila.barr@yahoo.com"/>
    <n v="431"/>
    <d v="2012-12-01T12:43:00"/>
    <n v="4"/>
    <n v="19"/>
    <s v="SILVER GLASS T-LIGHT SET"/>
    <s v="Credit Card "/>
    <n v="536530"/>
    <n v="85104"/>
    <n v="2.95"/>
    <n v="8"/>
    <n v="7.0000000000000007E-2"/>
    <x v="0"/>
    <n v="23.6"/>
    <n v="1.6520000000000004"/>
    <n v="21.948"/>
    <n v="175.584"/>
  </r>
  <r>
    <n v="1209"/>
    <s v="Deandrea"/>
    <s v="Cox"/>
    <s v="NULL"/>
    <s v="deandrea.cox@msn.com"/>
    <n v="432"/>
    <d v="2012-12-01T12:43:00"/>
    <n v="4"/>
    <n v="10"/>
    <s v="RIDGED GLASS FINGER BOWL"/>
    <s v="Credit Card "/>
    <n v="536530"/>
    <n v="21654"/>
    <n v="1.45"/>
    <n v="6"/>
    <n v="0.2"/>
    <x v="0"/>
    <n v="8.6999999999999993"/>
    <n v="1.74"/>
    <n v="6.9599999999999991"/>
    <n v="41.759999999999991"/>
  </r>
  <r>
    <n v="1210"/>
    <s v="Shawnna"/>
    <s v="Frank"/>
    <s v="NULL"/>
    <s v="shawnna.frank@hotmail.com"/>
    <n v="432"/>
    <d v="2012-12-01T12:43:00"/>
    <n v="4"/>
    <n v="7"/>
    <s v="GLASS  BEURRE DISH"/>
    <s v="Credit Card "/>
    <n v="536530"/>
    <n v="21658"/>
    <n v="3.95"/>
    <n v="1"/>
    <n v="0.05"/>
    <x v="0"/>
    <n v="3.95"/>
    <n v="0.19750000000000001"/>
    <n v="3.7525000000000004"/>
    <n v="3.7525000000000004"/>
  </r>
  <r>
    <n v="1211"/>
    <s v="Brenton"/>
    <s v="Whitaker"/>
    <s v="NULL"/>
    <s v="brenton.whitaker@gmail.com"/>
    <n v="433"/>
    <d v="2012-12-01T12:43:00"/>
    <n v="4"/>
    <n v="6"/>
    <s v="RIDGED GLASS STORAGE JAR CREAM LID"/>
    <s v="Credit Card "/>
    <n v="536530"/>
    <n v="21664"/>
    <n v="3.75"/>
    <n v="2"/>
    <n v="0.1"/>
    <x v="0"/>
    <n v="7.5"/>
    <n v="0.75"/>
    <n v="6.75"/>
    <n v="13.5"/>
  </r>
  <r>
    <n v="1212"/>
    <s v="Jaqueline"/>
    <s v="Cummings"/>
    <s v="NULL"/>
    <s v="jaqueline.cummings@hotmail.com"/>
    <n v="433"/>
    <d v="2012-12-01T12:43:00"/>
    <n v="4"/>
    <n v="10"/>
    <s v="CHRISTMAS LIGHTS 10 VINTAGE BAUBLES"/>
    <s v="Credit Card "/>
    <n v="536530"/>
    <n v="22943"/>
    <n v="4.95"/>
    <n v="2"/>
    <n v="0.2"/>
    <x v="0"/>
    <n v="9.9"/>
    <n v="1.9800000000000002"/>
    <n v="7.92"/>
    <n v="15.84"/>
  </r>
  <r>
    <n v="1213"/>
    <s v="Yang"/>
    <s v="Giles"/>
    <s v="NULL"/>
    <s v="yang.giles@gmail.com"/>
    <n v="433"/>
    <d v="2012-12-01T12:43:00"/>
    <n v="4"/>
    <n v="24"/>
    <s v="JUMBO SHOPPER VINTAGE RED PAISLEY"/>
    <s v="Credit Card "/>
    <n v="536530"/>
    <n v="22411"/>
    <n v="1.95"/>
    <n v="6"/>
    <n v="0.1"/>
    <x v="0"/>
    <n v="11.7"/>
    <n v="1.17"/>
    <n v="10.53"/>
    <n v="63.179999999999993"/>
  </r>
  <r>
    <n v="1214"/>
    <s v="Brigid"/>
    <s v="Sharp"/>
    <s v="NULL"/>
    <s v="brigid.sharp@hotmail.com"/>
    <n v="433"/>
    <d v="2012-12-01T12:43:00"/>
    <n v="4"/>
    <n v="4"/>
    <s v="GIN &amp; TONIC DIET GREETING CARD "/>
    <s v="Credit Card "/>
    <n v="536531"/>
    <n v="21519"/>
    <n v="0.42"/>
    <n v="24"/>
    <n v="0.2"/>
    <x v="0"/>
    <n v="10.08"/>
    <n v="2.016"/>
    <n v="8.0640000000000001"/>
    <n v="193.536"/>
  </r>
  <r>
    <n v="1215"/>
    <s v="Karl"/>
    <s v="Stephens"/>
    <s v="NULL"/>
    <s v="karl.stephens@gmail.com"/>
    <n v="434"/>
    <d v="2012-12-01T12:43:00"/>
    <n v="4"/>
    <n v="21"/>
    <s v="BIRTHDAY CARD, RETRO SPOT"/>
    <s v="Credit Card "/>
    <n v="536531"/>
    <n v="22819"/>
    <n v="0.42"/>
    <n v="24"/>
    <n v="0.05"/>
    <x v="0"/>
    <n v="10.08"/>
    <n v="0.504"/>
    <n v="9.5760000000000005"/>
    <n v="229.82400000000001"/>
  </r>
  <r>
    <n v="1216"/>
    <s v="Elvina"/>
    <s v="Gates"/>
    <s v="NULL"/>
    <s v="elvina.gates@hotmail.com"/>
    <n v="434"/>
    <d v="2012-12-01T12:43:00"/>
    <n v="4"/>
    <n v="20"/>
    <s v="FANCY FONT BIRTHDAY CARD, "/>
    <s v="Credit Card "/>
    <n v="536531"/>
    <n v="21506"/>
    <n v="0.42"/>
    <n v="24"/>
    <n v="0.1"/>
    <x v="0"/>
    <n v="10.08"/>
    <n v="1.008"/>
    <n v="9.0719999999999992"/>
    <n v="217.72799999999998"/>
  </r>
  <r>
    <n v="1217"/>
    <s v="Carlie"/>
    <s v="Terrell"/>
    <s v="(914) 517-8036"/>
    <s v="carlie.terrell@yahoo.com"/>
    <n v="434"/>
    <d v="2012-12-01T12:43:00"/>
    <n v="4"/>
    <n v="9"/>
    <s v="WRAP RED APPLES "/>
    <s v="Credit Card "/>
    <n v="536531"/>
    <n v="22704"/>
    <n v="0.42"/>
    <n v="25"/>
    <n v="0.2"/>
    <x v="0"/>
    <n v="10.5"/>
    <n v="2.1"/>
    <n v="8.4"/>
    <n v="210"/>
  </r>
  <r>
    <n v="1218"/>
    <s v="Donovan"/>
    <s v="Cantrell"/>
    <s v="(510) 624-3824"/>
    <s v="donovan.cantrell@msn.com"/>
    <n v="434"/>
    <d v="2012-12-01T12:43:00"/>
    <n v="4"/>
    <n v="11"/>
    <s v="RED RETROSPOT WRAP "/>
    <s v="Credit Card "/>
    <n v="536531"/>
    <n v="21498"/>
    <n v="0.42"/>
    <n v="25"/>
    <n v="7.0000000000000007E-2"/>
    <x v="0"/>
    <n v="10.5"/>
    <n v="0.7350000000000001"/>
    <n v="9.7650000000000006"/>
    <n v="244.125"/>
  </r>
  <r>
    <n v="1219"/>
    <s v="Alden"/>
    <s v="Atkinson"/>
    <s v="NULL"/>
    <s v="alden.atkinson@gmail.com"/>
    <n v="434"/>
    <d v="2012-12-01T12:43:00"/>
    <n v="4"/>
    <n v="18"/>
    <s v="EDWARDIAN PARASOL NATURAL"/>
    <s v="Credit Card "/>
    <n v="536531"/>
    <s v="15056N"/>
    <n v="5.95"/>
    <n v="12"/>
    <n v="0.05"/>
    <x v="0"/>
    <n v="71.400000000000006"/>
    <n v="3.5700000000000003"/>
    <n v="67.830000000000013"/>
    <n v="813.96000000000015"/>
  </r>
  <r>
    <n v="1220"/>
    <s v="Carissa"/>
    <s v="Cross"/>
    <s v="NULL"/>
    <s v="carissa.cross@yahoo.com"/>
    <n v="435"/>
    <d v="2012-12-01T12:43:00"/>
    <n v="4"/>
    <n v="22"/>
    <s v="EDWARDIAN PARASOL BLACK"/>
    <s v="Credit Card "/>
    <n v="536531"/>
    <s v="15056BL"/>
    <n v="5.95"/>
    <n v="12"/>
    <n v="0.05"/>
    <x v="0"/>
    <n v="71.400000000000006"/>
    <n v="3.5700000000000003"/>
    <n v="67.830000000000013"/>
    <n v="813.96000000000015"/>
  </r>
  <r>
    <n v="1221"/>
    <s v="Joy"/>
    <s v="Underwood"/>
    <s v="NULL"/>
    <s v="joy.underwood@gmail.com"/>
    <n v="435"/>
    <d v="2012-12-01T12:43:00"/>
    <n v="4"/>
    <n v="9"/>
    <s v="EDWARDIAN PARASOL RED"/>
    <s v="Credit Card "/>
    <n v="536531"/>
    <n v="20679"/>
    <n v="5.95"/>
    <n v="12"/>
    <n v="0.05"/>
    <x v="0"/>
    <n v="71.400000000000006"/>
    <n v="3.5700000000000003"/>
    <n v="67.830000000000013"/>
    <n v="813.96000000000015"/>
  </r>
  <r>
    <n v="1222"/>
    <s v="Geraldine"/>
    <s v="O'donnell"/>
    <s v="NULL"/>
    <s v="geraldine.o'donnell@hotmail.com"/>
    <n v="435"/>
    <d v="2012-12-01T12:43:00"/>
    <n v="4"/>
    <n v="18"/>
    <s v="WRAP CHRISTMAS SCREEN PRINT"/>
    <s v="Credit Card "/>
    <n v="536531"/>
    <n v="22049"/>
    <n v="0.42"/>
    <n v="25"/>
    <n v="0.05"/>
    <x v="0"/>
    <n v="10.5"/>
    <n v="0.52500000000000002"/>
    <n v="9.9749999999999996"/>
    <n v="249.375"/>
  </r>
  <r>
    <n v="1223"/>
    <s v="Bronwyn"/>
    <s v="Vargas"/>
    <s v="NULL"/>
    <s v="bronwyn.vargas@msn.com"/>
    <n v="436"/>
    <d v="2012-12-01T12:43:00"/>
    <n v="4"/>
    <n v="3"/>
    <s v="RED RETROSPOT WRAP "/>
    <s v="Credit Card "/>
    <n v="536531"/>
    <n v="21498"/>
    <n v="0.42"/>
    <n v="25"/>
    <n v="0.05"/>
    <x v="0"/>
    <n v="10.5"/>
    <n v="0.52500000000000002"/>
    <n v="9.9749999999999996"/>
    <n v="249.375"/>
  </r>
  <r>
    <n v="1224"/>
    <s v="Abram"/>
    <s v="Copeland"/>
    <s v="NULL"/>
    <s v="abram.copeland@gmail.com"/>
    <n v="436"/>
    <d v="2012-12-01T12:43:00"/>
    <n v="4"/>
    <n v="23"/>
    <s v="FANCY FONTS BIRTHDAY WRAP"/>
    <s v="Credit Card "/>
    <n v="536531"/>
    <n v="21497"/>
    <n v="0.42"/>
    <n v="25"/>
    <n v="0.2"/>
    <x v="0"/>
    <n v="10.5"/>
    <n v="2.1"/>
    <n v="8.4"/>
    <n v="210"/>
  </r>
  <r>
    <n v="1225"/>
    <s v="Mellisa"/>
    <s v="Griffin"/>
    <s v="NULL"/>
    <s v="mellisa.griffin@msn.com"/>
    <n v="437"/>
    <d v="2012-12-01T12:43:00"/>
    <n v="4"/>
    <n v="3"/>
    <s v="CLASSIC WHITE FRAME"/>
    <s v="Credit Card "/>
    <n v="536531"/>
    <n v="21333"/>
    <n v="2.95"/>
    <n v="12"/>
    <n v="0.05"/>
    <x v="0"/>
    <n v="35.400000000000006"/>
    <n v="1.7700000000000005"/>
    <n v="33.630000000000003"/>
    <n v="403.56000000000006"/>
  </r>
  <r>
    <n v="1226"/>
    <s v="Qiana"/>
    <s v="Jackson"/>
    <s v="NULL"/>
    <s v="qiana.jackson@gmail.com"/>
    <n v="437"/>
    <d v="2012-12-01T12:43:00"/>
    <n v="4"/>
    <n v="10"/>
    <s v="ALARM CLOCK BAKELIKE RED "/>
    <s v="Credit Card "/>
    <n v="536531"/>
    <n v="22727"/>
    <n v="3.75"/>
    <n v="9"/>
    <n v="0.05"/>
    <x v="0"/>
    <n v="33.75"/>
    <n v="1.6875"/>
    <n v="32.0625"/>
    <n v="288.5625"/>
  </r>
  <r>
    <n v="1227"/>
    <s v="Magali"/>
    <s v="Dixon"/>
    <s v="(248) 279-5331"/>
    <s v="magali.dixon@msn.com"/>
    <n v="437"/>
    <d v="2012-12-01T12:43:00"/>
    <n v="4"/>
    <n v="8"/>
    <s v="ALARM CLOCK BAKELIKE GREEN"/>
    <s v="Credit Card "/>
    <n v="536531"/>
    <n v="22726"/>
    <n v="3.75"/>
    <n v="9"/>
    <n v="0.05"/>
    <x v="0"/>
    <n v="33.75"/>
    <n v="1.6875"/>
    <n v="32.0625"/>
    <n v="288.5625"/>
  </r>
  <r>
    <n v="1228"/>
    <s v="Zulema"/>
    <s v="Clemons"/>
    <s v="(510) 565-8496"/>
    <s v="zulema.clemons@aol.com"/>
    <n v="438"/>
    <d v="2012-12-01T12:43:00"/>
    <n v="4"/>
    <n v="4"/>
    <s v="ALARM CLOCK BAKELIKE IVORY"/>
    <s v="Credit Card "/>
    <n v="536531"/>
    <n v="22730"/>
    <n v="3.75"/>
    <n v="9"/>
    <n v="7.0000000000000007E-2"/>
    <x v="0"/>
    <n v="33.75"/>
    <n v="2.3625000000000003"/>
    <n v="31.387499999999999"/>
    <n v="282.48750000000001"/>
  </r>
  <r>
    <n v="1229"/>
    <s v="Carina"/>
    <s v="Lynch"/>
    <s v="NULL"/>
    <s v="carina.lynch@gmail.com"/>
    <n v="438"/>
    <d v="2012-12-01T12:43:00"/>
    <n v="4"/>
    <n v="22"/>
    <s v="PAPER CHAIN KIT 50'S CHRISTMAS "/>
    <s v="Credit Card "/>
    <n v="536531"/>
    <n v="22086"/>
    <n v="2.5499999999999998"/>
    <n v="80"/>
    <n v="0.1"/>
    <x v="0"/>
    <n v="204"/>
    <n v="20.400000000000002"/>
    <n v="183.6"/>
    <n v="14688"/>
  </r>
  <r>
    <n v="1230"/>
    <s v="Jesus"/>
    <s v="Burch"/>
    <s v="NULL"/>
    <s v="jesus.burch@hotmail.com"/>
    <n v="438"/>
    <d v="2012-12-01T12:43:00"/>
    <n v="4"/>
    <n v="8"/>
    <s v="PAPER CHAIN KIT VINTAGE CHRISTMAS"/>
    <s v="Credit Card "/>
    <n v="536531"/>
    <n v="22910"/>
    <n v="2.5499999999999998"/>
    <n v="40"/>
    <n v="0.05"/>
    <x v="0"/>
    <n v="102"/>
    <n v="5.1000000000000005"/>
    <n v="96.9"/>
    <n v="3876"/>
  </r>
  <r>
    <n v="1231"/>
    <s v="Selene"/>
    <s v="Vega"/>
    <s v="NULL"/>
    <s v="selene.vega@gmail.com"/>
    <n v="438"/>
    <d v="2012-12-01T12:43:00"/>
    <n v="4"/>
    <n v="13"/>
    <s v="BLACK DINER WALL CLOCK"/>
    <s v="Credit Card "/>
    <n v="536531"/>
    <n v="22194"/>
    <n v="8.5"/>
    <n v="2"/>
    <n v="0.05"/>
    <x v="0"/>
    <n v="17"/>
    <n v="0.85000000000000009"/>
    <n v="16.149999999999999"/>
    <n v="32.299999999999997"/>
  </r>
  <r>
    <n v="1232"/>
    <s v="Jong"/>
    <s v="Guthrie"/>
    <s v="NULL"/>
    <s v="jong.guthrie@hotmail.com"/>
    <n v="439"/>
    <d v="2012-12-01T12:43:00"/>
    <n v="4"/>
    <n v="6"/>
    <s v="BLUE DINER WALL CLOCK"/>
    <s v="Credit Card "/>
    <n v="536531"/>
    <n v="22192"/>
    <n v="8.5"/>
    <n v="4"/>
    <n v="7.0000000000000007E-2"/>
    <x v="0"/>
    <n v="34"/>
    <n v="2.3800000000000003"/>
    <n v="31.62"/>
    <n v="126.48"/>
  </r>
  <r>
    <n v="1233"/>
    <s v="Lise"/>
    <s v="Hebert"/>
    <s v="NULL"/>
    <s v="lise.hebert@gmail.com"/>
    <n v="439"/>
    <d v="2012-12-01T12:43:00"/>
    <n v="4"/>
    <n v="7"/>
    <s v="RED DINER WALL CLOCK"/>
    <s v="Credit Card "/>
    <n v="536531"/>
    <n v="22193"/>
    <n v="8.5"/>
    <n v="4"/>
    <n v="0.05"/>
    <x v="0"/>
    <n v="34"/>
    <n v="1.7000000000000002"/>
    <n v="32.299999999999997"/>
    <n v="129.19999999999999"/>
  </r>
  <r>
    <n v="1234"/>
    <s v="Joshua"/>
    <s v="Berg"/>
    <s v="NULL"/>
    <s v="joshua.berg@hotmail.com"/>
    <n v="440"/>
    <d v="2012-12-01T12:43:00"/>
    <n v="3"/>
    <n v="19"/>
    <s v="IVORY DINER WALL CLOCK"/>
    <s v="Credit Card "/>
    <n v="536531"/>
    <n v="22191"/>
    <n v="8.5"/>
    <n v="4"/>
    <n v="7.0000000000000007E-2"/>
    <x v="0"/>
    <n v="34"/>
    <n v="2.3800000000000003"/>
    <n v="31.62"/>
    <n v="126.48"/>
  </r>
  <r>
    <n v="1235"/>
    <s v="Georgina"/>
    <s v="Gonzales"/>
    <s v="NULL"/>
    <s v="georgina.gonzales@yahoo.com"/>
    <n v="440"/>
    <d v="2012-12-01T12:43:00"/>
    <n v="4"/>
    <n v="4"/>
    <s v="DOORMAT PEACE ON EARTH BLUE"/>
    <s v="Credit Card "/>
    <n v="536531"/>
    <n v="22688"/>
    <n v="7.95"/>
    <n v="4"/>
    <n v="7.0000000000000007E-2"/>
    <x v="0"/>
    <n v="31.8"/>
    <n v="2.2260000000000004"/>
    <n v="29.574000000000002"/>
    <n v="118.29600000000001"/>
  </r>
  <r>
    <n v="1236"/>
    <s v="Rudolph"/>
    <s v="Velez"/>
    <s v="NULL"/>
    <s v="rudolph.velez@yahoo.com"/>
    <n v="441"/>
    <d v="2012-12-01T12:43:00"/>
    <n v="4"/>
    <n v="12"/>
    <s v="FAMILY PHOTO FRAME CORNICE"/>
    <s v="Credit Card "/>
    <n v="536531"/>
    <n v="22768"/>
    <n v="9.9499999999999993"/>
    <n v="6"/>
    <n v="7.0000000000000007E-2"/>
    <x v="0"/>
    <n v="59.699999999999996"/>
    <n v="4.1790000000000003"/>
    <n v="55.520999999999994"/>
    <n v="333.12599999999998"/>
  </r>
  <r>
    <n v="1237"/>
    <s v="Luke"/>
    <s v="Kramer"/>
    <s v="NULL"/>
    <s v="luke.kramer@hotmail.com"/>
    <n v="441"/>
    <d v="2012-12-01T12:43:00"/>
    <n v="1"/>
    <n v="15"/>
    <s v="BOX OF 24 COCKTAIL PARASOLS"/>
    <s v="Cash on Delivery"/>
    <n v="536532"/>
    <n v="84692"/>
    <n v="0.42"/>
    <n v="50"/>
    <n v="0.1"/>
    <x v="0"/>
    <n v="21"/>
    <n v="2.1"/>
    <n v="18.899999999999999"/>
    <n v="944.99999999999989"/>
  </r>
  <r>
    <n v="1238"/>
    <s v="Edgar"/>
    <s v="Quinn"/>
    <s v="NULL"/>
    <s v="edgar.quinn@aol.com"/>
    <n v="442"/>
    <d v="2012-12-01T12:43:00"/>
    <n v="1"/>
    <n v="16"/>
    <s v="GROW YOUR OWN PLANT IN A CAN "/>
    <s v="Cash on Delivery"/>
    <n v="536532"/>
    <n v="22444"/>
    <n v="1.06"/>
    <n v="96"/>
    <n v="7.0000000000000007E-2"/>
    <x v="6"/>
    <n v="101.76"/>
    <n v="7.1232000000000006"/>
    <n v="94.636800000000008"/>
    <n v="9085.1328000000012"/>
  </r>
  <r>
    <n v="1239"/>
    <s v="Tara"/>
    <s v="Maynard"/>
    <s v="NULL"/>
    <s v="tara.maynard@hotmail.com"/>
    <n v="442"/>
    <d v="2012-12-01T12:43:00"/>
    <n v="2"/>
    <n v="26"/>
    <s v="CHILDREN'S APRON DOLLY GIRL "/>
    <s v="Cash on Delivery"/>
    <n v="536532"/>
    <n v="22899"/>
    <n v="2.1"/>
    <n v="8"/>
    <n v="0.2"/>
    <x v="6"/>
    <n v="16.8"/>
    <n v="3.3600000000000003"/>
    <n v="13.440000000000001"/>
    <n v="107.52000000000001"/>
  </r>
  <r>
    <n v="1240"/>
    <s v="Bella"/>
    <s v="Perez"/>
    <s v="NULL"/>
    <s v="bella.perez@msn.com"/>
    <n v="442"/>
    <d v="2012-12-01T12:43:00"/>
    <n v="2"/>
    <n v="6"/>
    <s v="RETROSPOT CHILDRENS APRON"/>
    <s v="Cash on Delivery"/>
    <n v="536532"/>
    <n v="21156"/>
    <n v="1.95"/>
    <n v="8"/>
    <n v="0.2"/>
    <x v="6"/>
    <n v="15.6"/>
    <n v="3.12"/>
    <n v="12.48"/>
    <n v="99.84"/>
  </r>
  <r>
    <n v="1241"/>
    <s v="Nathaniel"/>
    <s v="Davidson"/>
    <s v="NULL"/>
    <s v="nathaniel.davidson@hotmail.com"/>
    <n v="443"/>
    <d v="2012-12-01T12:43:00"/>
    <n v="2"/>
    <n v="5"/>
    <s v="PLASTERS IN TIN CIRCUS PARADE "/>
    <s v="Cash on Delivery"/>
    <n v="536532"/>
    <n v="22556"/>
    <n v="1.65"/>
    <n v="24"/>
    <n v="0.05"/>
    <x v="6"/>
    <n v="39.599999999999994"/>
    <n v="1.9799999999999998"/>
    <n v="37.619999999999997"/>
    <n v="902.87999999999988"/>
  </r>
  <r>
    <n v="1242"/>
    <s v="Chauncey"/>
    <s v="Donaldson"/>
    <s v="NULL"/>
    <s v="chauncey.donaldson@aol.com"/>
    <n v="443"/>
    <d v="2012-12-01T12:43:00"/>
    <n v="2"/>
    <n v="26"/>
    <s v="PLASTERS IN TIN STRONGMAN"/>
    <s v="Cash on Delivery"/>
    <n v="536532"/>
    <n v="22555"/>
    <n v="1.65"/>
    <n v="36"/>
    <n v="0.2"/>
    <x v="6"/>
    <n v="59.4"/>
    <n v="11.88"/>
    <n v="47.519999999999996"/>
    <n v="1710.7199999999998"/>
  </r>
  <r>
    <n v="1243"/>
    <s v="Heide"/>
    <s v="Reed"/>
    <s v="NULL"/>
    <s v="heide.reed@yahoo.com"/>
    <n v="444"/>
    <d v="2012-12-01T12:43:00"/>
    <n v="2"/>
    <n v="22"/>
    <s v="PLASTERS IN TIN WOODLAND ANIMALS"/>
    <s v="Cash on Delivery"/>
    <n v="536532"/>
    <n v="22554"/>
    <n v="1.65"/>
    <n v="24"/>
    <n v="7.0000000000000007E-2"/>
    <x v="6"/>
    <n v="39.599999999999994"/>
    <n v="2.7719999999999998"/>
    <n v="36.827999999999996"/>
    <n v="883.87199999999984"/>
  </r>
  <r>
    <n v="1244"/>
    <s v="Trang"/>
    <s v="Hardin"/>
    <s v="NULL"/>
    <s v="trang.hardin@yahoo.com"/>
    <n v="444"/>
    <d v="2012-12-01T12:43:00"/>
    <n v="2"/>
    <n v="15"/>
    <s v="PLASTERS IN TIN SKULLS"/>
    <s v="Cash on Delivery"/>
    <n v="536532"/>
    <n v="22553"/>
    <n v="1.65"/>
    <n v="24"/>
    <n v="7.0000000000000007E-2"/>
    <x v="6"/>
    <n v="39.599999999999994"/>
    <n v="2.7719999999999998"/>
    <n v="36.827999999999996"/>
    <n v="883.87199999999984"/>
  </r>
  <r>
    <n v="1245"/>
    <s v="Gabriela"/>
    <s v="Warren"/>
    <s v="(562) 986-2247"/>
    <s v="gabriela.warren@aol.com"/>
    <n v="444"/>
    <d v="2012-12-01T12:43:00"/>
    <n v="2"/>
    <n v="20"/>
    <s v="PLASTERS IN TIN SPACEBOY"/>
    <s v="Cash on Delivery"/>
    <n v="536532"/>
    <n v="22551"/>
    <n v="1.65"/>
    <n v="24"/>
    <n v="0.05"/>
    <x v="6"/>
    <n v="39.599999999999994"/>
    <n v="1.9799999999999998"/>
    <n v="37.619999999999997"/>
    <n v="902.87999999999988"/>
  </r>
  <r>
    <n v="1246"/>
    <s v="Dale"/>
    <s v="Rasmussen"/>
    <s v="NULL"/>
    <s v="dale.rasmussen@aol.com"/>
    <n v="444"/>
    <d v="2012-12-01T12:43:00"/>
    <n v="2"/>
    <n v="16"/>
    <s v="MINI JIGSAW DINOSAUR "/>
    <s v="Cash on Delivery"/>
    <n v="536532"/>
    <n v="22547"/>
    <n v="0.42"/>
    <n v="24"/>
    <n v="0.1"/>
    <x v="6"/>
    <n v="10.08"/>
    <n v="1.008"/>
    <n v="9.0719999999999992"/>
    <n v="217.72799999999998"/>
  </r>
  <r>
    <n v="1247"/>
    <s v="Tammie"/>
    <s v="Cherry"/>
    <s v="NULL"/>
    <s v="tammie.cherry@hotmail.com"/>
    <n v="444"/>
    <d v="2012-12-01T12:43:00"/>
    <n v="2"/>
    <n v="10"/>
    <s v="MINI JIGSAW SPACEBOY"/>
    <s v="Cash on Delivery"/>
    <n v="536532"/>
    <n v="22544"/>
    <n v="0.42"/>
    <n v="24"/>
    <n v="0.2"/>
    <x v="6"/>
    <n v="10.08"/>
    <n v="2.016"/>
    <n v="8.0640000000000001"/>
    <n v="193.536"/>
  </r>
  <r>
    <n v="1248"/>
    <s v="Bethany"/>
    <s v="Herring"/>
    <s v="NULL"/>
    <s v="bethany.herring@yahoo.com"/>
    <n v="445"/>
    <d v="2012-12-01T12:43:00"/>
    <n v="2"/>
    <n v="7"/>
    <s v="MINI JIGSAW BAKE A CAKE "/>
    <s v="Cash on Delivery"/>
    <n v="536532"/>
    <n v="22543"/>
    <n v="0.42"/>
    <n v="24"/>
    <n v="0.2"/>
    <x v="6"/>
    <n v="10.08"/>
    <n v="2.016"/>
    <n v="8.0640000000000001"/>
    <n v="193.536"/>
  </r>
  <r>
    <n v="1249"/>
    <s v="Barbra"/>
    <s v="Dickerson"/>
    <s v="NULL"/>
    <s v="barbra.dickerson@gmail.com"/>
    <n v="445"/>
    <d v="2012-12-01T12:43:00"/>
    <n v="2"/>
    <n v="16"/>
    <s v="MINI JIGSAW CIRCUS PARADE "/>
    <s v="Cash on Delivery"/>
    <n v="536532"/>
    <n v="22540"/>
    <n v="0.42"/>
    <n v="24"/>
    <n v="7.0000000000000007E-2"/>
    <x v="6"/>
    <n v="10.08"/>
    <n v="0.70560000000000012"/>
    <n v="9.3743999999999996"/>
    <n v="224.98559999999998"/>
  </r>
  <r>
    <n v="1250"/>
    <s v="Neoma"/>
    <s v="Daugherty"/>
    <s v="NULL"/>
    <s v="neoma.daugherty@gmail.com"/>
    <n v="445"/>
    <d v="2012-12-01T12:43:00"/>
    <n v="2"/>
    <n v="23"/>
    <s v="MINI JIGSAW DOLLY GIRL"/>
    <s v="Cash on Delivery"/>
    <n v="536532"/>
    <n v="22539"/>
    <n v="0.42"/>
    <n v="24"/>
    <n v="0.2"/>
    <x v="6"/>
    <n v="10.08"/>
    <n v="2.016"/>
    <n v="8.0640000000000001"/>
    <n v="193.536"/>
  </r>
  <r>
    <n v="1251"/>
    <s v="Nanette"/>
    <s v="Roman"/>
    <s v="NULL"/>
    <s v="nanette.roman@yahoo.com"/>
    <n v="446"/>
    <d v="2012-12-01T12:43:00"/>
    <n v="2"/>
    <n v="22"/>
    <s v="MAGIC DRAWING SLATE SPACEBOY "/>
    <s v="Cash on Delivery"/>
    <n v="536532"/>
    <n v="22534"/>
    <n v="0.42"/>
    <n v="24"/>
    <n v="0.2"/>
    <x v="6"/>
    <n v="10.08"/>
    <n v="2.016"/>
    <n v="8.0640000000000001"/>
    <n v="193.536"/>
  </r>
  <r>
    <n v="1252"/>
    <s v="Adriene"/>
    <s v="Rollins"/>
    <s v="NULL"/>
    <s v="adriene.rollins@msn.com"/>
    <n v="446"/>
    <d v="2012-12-01T12:43:00"/>
    <n v="2"/>
    <n v="16"/>
    <s v="MAGIC DRAWING SLATE DOLLY GIRL "/>
    <s v="Cash on Delivery"/>
    <n v="536532"/>
    <n v="22530"/>
    <n v="0.42"/>
    <n v="24"/>
    <n v="7.0000000000000007E-2"/>
    <x v="6"/>
    <n v="10.08"/>
    <n v="0.70560000000000012"/>
    <n v="9.3743999999999996"/>
    <n v="224.98559999999998"/>
  </r>
  <r>
    <n v="1253"/>
    <s v="Susannah"/>
    <s v="Fields"/>
    <s v="NULL"/>
    <s v="susannah.fields@hotmail.com"/>
    <n v="447"/>
    <d v="2012-12-01T12:43:00"/>
    <n v="1"/>
    <n v="4"/>
    <s v="MAGIC DRAWING SLATE CIRCUS PARADE  "/>
    <s v="Cash on Delivery"/>
    <n v="536532"/>
    <n v="22531"/>
    <n v="0.42"/>
    <n v="24"/>
    <n v="0.05"/>
    <x v="6"/>
    <n v="10.08"/>
    <n v="0.504"/>
    <n v="9.5760000000000005"/>
    <n v="229.82400000000001"/>
  </r>
  <r>
    <n v="1254"/>
    <s v="Dung"/>
    <s v="Reid"/>
    <s v="NULL"/>
    <s v="dung.reid@msn.com"/>
    <n v="447"/>
    <d v="2012-12-01T12:43:00"/>
    <n v="1"/>
    <n v="3"/>
    <s v="WOODEN SCHOOL COLOURING SET"/>
    <s v="Cash on Delivery"/>
    <n v="536532"/>
    <n v="22561"/>
    <n v="1.65"/>
    <n v="24"/>
    <n v="0.1"/>
    <x v="6"/>
    <n v="39.599999999999994"/>
    <n v="3.9599999999999995"/>
    <n v="35.639999999999993"/>
    <n v="855.3599999999999"/>
  </r>
  <r>
    <n v="1255"/>
    <s v="Ben"/>
    <s v="Stone"/>
    <s v="NULL"/>
    <s v="ben.stone@gmail.com"/>
    <n v="447"/>
    <d v="2012-12-01T12:43:00"/>
    <n v="1"/>
    <n v="8"/>
    <s v="PACK OF 12 TRADITIONAL CRAYONS"/>
    <s v="Cash on Delivery"/>
    <n v="536532"/>
    <n v="22489"/>
    <n v="0.42"/>
    <n v="24"/>
    <n v="7.0000000000000007E-2"/>
    <x v="6"/>
    <n v="10.08"/>
    <n v="0.70560000000000012"/>
    <n v="9.3743999999999996"/>
    <n v="224.98559999999998"/>
  </r>
  <r>
    <n v="1256"/>
    <s v="Nubia"/>
    <s v="Anderson"/>
    <s v="NULL"/>
    <s v="nubia.anderson@aol.com"/>
    <n v="448"/>
    <d v="2012-12-01T12:43:00"/>
    <n v="1"/>
    <n v="13"/>
    <s v="CARD PARTY GAMES "/>
    <s v="Cash on Delivery"/>
    <n v="536532"/>
    <n v="22814"/>
    <n v="0.42"/>
    <n v="12"/>
    <n v="0.05"/>
    <x v="6"/>
    <n v="5.04"/>
    <n v="0.252"/>
    <n v="4.7880000000000003"/>
    <n v="57.456000000000003"/>
  </r>
  <r>
    <n v="1257"/>
    <s v="Rosamaria"/>
    <s v="Meyer"/>
    <s v="NULL"/>
    <s v="rosamaria.meyer@yahoo.com"/>
    <n v="448"/>
    <d v="2012-12-01T12:43:00"/>
    <n v="1"/>
    <n v="6"/>
    <s v="BOOZE &amp; WOMEN GREETING CARD "/>
    <s v="Cash on Delivery"/>
    <n v="536532"/>
    <n v="21520"/>
    <n v="0.42"/>
    <n v="12"/>
    <n v="0.05"/>
    <x v="6"/>
    <n v="5.04"/>
    <n v="0.252"/>
    <n v="4.7880000000000003"/>
    <n v="57.456000000000003"/>
  </r>
  <r>
    <n v="1258"/>
    <s v="Todd"/>
    <s v="Waters"/>
    <s v="NULL"/>
    <s v="todd.waters@yahoo.com"/>
    <n v="449"/>
    <d v="2012-12-01T12:43:00"/>
    <n v="1"/>
    <n v="17"/>
    <s v="FANCY FONT BIRTHDAY CARD, "/>
    <s v="Cash on Delivery"/>
    <n v="536532"/>
    <n v="21506"/>
    <n v="0.42"/>
    <n v="12"/>
    <n v="0.05"/>
    <x v="6"/>
    <n v="5.04"/>
    <n v="0.252"/>
    <n v="4.7880000000000003"/>
    <n v="57.456000000000003"/>
  </r>
  <r>
    <n v="1259"/>
    <s v="Kimbery"/>
    <s v="Nieves"/>
    <s v="NULL"/>
    <s v="kimbery.nieves@msn.com"/>
    <n v="449"/>
    <d v="2012-12-01T12:43:00"/>
    <n v="1"/>
    <n v="2"/>
    <s v="CARD CIRCUS PARADE"/>
    <s v="Cash on Delivery"/>
    <n v="536532"/>
    <n v="22716"/>
    <n v="0.42"/>
    <n v="12"/>
    <n v="0.05"/>
    <x v="6"/>
    <n v="5.04"/>
    <n v="0.252"/>
    <n v="4.7880000000000003"/>
    <n v="57.456000000000003"/>
  </r>
  <r>
    <n v="1260"/>
    <s v="Phuong"/>
    <s v="Wolf"/>
    <s v="NULL"/>
    <s v="phuong.wolf@yahoo.com"/>
    <n v="449"/>
    <d v="2012-12-01T12:43:00"/>
    <n v="1"/>
    <n v="7"/>
    <s v="HAND WARMER SCOTTY DOG DESIGN"/>
    <s v="Cash on Delivery"/>
    <n v="536532"/>
    <n v="22866"/>
    <n v="2.1"/>
    <n v="12"/>
    <n v="7.0000000000000007E-2"/>
    <x v="6"/>
    <n v="25.200000000000003"/>
    <n v="1.7640000000000005"/>
    <n v="23.436000000000003"/>
    <n v="281.23200000000003"/>
  </r>
  <r>
    <n v="1261"/>
    <s v="Adelaida"/>
    <s v="Hancock"/>
    <s v="NULL"/>
    <s v="adelaida.hancock@aol.com"/>
    <n v="449"/>
    <d v="2012-12-01T12:43:00"/>
    <n v="1"/>
    <n v="26"/>
    <s v="HAND WARMER RED RETROSPOT"/>
    <s v="Cash on Delivery"/>
    <n v="536532"/>
    <n v="22632"/>
    <n v="2.1"/>
    <n v="12"/>
    <n v="0.2"/>
    <x v="6"/>
    <n v="25.200000000000003"/>
    <n v="5.0400000000000009"/>
    <n v="20.160000000000004"/>
    <n v="241.92000000000004"/>
  </r>
  <r>
    <n v="1262"/>
    <s v="Brianne"/>
    <s v="Hays"/>
    <s v="NULL"/>
    <s v="brianne.hays@gmail.com"/>
    <n v="450"/>
    <d v="2012-12-01T12:43:00"/>
    <n v="1"/>
    <n v="24"/>
    <s v="HAND WARMER OWL DESIGN"/>
    <s v="Cash on Delivery"/>
    <n v="536532"/>
    <n v="22865"/>
    <n v="2.1"/>
    <n v="12"/>
    <n v="0.05"/>
    <x v="6"/>
    <n v="25.200000000000003"/>
    <n v="1.2600000000000002"/>
    <n v="23.94"/>
    <n v="287.28000000000003"/>
  </r>
  <r>
    <n v="1263"/>
    <s v="Rufina"/>
    <s v="Chandler"/>
    <s v="NULL"/>
    <s v="rufina.chandler@aol.com"/>
    <n v="450"/>
    <d v="2012-12-01T12:43:00"/>
    <n v="1"/>
    <n v="12"/>
    <s v="HOT WATER BOTTLE TEA AND SYMPATHY"/>
    <s v="Cash on Delivery"/>
    <n v="536532"/>
    <n v="22114"/>
    <n v="3.95"/>
    <n v="8"/>
    <n v="7.0000000000000007E-2"/>
    <x v="6"/>
    <n v="31.6"/>
    <n v="2.2120000000000002"/>
    <n v="29.388000000000002"/>
    <n v="235.10400000000001"/>
  </r>
  <r>
    <n v="1264"/>
    <s v="Devin"/>
    <s v="Velazquez"/>
    <s v="(631) 254-8497"/>
    <s v="devin.velazquez@aol.com"/>
    <n v="450"/>
    <d v="2012-12-01T12:43:00"/>
    <n v="1"/>
    <n v="5"/>
    <s v="PACK OF 12 SUKI TISSUES "/>
    <s v="Cash on Delivery"/>
    <n v="536532"/>
    <n v="21982"/>
    <n v="0.28999999999999998"/>
    <n v="48"/>
    <n v="0.1"/>
    <x v="6"/>
    <n v="13.919999999999998"/>
    <n v="1.3919999999999999"/>
    <n v="12.527999999999999"/>
    <n v="601.34399999999994"/>
  </r>
  <r>
    <n v="1265"/>
    <s v="Bonita"/>
    <s v="Marshall"/>
    <s v="NULL"/>
    <s v="bonita.marshall@msn.com"/>
    <n v="451"/>
    <d v="2012-12-01T12:43:00"/>
    <n v="1"/>
    <n v="14"/>
    <s v="PACK OF 12 WOODLAND TISSUES "/>
    <s v="Cash on Delivery"/>
    <n v="536532"/>
    <n v="21981"/>
    <n v="0.28999999999999998"/>
    <n v="48"/>
    <n v="0.05"/>
    <x v="6"/>
    <n v="13.919999999999998"/>
    <n v="0.69599999999999995"/>
    <n v="13.223999999999998"/>
    <n v="634.75199999999995"/>
  </r>
  <r>
    <n v="1266"/>
    <s v="Myrl"/>
    <s v="Gay"/>
    <s v="NULL"/>
    <s v="myrl.gay@hotmail.com"/>
    <n v="452"/>
    <d v="2012-12-01T12:43:00"/>
    <n v="1"/>
    <n v="11"/>
    <s v="PACK OF 12 SKULL TISSUES"/>
    <s v="Cash on Delivery"/>
    <n v="536532"/>
    <n v="21967"/>
    <n v="0.28999999999999998"/>
    <n v="48"/>
    <n v="0.05"/>
    <x v="6"/>
    <n v="13.919999999999998"/>
    <n v="0.69599999999999995"/>
    <n v="13.223999999999998"/>
    <n v="634.75199999999995"/>
  </r>
  <r>
    <n v="1267"/>
    <s v="Earline"/>
    <s v="Gordon"/>
    <s v="NULL"/>
    <s v="earline.gordon@gmail.com"/>
    <n v="452"/>
    <d v="2012-12-01T12:43:00"/>
    <n v="1"/>
    <n v="16"/>
    <s v="BLUE PAISLEY TISSUE BOX"/>
    <s v="Cash on Delivery"/>
    <n v="536532"/>
    <n v="22092"/>
    <n v="1.25"/>
    <n v="12"/>
    <n v="0.05"/>
    <x v="6"/>
    <n v="15"/>
    <n v="0.75"/>
    <n v="14.25"/>
    <n v="171"/>
  </r>
  <r>
    <n v="1268"/>
    <s v="Sung"/>
    <s v="Chambers"/>
    <s v="NULL"/>
    <s v="sung.chambers@gmail.com"/>
    <n v="452"/>
    <d v="2012-12-01T12:43:00"/>
    <n v="4"/>
    <n v="7"/>
    <s v="PACK OF 12 BLUE PAISLEY TISSUES "/>
    <s v="Debit Card"/>
    <n v="536532"/>
    <n v="21983"/>
    <n v="0.28999999999999998"/>
    <n v="48"/>
    <n v="0.1"/>
    <x v="6"/>
    <n v="13.919999999999998"/>
    <n v="1.3919999999999999"/>
    <n v="12.527999999999999"/>
    <n v="601.34399999999994"/>
  </r>
  <r>
    <n v="1269"/>
    <s v="Gustavo"/>
    <s v="Gamble"/>
    <s v="NULL"/>
    <s v="gustavo.gamble@msn.com"/>
    <n v="452"/>
    <d v="2012-12-01T12:43:00"/>
    <n v="4"/>
    <n v="8"/>
    <s v="PACK OF 12 CIRCUS PARADE TISSUES "/>
    <s v="Amazon Pay"/>
    <n v="536532"/>
    <n v="22615"/>
    <n v="0.28999999999999998"/>
    <n v="48"/>
    <n v="0.1"/>
    <x v="6"/>
    <n v="13.919999999999998"/>
    <n v="1.3919999999999999"/>
    <n v="12.527999999999999"/>
    <n v="601.34399999999994"/>
  </r>
  <r>
    <n v="1270"/>
    <s v="Ciera"/>
    <s v="Webb"/>
    <s v="NULL"/>
    <s v="ciera.webb@yahoo.com"/>
    <n v="453"/>
    <d v="2012-12-01T12:43:00"/>
    <n v="4"/>
    <n v="23"/>
    <s v="PACK OF 12 RED RETROSPOT TISSUES "/>
    <s v="Amazon Pay"/>
    <n v="536532"/>
    <n v="21980"/>
    <n v="0.28999999999999998"/>
    <n v="48"/>
    <n v="0.05"/>
    <x v="6"/>
    <n v="13.919999999999998"/>
    <n v="0.69599999999999995"/>
    <n v="13.223999999999998"/>
    <n v="634.75199999999995"/>
  </r>
  <r>
    <n v="1271"/>
    <s v="Roy"/>
    <s v="Chan"/>
    <s v="NULL"/>
    <s v="roy.chan@hotmail.com"/>
    <n v="453"/>
    <d v="2012-12-01T12:43:00"/>
    <n v="4"/>
    <n v="20"/>
    <s v="PACK OF 12 SPACEBOY TISSUES"/>
    <s v="Amazon Pay"/>
    <n v="536532"/>
    <n v="22614"/>
    <n v="0.28999999999999998"/>
    <n v="48"/>
    <n v="0.2"/>
    <x v="6"/>
    <n v="13.919999999999998"/>
    <n v="2.7839999999999998"/>
    <n v="11.135999999999999"/>
    <n v="534.52800000000002"/>
  </r>
  <r>
    <n v="1272"/>
    <s v="Houston"/>
    <s v="Vasquez"/>
    <s v="NULL"/>
    <s v="houston.vasquez@msn.com"/>
    <n v="453"/>
    <d v="2012-12-01T12:43:00"/>
    <n v="4"/>
    <n v="4"/>
    <s v="LADS ONLY TISSUE BOX"/>
    <s v="Amazon Pay"/>
    <n v="536532"/>
    <n v="22095"/>
    <n v="1.25"/>
    <n v="12"/>
    <n v="0.2"/>
    <x v="6"/>
    <n v="15"/>
    <n v="3"/>
    <n v="12"/>
    <n v="144"/>
  </r>
  <r>
    <n v="1273"/>
    <s v="Cheree"/>
    <s v="Hale"/>
    <s v="NULL"/>
    <s v="cheree.hale@yahoo.com"/>
    <n v="454"/>
    <d v="2012-12-01T12:43:00"/>
    <n v="4"/>
    <n v="25"/>
    <s v="RED RETROSPOT TISSUE BOX"/>
    <s v="Amazon Pay"/>
    <n v="536532"/>
    <n v="22094"/>
    <n v="1.25"/>
    <n v="12"/>
    <n v="7.0000000000000007E-2"/>
    <x v="6"/>
    <n v="15"/>
    <n v="1.05"/>
    <n v="13.95"/>
    <n v="167.39999999999998"/>
  </r>
  <r>
    <n v="1274"/>
    <s v="Odette"/>
    <s v="Moses"/>
    <s v="NULL"/>
    <s v="odette.moses@gmail.com"/>
    <n v="454"/>
    <d v="2012-12-01T12:43:00"/>
    <n v="4"/>
    <n v="13"/>
    <s v="PACK OF 12 PINK PAISLEY TISSUES "/>
    <s v="Amazon Pay"/>
    <n v="536532"/>
    <n v="21984"/>
    <n v="0.28999999999999998"/>
    <n v="48"/>
    <n v="0.05"/>
    <x v="6"/>
    <n v="13.919999999999998"/>
    <n v="0.69599999999999995"/>
    <n v="13.223999999999998"/>
    <n v="634.75199999999995"/>
  </r>
  <r>
    <n v="1275"/>
    <s v="Lenita"/>
    <s v="Bonner"/>
    <s v="NULL"/>
    <s v="lenita.bonner@aol.com"/>
    <n v="454"/>
    <d v="2012-12-01T12:43:00"/>
    <n v="4"/>
    <n v="24"/>
    <s v="PLASTERS IN TIN VINTAGE PAISLEY "/>
    <s v="Amazon Pay"/>
    <n v="536532"/>
    <n v="22557"/>
    <n v="1.65"/>
    <n v="36"/>
    <n v="0.1"/>
    <x v="6"/>
    <n v="59.4"/>
    <n v="5.94"/>
    <n v="53.46"/>
    <n v="1924.56"/>
  </r>
  <r>
    <n v="1276"/>
    <s v="Shona"/>
    <s v="Mcmillan"/>
    <s v="NULL"/>
    <s v="shona.mcmillan@msn.com"/>
    <n v="455"/>
    <d v="2012-12-01T12:43:00"/>
    <n v="4"/>
    <n v="9"/>
    <s v="POLKADOT RAIN HAT "/>
    <s v="Amazon Pay"/>
    <n v="536532"/>
    <n v="21786"/>
    <n v="0.42"/>
    <n v="24"/>
    <n v="0.05"/>
    <x v="6"/>
    <n v="10.08"/>
    <n v="0.504"/>
    <n v="9.5760000000000005"/>
    <n v="229.82400000000001"/>
  </r>
  <r>
    <n v="1277"/>
    <s v="Piedad"/>
    <s v="Irwin"/>
    <s v="NULL"/>
    <s v="piedad.irwin@hotmail.com"/>
    <n v="456"/>
    <d v="2012-12-01T12:43:00"/>
    <n v="4"/>
    <n v="17"/>
    <s v="SET/20 RED RETROSPOT PAPER NAPKINS "/>
    <s v="Amazon Pay"/>
    <n v="536532"/>
    <n v="21080"/>
    <n v="0.85"/>
    <n v="136"/>
    <n v="7.0000000000000007E-2"/>
    <x v="6"/>
    <n v="115.6"/>
    <n v="8.0920000000000005"/>
    <n v="107.508"/>
    <n v="14621.088"/>
  </r>
  <r>
    <n v="1278"/>
    <s v="Loan"/>
    <s v="Graham"/>
    <s v="NULL"/>
    <s v="loan.graham@yahoo.com"/>
    <n v="456"/>
    <d v="2012-12-01T12:43:00"/>
    <n v="4"/>
    <n v="23"/>
    <s v="JAM JAR WITH GREEN LID"/>
    <s v="Amazon Pay"/>
    <n v="536532"/>
    <n v="22963"/>
    <n v="0.85"/>
    <n v="120"/>
    <n v="7.0000000000000007E-2"/>
    <x v="6"/>
    <n v="102"/>
    <n v="7.1400000000000006"/>
    <n v="94.86"/>
    <n v="11383.2"/>
  </r>
  <r>
    <n v="1279"/>
    <s v="Stan"/>
    <s v="Saunders"/>
    <s v="NULL"/>
    <s v="stan.saunders@yahoo.com"/>
    <n v="457"/>
    <d v="2012-12-01T12:43:00"/>
    <n v="2"/>
    <n v="24"/>
    <s v="JAM JAR WITH PINK LID"/>
    <s v="Cash on Delivery"/>
    <n v="536532"/>
    <n v="22962"/>
    <n v="0.85"/>
    <n v="12"/>
    <n v="7.0000000000000007E-2"/>
    <x v="6"/>
    <n v="10.199999999999999"/>
    <n v="0.71399999999999997"/>
    <n v="9.4859999999999989"/>
    <n v="113.83199999999999"/>
  </r>
  <r>
    <n v="1280"/>
    <s v="Jackeline"/>
    <s v="Colon"/>
    <s v="NULL"/>
    <s v="jackeline.colon@msn.com"/>
    <n v="457"/>
    <d v="2012-12-01T12:43:00"/>
    <n v="2"/>
    <n v="2"/>
    <s v="JAM MAKING SET PRINTED"/>
    <s v="Cash on Delivery"/>
    <n v="536532"/>
    <n v="22961"/>
    <n v="1.45"/>
    <n v="24"/>
    <n v="0.05"/>
    <x v="6"/>
    <n v="34.799999999999997"/>
    <n v="1.74"/>
    <n v="33.059999999999995"/>
    <n v="793.43999999999983"/>
  </r>
  <r>
    <n v="1281"/>
    <s v="Marlen"/>
    <s v="Dawson"/>
    <s v="NULL"/>
    <s v="marlen.dawson@msn.com"/>
    <n v="457"/>
    <d v="2012-12-01T12:43:00"/>
    <n v="1"/>
    <n v="7"/>
    <s v="SET OF 20 KIDS COOKIE CUTTERS"/>
    <s v="Cash on Delivery"/>
    <n v="536532"/>
    <n v="84375"/>
    <n v="2.1"/>
    <n v="24"/>
    <n v="0.1"/>
    <x v="6"/>
    <n v="50.400000000000006"/>
    <n v="5.0400000000000009"/>
    <n v="45.360000000000007"/>
    <n v="1088.6400000000001"/>
  </r>
  <r>
    <n v="1282"/>
    <s v="Alexis"/>
    <s v="Mack"/>
    <s v="(845) 707-6088"/>
    <s v="alexis.mack@aol.com"/>
    <n v="457"/>
    <d v="2012-12-01T12:43:00"/>
    <n v="1"/>
    <n v="17"/>
    <s v="GINGERBREAD MAN COOKIE CUTTER"/>
    <s v="Cash on Delivery"/>
    <n v="536532"/>
    <n v="22966"/>
    <n v="1.25"/>
    <n v="24"/>
    <n v="0.2"/>
    <x v="6"/>
    <n v="30"/>
    <n v="6"/>
    <n v="24"/>
    <n v="576"/>
  </r>
  <r>
    <n v="1283"/>
    <s v="Mica"/>
    <s v="Barry"/>
    <s v="NULL"/>
    <s v="mica.barry@yahoo.com"/>
    <n v="458"/>
    <d v="2012-12-01T12:43:00"/>
    <n v="1"/>
    <n v="2"/>
    <s v="GIN AND TONIC MUG"/>
    <s v="Cash on Delivery"/>
    <n v="536532"/>
    <n v="21874"/>
    <n v="1.25"/>
    <n v="24"/>
    <n v="0.2"/>
    <x v="6"/>
    <n v="30"/>
    <n v="6"/>
    <n v="24"/>
    <n v="576"/>
  </r>
  <r>
    <n v="1284"/>
    <s v="Shanice"/>
    <s v="Spears"/>
    <s v="NULL"/>
    <s v="shanice.spears@msn.com"/>
    <n v="458"/>
    <d v="2012-12-01T12:43:00"/>
    <n v="2"/>
    <n v="21"/>
    <s v="IF YOU CAN'T STAND THE HEAT MUG"/>
    <s v="Cash on Delivery"/>
    <n v="536532"/>
    <n v="21873"/>
    <n v="1.25"/>
    <n v="24"/>
    <n v="7.0000000000000007E-2"/>
    <x v="6"/>
    <n v="30"/>
    <n v="2.1"/>
    <n v="27.9"/>
    <n v="669.59999999999991"/>
  </r>
  <r>
    <n v="1285"/>
    <s v="Garth"/>
    <s v="Huff"/>
    <s v="NULL"/>
    <s v="garth.huff@yahoo.com"/>
    <n v="458"/>
    <d v="2012-12-01T12:43:00"/>
    <n v="2"/>
    <n v="11"/>
    <s v="I CAN ONLY PLEASE ONE PERSON MUG"/>
    <s v="Cash on Delivery"/>
    <n v="536532"/>
    <n v="21870"/>
    <n v="1.25"/>
    <n v="24"/>
    <n v="0.1"/>
    <x v="6"/>
    <n v="30"/>
    <n v="3"/>
    <n v="27"/>
    <n v="648"/>
  </r>
  <r>
    <n v="1286"/>
    <s v="Dione"/>
    <s v="Pratt"/>
    <s v="NULL"/>
    <s v="dione.pratt@msn.com"/>
    <n v="458"/>
    <d v="2012-12-01T12:43:00"/>
    <n v="2"/>
    <n v="24"/>
    <s v="36 FOIL HEART CAKE CASES"/>
    <s v="Cash on Delivery"/>
    <n v="536532"/>
    <n v="22956"/>
    <n v="2.1"/>
    <n v="12"/>
    <n v="0.2"/>
    <x v="6"/>
    <n v="25.200000000000003"/>
    <n v="5.0400000000000009"/>
    <n v="20.160000000000004"/>
    <n v="241.92000000000004"/>
  </r>
  <r>
    <n v="1287"/>
    <s v="Victor"/>
    <s v="Pittman"/>
    <s v="NULL"/>
    <s v="victor.pittman@aol.com"/>
    <n v="458"/>
    <d v="2012-12-01T12:43:00"/>
    <n v="1"/>
    <n v="3"/>
    <s v="PINK HEART SHAPE EGG FRYING PAN"/>
    <s v="Cash on Delivery"/>
    <n v="536532"/>
    <n v="84050"/>
    <n v="1.25"/>
    <n v="72"/>
    <n v="0.2"/>
    <x v="6"/>
    <n v="90"/>
    <n v="18"/>
    <n v="72"/>
    <n v="5184"/>
  </r>
  <r>
    <n v="1288"/>
    <s v="Allie"/>
    <s v="Conley"/>
    <s v="NULL"/>
    <s v="allie.conley@msn.com"/>
    <n v="459"/>
    <d v="2012-12-01T12:43:00"/>
    <n v="2"/>
    <n v="11"/>
    <s v="60 TEATIME FAIRY CAKE CASES"/>
    <s v="Cash on Delivery"/>
    <n v="536532"/>
    <n v="84991"/>
    <n v="0.55000000000000004"/>
    <n v="24"/>
    <n v="0.2"/>
    <x v="6"/>
    <n v="13.200000000000001"/>
    <n v="2.6400000000000006"/>
    <n v="10.56"/>
    <n v="253.44"/>
  </r>
  <r>
    <n v="1289"/>
    <s v="Shanelle"/>
    <s v="Anderson"/>
    <s v="NULL"/>
    <s v="shanelle.anderson@yahoo.com"/>
    <n v="460"/>
    <d v="2012-12-01T12:43:00"/>
    <n v="1"/>
    <n v="19"/>
    <s v="72 SWEETHEART FAIRY CAKE CASES"/>
    <s v="Cash on Delivery"/>
    <n v="536532"/>
    <n v="84992"/>
    <n v="0.55000000000000004"/>
    <n v="24"/>
    <n v="0.05"/>
    <x v="6"/>
    <n v="13.200000000000001"/>
    <n v="0.66000000000000014"/>
    <n v="12.540000000000001"/>
    <n v="300.96000000000004"/>
  </r>
  <r>
    <n v="1290"/>
    <s v="Minnie"/>
    <s v="Compton"/>
    <s v="NULL"/>
    <s v="minnie.compton@gmail.com"/>
    <n v="460"/>
    <d v="2012-12-01T12:43:00"/>
    <n v="2"/>
    <n v="18"/>
    <s v="PACK OF 72 SKULL CAKE CASES"/>
    <s v="Cash on Delivery"/>
    <n v="536532"/>
    <n v="21213"/>
    <n v="0.55000000000000004"/>
    <n v="24"/>
    <n v="7.0000000000000007E-2"/>
    <x v="6"/>
    <n v="13.200000000000001"/>
    <n v="0.92400000000000015"/>
    <n v="12.276000000000002"/>
    <n v="294.62400000000002"/>
  </r>
  <r>
    <n v="1291"/>
    <s v="Shiloh"/>
    <s v="Bates"/>
    <s v="NULL"/>
    <s v="shiloh.bates@msn.com"/>
    <n v="460"/>
    <d v="2012-12-01T12:43:00"/>
    <n v="1"/>
    <n v="4"/>
    <s v="PACK OF 60 PINK PAISLEY CAKE CASES"/>
    <s v="Cash on Delivery"/>
    <n v="536532"/>
    <n v="21977"/>
    <n v="0.55000000000000004"/>
    <n v="24"/>
    <n v="0.2"/>
    <x v="6"/>
    <n v="13.200000000000001"/>
    <n v="2.6400000000000006"/>
    <n v="10.56"/>
    <n v="253.44"/>
  </r>
  <r>
    <n v="1292"/>
    <s v="Lakenya"/>
    <s v="Oliver"/>
    <s v="NULL"/>
    <s v="lakenya.oliver@yahoo.com"/>
    <n v="460"/>
    <d v="2012-12-01T12:43:00"/>
    <n v="1"/>
    <n v="22"/>
    <s v="PACK OF 72 RETROSPOT CAKE CASES"/>
    <s v="Cash on Delivery"/>
    <n v="536532"/>
    <n v="21212"/>
    <n v="0.55000000000000004"/>
    <n v="24"/>
    <n v="0.1"/>
    <x v="6"/>
    <n v="13.200000000000001"/>
    <n v="1.3200000000000003"/>
    <n v="11.88"/>
    <n v="285.12"/>
  </r>
  <r>
    <n v="1293"/>
    <s v="Sally"/>
    <s v="Kinney"/>
    <s v="NULL"/>
    <s v="sally.kinney@msn.com"/>
    <n v="461"/>
    <d v="2012-12-01T12:43:00"/>
    <n v="2"/>
    <n v="16"/>
    <s v="LARGE POPCORN HOLDER "/>
    <s v="Cash on Delivery"/>
    <n v="536532"/>
    <n v="22198"/>
    <n v="1.65"/>
    <n v="48"/>
    <n v="7.0000000000000007E-2"/>
    <x v="6"/>
    <n v="79.199999999999989"/>
    <n v="5.5439999999999996"/>
    <n v="73.655999999999992"/>
    <n v="3535.4879999999994"/>
  </r>
  <r>
    <n v="1294"/>
    <s v="Edith"/>
    <s v="Davenport"/>
    <s v="NULL"/>
    <s v="edith.davenport@gmail.com"/>
    <n v="461"/>
    <d v="2012-12-01T12:43:00"/>
    <n v="2"/>
    <n v="4"/>
    <s v="SMALL POPCORN HOLDER"/>
    <s v="Cash on Delivery"/>
    <n v="536532"/>
    <n v="22197"/>
    <n v="0.85"/>
    <n v="72"/>
    <n v="0.2"/>
    <x v="6"/>
    <n v="61.199999999999996"/>
    <n v="12.24"/>
    <n v="48.959999999999994"/>
    <n v="3525.1199999999994"/>
  </r>
  <r>
    <n v="1295"/>
    <s v="Alline"/>
    <s v="Beasley"/>
    <s v="NULL"/>
    <s v="alline.beasley@yahoo.com"/>
    <n v="461"/>
    <d v="2012-12-01T12:43:00"/>
    <n v="2"/>
    <n v="8"/>
    <s v="200 RED + WHITE BENDY STRAWS"/>
    <s v="Cash on Delivery"/>
    <n v="536532"/>
    <n v="22315"/>
    <n v="1.25"/>
    <n v="12"/>
    <n v="0.05"/>
    <x v="6"/>
    <n v="15"/>
    <n v="0.75"/>
    <n v="14.25"/>
    <n v="171"/>
  </r>
  <r>
    <n v="1296"/>
    <s v="Travis"/>
    <s v="Whitley"/>
    <s v="NULL"/>
    <s v="travis.whitley@aol.com"/>
    <n v="461"/>
    <d v="2012-12-01T12:43:00"/>
    <n v="1"/>
    <n v="24"/>
    <s v="RECIPE BOX RETROSPOT "/>
    <s v="Cash on Delivery"/>
    <n v="536532"/>
    <n v="22667"/>
    <n v="2.95"/>
    <n v="12"/>
    <n v="0.1"/>
    <x v="6"/>
    <n v="35.400000000000006"/>
    <n v="3.5400000000000009"/>
    <n v="31.860000000000007"/>
    <n v="382.32000000000005"/>
  </r>
  <r>
    <n v="1297"/>
    <s v="Vanessa"/>
    <s v="West"/>
    <s v="NULL"/>
    <s v="vanessa.west@gmail.com"/>
    <n v="461"/>
    <d v="2012-12-01T12:43:00"/>
    <n v="2"/>
    <n v="18"/>
    <s v="RECIPE BOX PANTRY YELLOW DESIGN"/>
    <s v="Cash on Delivery"/>
    <n v="536532"/>
    <n v="22666"/>
    <n v="2.95"/>
    <n v="12"/>
    <n v="0.1"/>
    <x v="6"/>
    <n v="35.400000000000006"/>
    <n v="3.5400000000000009"/>
    <n v="31.860000000000007"/>
    <n v="382.32000000000005"/>
  </r>
  <r>
    <n v="1298"/>
    <s v="Trudy"/>
    <s v="Riddle"/>
    <s v="NULL"/>
    <s v="trudy.riddle@aol.com"/>
    <n v="462"/>
    <d v="2012-12-01T12:43:00"/>
    <n v="1"/>
    <n v="12"/>
    <s v="RECIPE BOX BLUE SKETCHBOOK DESIGN"/>
    <s v="Cash on Delivery"/>
    <n v="536532"/>
    <n v="22665"/>
    <n v="2.95"/>
    <n v="12"/>
    <n v="0.1"/>
    <x v="6"/>
    <n v="35.400000000000006"/>
    <n v="3.5400000000000009"/>
    <n v="31.860000000000007"/>
    <n v="382.32000000000005"/>
  </r>
  <r>
    <n v="1299"/>
    <s v="Shauna"/>
    <s v="Edwards"/>
    <s v="NULL"/>
    <s v="shauna.edwards@msn.com"/>
    <n v="463"/>
    <d v="2012-12-01T12:43:00"/>
    <n v="2"/>
    <n v="13"/>
    <s v="CLOTHES PEGS RETROSPOT PACK 24 "/>
    <s v="Cash on Delivery"/>
    <n v="536532"/>
    <n v="22558"/>
    <n v="1.49"/>
    <n v="24"/>
    <n v="7.0000000000000007E-2"/>
    <x v="6"/>
    <n v="35.76"/>
    <n v="2.5032000000000001"/>
    <n v="33.256799999999998"/>
    <n v="798.16319999999996"/>
  </r>
  <r>
    <n v="1300"/>
    <s v="Clorinda"/>
    <s v="Donovan"/>
    <s v="NULL"/>
    <s v="clorinda.donovan@msn.com"/>
    <n v="464"/>
    <d v="2012-12-01T12:43:00"/>
    <n v="2"/>
    <n v="7"/>
    <s v="20 DOLLY PEGS RETROSPOT"/>
    <s v="Cash on Delivery"/>
    <n v="536532"/>
    <n v="22567"/>
    <n v="1.25"/>
    <n v="24"/>
    <n v="0.1"/>
    <x v="6"/>
    <n v="30"/>
    <n v="3"/>
    <n v="27"/>
    <n v="648"/>
  </r>
  <r>
    <n v="1301"/>
    <s v="Raven"/>
    <s v="Curtis"/>
    <s v="NULL"/>
    <s v="raven.curtis@aol.com"/>
    <n v="465"/>
    <d v="2012-12-01T12:43:00"/>
    <n v="1"/>
    <n v="6"/>
    <s v="LADIES &amp; GENTLEMEN METAL SIGN"/>
    <s v="Cash on Delivery"/>
    <n v="536532"/>
    <n v="85150"/>
    <n v="2.5499999999999998"/>
    <n v="12"/>
    <n v="0.1"/>
    <x v="6"/>
    <n v="30.599999999999998"/>
    <n v="3.06"/>
    <n v="27.54"/>
    <n v="330.48"/>
  </r>
  <r>
    <n v="1302"/>
    <s v="Verda"/>
    <s v="Gilbert"/>
    <s v="NULL"/>
    <s v="verda.gilbert@gmail.com"/>
    <n v="465"/>
    <d v="2012-12-01T12:43:00"/>
    <n v="2"/>
    <n v="25"/>
    <s v="COOK WITH WINE METAL SIGN "/>
    <s v="Cash on Delivery"/>
    <n v="536532"/>
    <n v="21166"/>
    <n v="1.95"/>
    <n v="12"/>
    <n v="0.1"/>
    <x v="6"/>
    <n v="23.4"/>
    <n v="2.34"/>
    <n v="21.06"/>
    <n v="252.71999999999997"/>
  </r>
  <r>
    <n v="1303"/>
    <s v="Renay"/>
    <s v="Atkins"/>
    <s v="NULL"/>
    <s v="renay.atkins@aol.com"/>
    <n v="466"/>
    <d v="2012-12-01T12:43:00"/>
    <n v="2"/>
    <n v="19"/>
    <s v="HAND OVER THE CHOCOLATE   SIGN "/>
    <s v="Cash on Delivery"/>
    <n v="536532"/>
    <n v="85152"/>
    <n v="2.1"/>
    <n v="24"/>
    <n v="0.2"/>
    <x v="6"/>
    <n v="50.400000000000006"/>
    <n v="10.080000000000002"/>
    <n v="40.320000000000007"/>
    <n v="967.68000000000018"/>
  </r>
  <r>
    <n v="1304"/>
    <s v="Tama"/>
    <s v="Berg"/>
    <s v="NULL"/>
    <s v="tama.berg@hotmail.com"/>
    <n v="466"/>
    <d v="2012-12-01T12:43:00"/>
    <n v="2"/>
    <n v="6"/>
    <s v="NO SINGING METAL SIGN"/>
    <s v="Cash on Delivery"/>
    <n v="536532"/>
    <n v="82600"/>
    <n v="2.1"/>
    <n v="24"/>
    <n v="0.2"/>
    <x v="6"/>
    <n v="50.400000000000006"/>
    <n v="10.080000000000002"/>
    <n v="40.320000000000007"/>
    <n v="967.68000000000018"/>
  </r>
  <r>
    <n v="1305"/>
    <s v="Dalia"/>
    <s v="Carson"/>
    <s v="(507) 186-2004"/>
    <s v="dalia.carson@aol.com"/>
    <n v="466"/>
    <d v="2012-12-01T12:43:00"/>
    <n v="1"/>
    <n v="7"/>
    <s v="RED HANGING HEART T-LIGHT HOLDER"/>
    <s v="Cash on Delivery"/>
    <n v="536532"/>
    <n v="21733"/>
    <n v="2.95"/>
    <n v="6"/>
    <n v="0.05"/>
    <x v="6"/>
    <n v="17.700000000000003"/>
    <n v="0.88500000000000023"/>
    <n v="16.815000000000001"/>
    <n v="100.89000000000001"/>
  </r>
  <r>
    <n v="1306"/>
    <s v="America"/>
    <s v="Swanson"/>
    <s v="NULL"/>
    <s v="america.swanson@msn.com"/>
    <n v="466"/>
    <d v="2012-12-01T12:43:00"/>
    <n v="1"/>
    <n v="15"/>
    <s v="DOORMAT RED RETROSPOT"/>
    <s v="Cash on Delivery"/>
    <n v="536532"/>
    <n v="20685"/>
    <n v="7.95"/>
    <n v="2"/>
    <n v="0.1"/>
    <x v="6"/>
    <n v="15.9"/>
    <n v="1.59"/>
    <n v="14.31"/>
    <n v="28.62"/>
  </r>
  <r>
    <n v="1307"/>
    <s v="Cinda"/>
    <s v="Rocha"/>
    <s v="NULL"/>
    <s v="cinda.rocha@hotmail.com"/>
    <n v="466"/>
    <d v="2012-12-01T12:43:00"/>
    <n v="2"/>
    <n v="5"/>
    <s v="BISCUIT TIN VINTAGE RED"/>
    <s v="Cash on Delivery"/>
    <n v="536532"/>
    <n v="22842"/>
    <n v="6.75"/>
    <n v="6"/>
    <n v="0.1"/>
    <x v="6"/>
    <n v="40.5"/>
    <n v="4.05"/>
    <n v="36.450000000000003"/>
    <n v="218.70000000000002"/>
  </r>
  <r>
    <n v="1308"/>
    <s v="Shea"/>
    <s v="Howell"/>
    <s v="NULL"/>
    <s v="shea.howell@msn.com"/>
    <n v="467"/>
    <d v="2012-12-01T12:43:00"/>
    <n v="2"/>
    <n v="19"/>
    <s v="EMERGENCY FIRST AID TIN "/>
    <s v="Cash on Delivery"/>
    <n v="536532"/>
    <n v="22494"/>
    <n v="1.25"/>
    <n v="24"/>
    <n v="7.0000000000000007E-2"/>
    <x v="6"/>
    <n v="30"/>
    <n v="2.1"/>
    <n v="27.9"/>
    <n v="669.59999999999991"/>
  </r>
  <r>
    <n v="1309"/>
    <s v="Kimberli"/>
    <s v="Cline"/>
    <s v="NULL"/>
    <s v="kimberli.cline@yahoo.com"/>
    <n v="467"/>
    <d v="2012-12-01T12:43:00"/>
    <n v="1"/>
    <n v="10"/>
    <s v="FIRST AID TIN"/>
    <s v="Cash on Delivery"/>
    <n v="536532"/>
    <n v="21260"/>
    <n v="3.25"/>
    <n v="12"/>
    <n v="7.0000000000000007E-2"/>
    <x v="6"/>
    <n v="39"/>
    <n v="2.7300000000000004"/>
    <n v="36.269999999999996"/>
    <n v="435.23999999999995"/>
  </r>
  <r>
    <n v="1310"/>
    <s v="Emanuel"/>
    <s v="Mckee"/>
    <s v="NULL"/>
    <s v="emanuel.mckee@yahoo.com"/>
    <n v="467"/>
    <d v="2012-12-01T12:43:00"/>
    <n v="2"/>
    <n v="22"/>
    <s v="RETROSPOT RED WASHING UP GLOVES"/>
    <s v="Cash on Delivery"/>
    <n v="536533"/>
    <n v="20754"/>
    <n v="2.1"/>
    <n v="6"/>
    <n v="0.1"/>
    <x v="6"/>
    <n v="12.600000000000001"/>
    <n v="1.2600000000000002"/>
    <n v="11.340000000000002"/>
    <n v="68.040000000000006"/>
  </r>
  <r>
    <n v="1311"/>
    <s v="Whitley"/>
    <s v="Cannon"/>
    <s v="NULL"/>
    <s v="whitley.cannon@msn.com"/>
    <n v="467"/>
    <d v="2012-12-01T12:43:00"/>
    <n v="1"/>
    <n v="17"/>
    <s v="POLKADOT PEN"/>
    <s v="Cash on Delivery"/>
    <n v="536533"/>
    <n v="22740"/>
    <n v="0.85"/>
    <n v="48"/>
    <n v="7.0000000000000007E-2"/>
    <x v="6"/>
    <n v="40.799999999999997"/>
    <n v="2.8559999999999999"/>
    <n v="37.943999999999996"/>
    <n v="1821.3119999999999"/>
  </r>
  <r>
    <n v="1312"/>
    <s v="Tereasa"/>
    <s v="Bird"/>
    <s v="NULL"/>
    <s v="tereasa.bird@aol.com"/>
    <n v="467"/>
    <d v="2012-12-01T12:43:00"/>
    <n v="1"/>
    <n v="11"/>
    <s v="DECORATIVE PLANT POT WITH FRIEZE"/>
    <s v="Cash on Delivery"/>
    <n v="536533"/>
    <n v="22825"/>
    <n v="7.95"/>
    <n v="2"/>
    <n v="0.1"/>
    <x v="6"/>
    <n v="15.9"/>
    <n v="1.59"/>
    <n v="14.31"/>
    <n v="28.62"/>
  </r>
  <r>
    <n v="1313"/>
    <s v="Dante"/>
    <s v="Grimes"/>
    <s v="NULL"/>
    <s v="dante.grimes@yahoo.com"/>
    <n v="468"/>
    <d v="2012-12-01T12:43:00"/>
    <n v="2"/>
    <n v="19"/>
    <s v="FRENCH BLUE METAL DOOR SIGN 5"/>
    <s v="Cash on Delivery"/>
    <n v="536533"/>
    <n v="22680"/>
    <n v="1.25"/>
    <n v="20"/>
    <n v="0.1"/>
    <x v="6"/>
    <n v="25"/>
    <n v="2.5"/>
    <n v="22.5"/>
    <n v="450"/>
  </r>
  <r>
    <n v="1314"/>
    <s v="Joeann"/>
    <s v="Garrison"/>
    <s v="NULL"/>
    <s v="joeann.garrison@yahoo.com"/>
    <n v="468"/>
    <d v="2012-12-01T12:43:00"/>
    <n v="3"/>
    <n v="9"/>
    <s v="CHEST OF DRAWERS GINGHAM HEART "/>
    <s v="Debit Card"/>
    <n v="536533"/>
    <n v="22797"/>
    <n v="16.95"/>
    <n v="100"/>
    <n v="0.05"/>
    <x v="5"/>
    <n v="1695"/>
    <n v="84.75"/>
    <n v="1610.25"/>
    <n v="161025"/>
  </r>
  <r>
    <n v="1315"/>
    <s v="Omega"/>
    <s v="Johnston"/>
    <s v="NULL"/>
    <s v="omega.johnston@gmail.com"/>
    <n v="468"/>
    <d v="2012-12-01T12:43:00"/>
    <n v="3"/>
    <n v="10"/>
    <s v="RED RETROSPOT CAKE STAND"/>
    <s v="Debit Card"/>
    <n v="536533"/>
    <n v="21843"/>
    <n v="10.95"/>
    <n v="100"/>
    <n v="0.05"/>
    <x v="5"/>
    <n v="1095"/>
    <n v="54.75"/>
    <n v="1040.25"/>
    <n v="104025"/>
  </r>
  <r>
    <n v="1316"/>
    <s v="Conrad"/>
    <s v="Mueller"/>
    <s v="NULL"/>
    <s v="conrad.mueller@yahoo.com"/>
    <n v="468"/>
    <d v="2012-12-01T12:43:00"/>
    <n v="3"/>
    <n v="25"/>
    <s v="HAND WARMER SCOTTY DOG DESIGN"/>
    <s v="Debit Card"/>
    <n v="536534"/>
    <n v="22866"/>
    <n v="2.1"/>
    <n v="100"/>
    <n v="0.1"/>
    <x v="5"/>
    <n v="210"/>
    <n v="21"/>
    <n v="189"/>
    <n v="18900"/>
  </r>
  <r>
    <n v="1317"/>
    <s v="Glady"/>
    <s v="Wells"/>
    <s v="NULL"/>
    <s v="glady.wells@gmail.com"/>
    <n v="469"/>
    <d v="2012-12-01T12:43:00"/>
    <n v="3"/>
    <n v="8"/>
    <s v="HAND WARMER BABUSHKA DESIGN"/>
    <s v="Debit Card"/>
    <n v="536534"/>
    <n v="22834"/>
    <n v="2.1"/>
    <n v="100"/>
    <n v="0.1"/>
    <x v="5"/>
    <n v="210"/>
    <n v="21"/>
    <n v="189"/>
    <n v="18900"/>
  </r>
  <r>
    <n v="1318"/>
    <s v="Tisha"/>
    <s v="Petty"/>
    <s v="(210) 851-3122"/>
    <s v="tisha.petty@msn.com"/>
    <n v="469"/>
    <d v="2012-12-01T12:43:00"/>
    <n v="3"/>
    <n v="4"/>
    <s v="HAND WARMER OWL DESIGN"/>
    <s v="Debit Card"/>
    <n v="536534"/>
    <n v="22865"/>
    <n v="2.1"/>
    <n v="100"/>
    <n v="7.0000000000000007E-2"/>
    <x v="5"/>
    <n v="210"/>
    <n v="14.700000000000001"/>
    <n v="195.3"/>
    <n v="19530"/>
  </r>
  <r>
    <n v="1319"/>
    <s v="Claris"/>
    <s v="Santiago"/>
    <s v="NULL"/>
    <s v="claris.santiago@msn.com"/>
    <n v="469"/>
    <d v="2012-12-01T12:43:00"/>
    <n v="3"/>
    <n v="15"/>
    <s v="HAND WARMER BIRD DESIGN"/>
    <s v="Debit Card"/>
    <n v="536534"/>
    <n v="22867"/>
    <n v="2.1"/>
    <n v="100"/>
    <n v="0.2"/>
    <x v="5"/>
    <n v="210"/>
    <n v="42"/>
    <n v="168"/>
    <n v="16800"/>
  </r>
  <r>
    <n v="1320"/>
    <s v="Obdulia"/>
    <s v="Barber"/>
    <s v="NULL"/>
    <s v="obdulia.barber@gmail.com"/>
    <n v="470"/>
    <d v="2012-12-01T12:43:00"/>
    <n v="3"/>
    <n v="18"/>
    <s v="CHOCOLATE HOT WATER BOTTLE"/>
    <s v="Debit Card"/>
    <n v="536534"/>
    <n v="22112"/>
    <n v="4.95"/>
    <n v="100"/>
    <n v="0.05"/>
    <x v="5"/>
    <n v="495"/>
    <n v="24.75"/>
    <n v="470.25"/>
    <n v="47025"/>
  </r>
  <r>
    <n v="1321"/>
    <s v="Shantel"/>
    <s v="Gregory"/>
    <s v="NULL"/>
    <s v="shantel.gregory@yahoo.com"/>
    <n v="470"/>
    <d v="2012-12-01T12:43:00"/>
    <n v="3"/>
    <n v="13"/>
    <s v="CHRISTMAS LIGHTS 10 VINTAGE BAUBLES"/>
    <s v="Debit Card"/>
    <n v="536535"/>
    <n v="22943"/>
    <n v="4.95"/>
    <n v="100"/>
    <n v="0.05"/>
    <x v="5"/>
    <n v="495"/>
    <n v="24.75"/>
    <n v="470.25"/>
    <n v="47025"/>
  </r>
  <r>
    <n v="1322"/>
    <s v="Ai"/>
    <s v="Forbes"/>
    <s v="NULL"/>
    <s v="ai.forbes@yahoo.com"/>
    <n v="470"/>
    <d v="2012-12-01T12:43:00"/>
    <n v="3"/>
    <n v="8"/>
    <s v="JOY WOODEN BLOCK LETTERS"/>
    <s v="Debit Card"/>
    <n v="536535"/>
    <n v="22118"/>
    <n v="4.95"/>
    <n v="100"/>
    <n v="0.2"/>
    <x v="5"/>
    <n v="495"/>
    <n v="99"/>
    <n v="396"/>
    <n v="39600"/>
  </r>
  <r>
    <n v="1323"/>
    <s v="Ebony"/>
    <s v="Cotton"/>
    <s v="NULL"/>
    <s v="ebony.cotton@yahoo.com"/>
    <n v="471"/>
    <d v="2012-12-01T12:43:00"/>
    <n v="3"/>
    <n v="14"/>
    <s v="NOEL WOODEN BLOCK LETTERS "/>
    <s v="Amazon Pay"/>
    <n v="536535"/>
    <n v="22121"/>
    <n v="5.95"/>
    <n v="100"/>
    <n v="0.2"/>
    <x v="5"/>
    <n v="595"/>
    <n v="119"/>
    <n v="476"/>
    <n v="47600"/>
  </r>
  <r>
    <n v="1324"/>
    <s v="Arla"/>
    <s v="Ellis"/>
    <s v="NULL"/>
    <s v="arla.ellis@yahoo.com"/>
    <n v="471"/>
    <d v="2012-12-01T12:43:00"/>
    <n v="3"/>
    <n v="13"/>
    <s v="PEACE WOODEN BLOCK LETTERS"/>
    <s v="Amazon Pay"/>
    <n v="536535"/>
    <n v="22119"/>
    <n v="6.95"/>
    <n v="100"/>
    <n v="0.05"/>
    <x v="5"/>
    <n v="695"/>
    <n v="34.75"/>
    <n v="660.25"/>
    <n v="66025"/>
  </r>
  <r>
    <n v="1325"/>
    <s v="Magdalena"/>
    <s v="Sherman"/>
    <s v="NULL"/>
    <s v="magdalena.sherman@gmail.com"/>
    <n v="472"/>
    <d v="2012-12-01T12:43:00"/>
    <n v="3"/>
    <n v="15"/>
    <s v="RETROSPOT HEART HOT WATER BOTTLE"/>
    <s v="Amazon Pay"/>
    <n v="536535"/>
    <n v="21485"/>
    <n v="4.95"/>
    <n v="100"/>
    <n v="0.1"/>
    <x v="5"/>
    <n v="495"/>
    <n v="49.5"/>
    <n v="445.5"/>
    <n v="44550"/>
  </r>
  <r>
    <n v="1326"/>
    <s v="Tarra"/>
    <s v="Guerrero"/>
    <s v="NULL"/>
    <s v="tarra.guerrero@aol.com"/>
    <n v="472"/>
    <d v="2012-12-01T12:43:00"/>
    <n v="3"/>
    <n v="21"/>
    <s v="LOVEBIRD HANGING DECORATION WHITE "/>
    <s v="Amazon Pay"/>
    <n v="536535"/>
    <n v="22219"/>
    <n v="0.85"/>
    <n v="100"/>
    <n v="0.1"/>
    <x v="5"/>
    <n v="85"/>
    <n v="8.5"/>
    <n v="76.5"/>
    <n v="7650"/>
  </r>
  <r>
    <n v="1327"/>
    <s v="Consuela"/>
    <s v="Romero"/>
    <s v="NULL"/>
    <s v="consuela.romero@hotmail.com"/>
    <n v="473"/>
    <d v="2012-12-01T12:43:00"/>
    <n v="3"/>
    <n v="26"/>
    <s v="DOORMAT FANCY FONT HOME SWEET HOME"/>
    <s v="Amazon Pay"/>
    <n v="536535"/>
    <n v="21523"/>
    <n v="7.95"/>
    <n v="100"/>
    <n v="7.0000000000000007E-2"/>
    <x v="5"/>
    <n v="795"/>
    <n v="55.650000000000006"/>
    <n v="739.35"/>
    <n v="73935"/>
  </r>
  <r>
    <n v="1328"/>
    <s v="Cindie"/>
    <s v="Franklin"/>
    <s v="NULL"/>
    <s v="cindie.franklin@yahoo.com"/>
    <n v="474"/>
    <d v="2012-12-01T12:43:00"/>
    <n v="3"/>
    <n v="19"/>
    <s v="DOORMAT HEARTS"/>
    <s v="Amazon Pay"/>
    <n v="536535"/>
    <n v="48194"/>
    <n v="7.95"/>
    <n v="100"/>
    <n v="0.05"/>
    <x v="5"/>
    <n v="795"/>
    <n v="39.75"/>
    <n v="755.25"/>
    <n v="75525"/>
  </r>
  <r>
    <n v="1329"/>
    <s v="Sharyn"/>
    <s v="Brewer"/>
    <s v="NULL"/>
    <s v="sharyn.brewer@aol.com"/>
    <n v="474"/>
    <d v="2012-12-01T12:43:00"/>
    <n v="3"/>
    <n v="11"/>
    <s v="DOORMAT RED RETROSPOT"/>
    <s v="Amazon Pay"/>
    <n v="536535"/>
    <n v="20685"/>
    <n v="7.95"/>
    <n v="30"/>
    <n v="0.2"/>
    <x v="5"/>
    <n v="238.5"/>
    <n v="47.7"/>
    <n v="190.8"/>
    <n v="5724"/>
  </r>
  <r>
    <n v="1330"/>
    <s v="Karren"/>
    <s v="Stevenson"/>
    <s v="NULL"/>
    <s v="karren.stevenson@aol.com"/>
    <n v="475"/>
    <d v="2012-12-01T12:43:00"/>
    <n v="3"/>
    <n v="17"/>
    <s v="RETROSPOT CHILDRENS APRON"/>
    <s v="Amazon Pay"/>
    <n v="536535"/>
    <n v="21156"/>
    <n v="1.95"/>
    <n v="80"/>
    <n v="7.0000000000000007E-2"/>
    <x v="5"/>
    <n v="156"/>
    <n v="10.920000000000002"/>
    <n v="145.07999999999998"/>
    <n v="11606.399999999998"/>
  </r>
  <r>
    <n v="1331"/>
    <s v="Divina"/>
    <s v="Reeves"/>
    <s v="NULL"/>
    <s v="divina.reeves@hotmail.com"/>
    <n v="475"/>
    <d v="2012-12-01T12:43:00"/>
    <n v="3"/>
    <n v="26"/>
    <s v="10 COLOUR SPACEBOY PEN"/>
    <s v="Amazon Pay"/>
    <n v="536535"/>
    <n v="22418"/>
    <n v="0.85"/>
    <n v="24"/>
    <n v="0.2"/>
    <x v="5"/>
    <n v="20.399999999999999"/>
    <n v="4.08"/>
    <n v="16.32"/>
    <n v="391.68"/>
  </r>
  <r>
    <n v="1332"/>
    <s v="Novella"/>
    <s v="Ross"/>
    <s v="NULL"/>
    <s v="novella.ross@gmail.com"/>
    <n v="475"/>
    <d v="2012-12-01T12:43:00"/>
    <n v="3"/>
    <n v="25"/>
    <s v="OFFICE MUG WARMER BLACK+SILVER "/>
    <s v="Amazon Pay"/>
    <n v="536535"/>
    <n v="22311"/>
    <n v="2.95"/>
    <n v="60"/>
    <n v="0.2"/>
    <x v="5"/>
    <n v="177"/>
    <n v="35.4"/>
    <n v="141.6"/>
    <n v="8496"/>
  </r>
  <r>
    <n v="1333"/>
    <s v="Omega"/>
    <s v="Huff"/>
    <s v="NULL"/>
    <s v="omega.huff@aol.com"/>
    <n v="476"/>
    <d v="2012-12-01T12:43:00"/>
    <n v="4"/>
    <n v="22"/>
    <s v="RETROSPOT HEART HOT WATER BOTTLE"/>
    <s v="Credit Card "/>
    <n v="536536"/>
    <n v="21485"/>
    <n v="4.95"/>
    <n v="40"/>
    <n v="7.0000000000000007E-2"/>
    <x v="5"/>
    <n v="198"/>
    <n v="13.860000000000001"/>
    <n v="184.14"/>
    <n v="7365.5999999999995"/>
  </r>
  <r>
    <n v="1334"/>
    <s v="Ashleigh"/>
    <s v="Finch"/>
    <s v="NULL"/>
    <s v="ashleigh.finch@yahoo.com"/>
    <n v="476"/>
    <d v="2012-12-01T12:43:00"/>
    <n v="4"/>
    <n v="4"/>
    <s v="ASSORTED COLOUR BIRD ORNAMENT"/>
    <s v="Credit Card "/>
    <n v="536536"/>
    <n v="84879"/>
    <n v="1.69"/>
    <n v="80"/>
    <n v="0.2"/>
    <x v="5"/>
    <n v="135.19999999999999"/>
    <n v="27.04"/>
    <n v="108.16"/>
    <n v="8652.7999999999993"/>
  </r>
  <r>
    <n v="1335"/>
    <s v="Corina"/>
    <s v="Lynch"/>
    <s v="NULL"/>
    <s v="corina.lynch@msn.com"/>
    <n v="476"/>
    <d v="2012-12-01T12:43:00"/>
    <n v="4"/>
    <n v="11"/>
    <s v="SET OF 2 CHRISTMAS DECOUPAGE CANDLE"/>
    <s v="Credit Card "/>
    <n v="536536"/>
    <n v="72817"/>
    <n v="1.25"/>
    <n v="30"/>
    <n v="7.0000000000000007E-2"/>
    <x v="5"/>
    <n v="37.5"/>
    <n v="2.6250000000000004"/>
    <n v="34.875"/>
    <n v="1046.25"/>
  </r>
  <r>
    <n v="1336"/>
    <s v="Joe"/>
    <s v="Melton"/>
    <s v="NULL"/>
    <s v="joe.melton@gmail.com"/>
    <n v="476"/>
    <d v="2012-12-01T12:43:00"/>
    <n v="4"/>
    <n v="20"/>
    <s v="COSMETIC BAG VINTAGE ROSE PAISLEY"/>
    <s v="Credit Card "/>
    <n v="536537"/>
    <n v="22277"/>
    <n v="2.1"/>
    <n v="36"/>
    <n v="0.05"/>
    <x v="5"/>
    <n v="75.600000000000009"/>
    <n v="3.7800000000000007"/>
    <n v="71.820000000000007"/>
    <n v="2585.5200000000004"/>
  </r>
  <r>
    <n v="1337"/>
    <s v="Bernetta"/>
    <s v="Summers"/>
    <s v="NULL"/>
    <s v="bernetta.summers@aol.com"/>
    <n v="477"/>
    <d v="2012-12-01T12:43:00"/>
    <n v="4"/>
    <n v="6"/>
    <s v="RETROSPOT PARTY BAG + STICKER SET"/>
    <s v="Credit Card "/>
    <n v="536537"/>
    <n v="22333"/>
    <n v="1.65"/>
    <n v="80"/>
    <n v="0.1"/>
    <x v="5"/>
    <n v="132"/>
    <n v="13.200000000000001"/>
    <n v="118.8"/>
    <n v="9504"/>
  </r>
  <r>
    <n v="1338"/>
    <s v="Inez"/>
    <s v="Snider"/>
    <s v="NULL"/>
    <s v="inez.snider@gmail.com"/>
    <n v="477"/>
    <d v="2012-12-01T12:43:00"/>
    <n v="4"/>
    <n v="10"/>
    <s v="PINK ROSE FABRIC MIRROR"/>
    <s v="Credit Card "/>
    <n v="536537"/>
    <n v="20867"/>
    <n v="1.25"/>
    <n v="36"/>
    <n v="0.05"/>
    <x v="5"/>
    <n v="45"/>
    <n v="2.25"/>
    <n v="42.75"/>
    <n v="1539"/>
  </r>
  <r>
    <n v="1339"/>
    <s v="Neida"/>
    <s v="King"/>
    <s v="(442) 778-1121"/>
    <s v="neida.king@aol.com"/>
    <n v="478"/>
    <d v="2012-12-01T12:43:00"/>
    <n v="4"/>
    <n v="21"/>
    <s v="SILVER PLATE CANDLE BOWL SMALL"/>
    <s v="Credit Card "/>
    <n v="536537"/>
    <n v="21688"/>
    <n v="2.95"/>
    <n v="12"/>
    <n v="7.0000000000000007E-2"/>
    <x v="5"/>
    <n v="35.400000000000006"/>
    <n v="2.4780000000000006"/>
    <n v="32.922000000000004"/>
    <n v="395.06400000000008"/>
  </r>
  <r>
    <n v="1340"/>
    <s v="Tona"/>
    <s v="Velasquez"/>
    <s v="NULL"/>
    <s v="tona.velasquez@msn.com"/>
    <n v="479"/>
    <d v="2012-12-01T12:43:00"/>
    <n v="4"/>
    <n v="26"/>
    <s v="SMALL REGAL  SILVER CANDLEPOT "/>
    <s v="Credit Card "/>
    <n v="536537"/>
    <n v="21694"/>
    <n v="2.95"/>
    <n v="12"/>
    <n v="7.0000000000000007E-2"/>
    <x v="5"/>
    <n v="35.400000000000006"/>
    <n v="2.4780000000000006"/>
    <n v="32.922000000000004"/>
    <n v="395.06400000000008"/>
  </r>
  <r>
    <n v="1341"/>
    <s v="Rozanne"/>
    <s v="Reyes"/>
    <s v="NULL"/>
    <s v="rozanne.reyes@aol.com"/>
    <n v="479"/>
    <d v="2012-12-01T12:43:00"/>
    <n v="4"/>
    <n v="12"/>
    <s v="CAKE STAND VICTORIAN FILIGREE MED"/>
    <s v="Credit Card "/>
    <n v="536537"/>
    <n v="22183"/>
    <n v="6.75"/>
    <n v="60"/>
    <n v="0.05"/>
    <x v="5"/>
    <n v="405"/>
    <n v="20.25"/>
    <n v="384.75"/>
    <n v="23085"/>
  </r>
  <r>
    <n v="1342"/>
    <s v="Lekisha"/>
    <s v="Pope"/>
    <s v="NULL"/>
    <s v="lekisha.pope@msn.com"/>
    <n v="479"/>
    <d v="2012-12-01T12:43:00"/>
    <n v="4"/>
    <n v="21"/>
    <s v="REGENCY CAKESTAND 3 TIER"/>
    <s v="Credit Card "/>
    <n v="536537"/>
    <n v="22423"/>
    <n v="12.75"/>
    <n v="30"/>
    <n v="0.2"/>
    <x v="5"/>
    <n v="382.5"/>
    <n v="76.5"/>
    <n v="306"/>
    <n v="9180"/>
  </r>
  <r>
    <n v="1343"/>
    <s v="Jama"/>
    <s v="Rodriquez"/>
    <s v="NULL"/>
    <s v="jama.rodriquez@msn.com"/>
    <n v="479"/>
    <d v="2012-12-01T12:43:00"/>
    <n v="4"/>
    <n v="7"/>
    <s v="ANTIQUE GLASS DRESSING TABLE POT"/>
    <s v="Credit Card "/>
    <n v="536537"/>
    <n v="22798"/>
    <n v="2.95"/>
    <n v="80"/>
    <n v="0.05"/>
    <x v="5"/>
    <n v="236"/>
    <n v="11.8"/>
    <n v="224.2"/>
    <n v="17936"/>
  </r>
  <r>
    <n v="1344"/>
    <s v="Eloisa"/>
    <s v="Tucker"/>
    <s v="NULL"/>
    <s v="eloisa.tucker@hotmail.com"/>
    <n v="479"/>
    <d v="2012-12-01T12:43:00"/>
    <n v="4"/>
    <n v="10"/>
    <s v="ANTIQUE TALL SWIRLGLASS TRINKET POT"/>
    <s v="Credit Card "/>
    <n v="536537"/>
    <n v="22800"/>
    <n v="3.75"/>
    <n v="80"/>
    <n v="0.2"/>
    <x v="5"/>
    <n v="300"/>
    <n v="60"/>
    <n v="240"/>
    <n v="19200"/>
  </r>
  <r>
    <n v="1345"/>
    <s v="Arie"/>
    <s v="Hunter"/>
    <s v="NULL"/>
    <s v="arie.hunter@msn.com"/>
    <n v="480"/>
    <d v="2012-12-01T12:43:00"/>
    <n v="4"/>
    <n v="4"/>
    <s v="ANTIQUE GLASS PEDESTAL BOWL"/>
    <s v="Credit Card "/>
    <n v="536537"/>
    <n v="22801"/>
    <n v="3.75"/>
    <n v="80"/>
    <n v="0.05"/>
    <x v="5"/>
    <n v="300"/>
    <n v="15"/>
    <n v="285"/>
    <n v="22800"/>
  </r>
  <r>
    <n v="1346"/>
    <s v="Sanora"/>
    <s v="Webster"/>
    <s v="(424) 464-7290"/>
    <s v="sanora.webster@msn.com"/>
    <n v="480"/>
    <d v="2012-12-01T12:43:00"/>
    <n v="2"/>
    <n v="15"/>
    <s v="GUMBALL MAGAZINE RACK"/>
    <s v="Cash on Delivery"/>
    <n v="536537"/>
    <n v="22781"/>
    <n v="7.65"/>
    <n v="2"/>
    <n v="0.05"/>
    <x v="5"/>
    <n v="15.3"/>
    <n v="0.76500000000000012"/>
    <n v="14.535"/>
    <n v="29.07"/>
  </r>
  <r>
    <n v="1347"/>
    <s v="Kate"/>
    <s v="Barber"/>
    <s v="NULL"/>
    <s v="kate.barber@hotmail.com"/>
    <n v="480"/>
    <d v="2012-12-01T12:43:00"/>
    <n v="2"/>
    <n v="23"/>
    <s v="RED FLOWER CROCHET FOOD COVER"/>
    <s v="Cash on Delivery"/>
    <n v="536538"/>
    <n v="21466"/>
    <n v="3.75"/>
    <n v="1"/>
    <n v="7.0000000000000007E-2"/>
    <x v="5"/>
    <n v="3.75"/>
    <n v="0.26250000000000001"/>
    <n v="3.4874999999999998"/>
    <n v="3.4874999999999998"/>
  </r>
  <r>
    <n v="1348"/>
    <s v="Yvone"/>
    <s v="Guerrero"/>
    <s v="NULL"/>
    <s v="yvone.guerrero@aol.com"/>
    <n v="481"/>
    <d v="2012-12-01T12:43:00"/>
    <n v="1"/>
    <n v="13"/>
    <s v="CHERRY CROCHET FOOD COVER"/>
    <s v="Cash on Delivery"/>
    <n v="536538"/>
    <n v="21467"/>
    <n v="3.75"/>
    <n v="1"/>
    <n v="0.2"/>
    <x v="5"/>
    <n v="3.75"/>
    <n v="0.75"/>
    <n v="3"/>
    <n v="3"/>
  </r>
  <r>
    <n v="1349"/>
    <s v="Kami"/>
    <s v="Rios"/>
    <s v="NULL"/>
    <s v="kami.rios@yahoo.com"/>
    <n v="481"/>
    <d v="2012-12-01T12:43:00"/>
    <n v="1"/>
    <n v="16"/>
    <s v="STRAWBERRY RAFFIA FOOD COVER"/>
    <s v="Cash on Delivery"/>
    <n v="536538"/>
    <n v="21471"/>
    <n v="3.75"/>
    <n v="1"/>
    <n v="7.0000000000000007E-2"/>
    <x v="5"/>
    <n v="3.75"/>
    <n v="0.26250000000000001"/>
    <n v="3.4874999999999998"/>
    <n v="3.4874999999999998"/>
  </r>
  <r>
    <n v="1350"/>
    <s v="Annett"/>
    <s v="Rush"/>
    <s v="NULL"/>
    <s v="annett.rush@hotmail.com"/>
    <n v="481"/>
    <d v="2012-12-01T12:43:00"/>
    <n v="2"/>
    <n v="9"/>
    <s v="POLKA DOT RAFFIA FOOD COVER"/>
    <s v="Cash on Delivery"/>
    <n v="536538"/>
    <n v="21469"/>
    <n v="3.75"/>
    <n v="1"/>
    <n v="0.1"/>
    <x v="5"/>
    <n v="3.75"/>
    <n v="0.375"/>
    <n v="3.375"/>
    <n v="3.375"/>
  </r>
  <r>
    <n v="1351"/>
    <s v="Carman"/>
    <s v="Hardy"/>
    <s v="NULL"/>
    <s v="carman.hardy@yahoo.com"/>
    <n v="482"/>
    <d v="2012-12-01T12:43:00"/>
    <n v="2"/>
    <n v="13"/>
    <s v="DOORMAT FANCY FONT HOME SWEET HOME"/>
    <s v="Cash on Delivery"/>
    <n v="536538"/>
    <n v="21523"/>
    <n v="7.95"/>
    <n v="1"/>
    <n v="0.2"/>
    <x v="5"/>
    <n v="7.95"/>
    <n v="1.59"/>
    <n v="6.36"/>
    <n v="6.36"/>
  </r>
  <r>
    <n v="1352"/>
    <s v="Dorothea"/>
    <s v="Miranda"/>
    <s v="NULL"/>
    <s v="dorothea.miranda@aol.com"/>
    <n v="482"/>
    <d v="2012-12-01T12:43:00"/>
    <n v="1"/>
    <n v="14"/>
    <s v="DOORMAT TOPIARY"/>
    <s v="Cash on Delivery"/>
    <n v="536538"/>
    <n v="48129"/>
    <n v="7.95"/>
    <n v="1"/>
    <n v="0.1"/>
    <x v="5"/>
    <n v="7.95"/>
    <n v="0.79500000000000004"/>
    <n v="7.1550000000000002"/>
    <n v="7.1550000000000002"/>
  </r>
  <r>
    <n v="1353"/>
    <s v="Agatha"/>
    <s v="Daniels"/>
    <s v="NULL"/>
    <s v="agatha.daniels@yahoo.com"/>
    <n v="483"/>
    <d v="2012-12-01T12:43:00"/>
    <n v="2"/>
    <n v="17"/>
    <s v="DOORMAT SPOTTY HOME SWEET HOME"/>
    <s v="Cash on Delivery"/>
    <n v="536538"/>
    <n v="21524"/>
    <n v="7.95"/>
    <n v="1"/>
    <n v="7.0000000000000007E-2"/>
    <x v="5"/>
    <n v="7.95"/>
    <n v="0.55650000000000011"/>
    <n v="7.3935000000000004"/>
    <n v="7.3935000000000004"/>
  </r>
  <r>
    <n v="1354"/>
    <s v="Alexandria"/>
    <s v="Zamora"/>
    <s v="NULL"/>
    <s v="alexandria.zamora@yahoo.com"/>
    <n v="484"/>
    <d v="2012-12-01T12:43:00"/>
    <n v="1"/>
    <n v="8"/>
    <s v="T-LIGHT GLASS FLUTED ANTIQUE"/>
    <s v="Cash on Delivery"/>
    <n v="536538"/>
    <n v="22791"/>
    <n v="1.25"/>
    <n v="12"/>
    <n v="0.1"/>
    <x v="5"/>
    <n v="15"/>
    <n v="1.5"/>
    <n v="13.5"/>
    <n v="162"/>
  </r>
  <r>
    <n v="1355"/>
    <s v="Thad"/>
    <s v="Gilliam"/>
    <s v="NULL"/>
    <s v="thad.gilliam@hotmail.com"/>
    <n v="484"/>
    <d v="2012-12-01T12:43:00"/>
    <n v="1"/>
    <n v="24"/>
    <s v="SILVER HANGING T-LIGHT HOLDER"/>
    <s v="Cash on Delivery"/>
    <n v="536538"/>
    <n v="84949"/>
    <n v="1.65"/>
    <n v="6"/>
    <n v="0.05"/>
    <x v="5"/>
    <n v="9.8999999999999986"/>
    <n v="0.49499999999999994"/>
    <n v="9.4049999999999994"/>
    <n v="56.429999999999993"/>
  </r>
  <r>
    <n v="1356"/>
    <s v="Inger"/>
    <s v="Jennings"/>
    <s v="NULL"/>
    <s v="inger.jennings@yahoo.com"/>
    <n v="484"/>
    <d v="2012-12-01T12:43:00"/>
    <n v="2"/>
    <n v="9"/>
    <s v="PAPER CHAIN KIT 50'S CHRISTMAS "/>
    <s v="Cash on Delivery"/>
    <n v="536538"/>
    <n v="22086"/>
    <n v="2.95"/>
    <n v="5"/>
    <n v="0.05"/>
    <x v="5"/>
    <n v="14.75"/>
    <n v="0.73750000000000004"/>
    <n v="14.012499999999999"/>
    <n v="70.0625"/>
  </r>
  <r>
    <n v="1357"/>
    <s v="Karren"/>
    <s v="Lamb"/>
    <s v="(559) 628-2239"/>
    <s v="karren.lamb@aol.com"/>
    <n v="484"/>
    <d v="2012-12-01T12:43:00"/>
    <n v="2"/>
    <n v="6"/>
    <s v="PAPER CHAIN KIT VINTAGE CHRISTMAS"/>
    <s v="Cash on Delivery"/>
    <n v="536538"/>
    <n v="22910"/>
    <n v="2.95"/>
    <n v="5"/>
    <n v="0.2"/>
    <x v="5"/>
    <n v="14.75"/>
    <n v="2.95"/>
    <n v="11.8"/>
    <n v="59"/>
  </r>
  <r>
    <n v="1358"/>
    <s v="Noble"/>
    <s v="Glover"/>
    <s v="NULL"/>
    <s v="noble.glover@gmail.com"/>
    <n v="485"/>
    <d v="2012-12-01T12:43:00"/>
    <n v="1"/>
    <n v="13"/>
    <s v="NATURAL SLATE HEART CHALKBOARD "/>
    <s v="Cash on Delivery"/>
    <n v="536538"/>
    <n v="22457"/>
    <n v="2.95"/>
    <n v="2"/>
    <n v="0.1"/>
    <x v="5"/>
    <n v="5.9"/>
    <n v="0.59000000000000008"/>
    <n v="5.3100000000000005"/>
    <n v="10.620000000000001"/>
  </r>
  <r>
    <n v="1359"/>
    <s v="Octavia"/>
    <s v="Donaldson"/>
    <s v="NULL"/>
    <s v="octavia.donaldson@hotmail.com"/>
    <n v="485"/>
    <d v="2012-12-01T12:43:00"/>
    <n v="2"/>
    <n v="26"/>
    <s v="SILVER  CANDLEPOT JARDIN "/>
    <s v="Cash on Delivery"/>
    <n v="536538"/>
    <n v="21690"/>
    <n v="3.75"/>
    <n v="4"/>
    <n v="0.05"/>
    <x v="5"/>
    <n v="15"/>
    <n v="0.75"/>
    <n v="14.25"/>
    <n v="57"/>
  </r>
  <r>
    <n v="1360"/>
    <s v="Latashia"/>
    <s v="Travis"/>
    <s v="NULL"/>
    <s v="latashia.travis@yahoo.com"/>
    <n v="486"/>
    <d v="2012-12-01T12:43:00"/>
    <n v="1"/>
    <n v="9"/>
    <s v="SET 7 BABUSHKA NESTING BOXES"/>
    <s v="Cash on Delivery"/>
    <n v="536538"/>
    <n v="22752"/>
    <n v="8.5"/>
    <n v="2"/>
    <n v="7.0000000000000007E-2"/>
    <x v="5"/>
    <n v="17"/>
    <n v="1.1900000000000002"/>
    <n v="15.81"/>
    <n v="31.62"/>
  </r>
  <r>
    <n v="1361"/>
    <s v="Destiny"/>
    <s v="Goodman"/>
    <s v="NULL"/>
    <s v="destiny.goodman@msn.com"/>
    <n v="486"/>
    <d v="2012-12-01T12:43:00"/>
    <n v="1"/>
    <n v="23"/>
    <s v="POLKADOT MUG PINK "/>
    <s v="Cash on Delivery"/>
    <n v="536538"/>
    <n v="37343"/>
    <n v="1.65"/>
    <n v="6"/>
    <n v="0.05"/>
    <x v="5"/>
    <n v="9.8999999999999986"/>
    <n v="0.49499999999999994"/>
    <n v="9.4049999999999994"/>
    <n v="56.429999999999993"/>
  </r>
  <r>
    <n v="1362"/>
    <s v="Christiana"/>
    <s v="Gross"/>
    <s v="NULL"/>
    <s v="christiana.gross@yahoo.com"/>
    <n v="487"/>
    <d v="2012-12-01T12:43:00"/>
    <n v="2"/>
    <n v="6"/>
    <s v="PAPER BUNTING COLOURED LACE"/>
    <s v="Cash on Delivery"/>
    <n v="536538"/>
    <n v="22088"/>
    <n v="2.95"/>
    <n v="1"/>
    <n v="0.2"/>
    <x v="5"/>
    <n v="2.95"/>
    <n v="0.59000000000000008"/>
    <n v="2.3600000000000003"/>
    <n v="2.3600000000000003"/>
  </r>
  <r>
    <n v="1363"/>
    <s v="Nestor"/>
    <s v="Haynes"/>
    <s v="(281) 969-4579"/>
    <s v="nestor.haynes@msn.com"/>
    <n v="488"/>
    <d v="2012-12-01T12:43:00"/>
    <n v="2"/>
    <n v="13"/>
    <s v="LARGE HEART MEASURING SPOONS"/>
    <s v="Cash on Delivery"/>
    <n v="536538"/>
    <n v="22195"/>
    <n v="1.65"/>
    <n v="5"/>
    <n v="7.0000000000000007E-2"/>
    <x v="5"/>
    <n v="8.25"/>
    <n v="0.57750000000000001"/>
    <n v="7.6725000000000003"/>
    <n v="38.362500000000004"/>
  </r>
  <r>
    <n v="1364"/>
    <s v="Grisel"/>
    <s v="Maynard"/>
    <s v="NULL"/>
    <s v="grisel.maynard@msn.com"/>
    <n v="488"/>
    <d v="2012-12-01T12:43:00"/>
    <n v="2"/>
    <n v="23"/>
    <s v="HEART OF WICKER LARGE"/>
    <s v="Cash on Delivery"/>
    <n v="536538"/>
    <n v="22470"/>
    <n v="2.95"/>
    <n v="2"/>
    <n v="0.05"/>
    <x v="5"/>
    <n v="5.9"/>
    <n v="0.29500000000000004"/>
    <n v="5.6050000000000004"/>
    <n v="11.21"/>
  </r>
  <r>
    <n v="1365"/>
    <s v="Shenna"/>
    <s v="Espinoza"/>
    <s v="NULL"/>
    <s v="shenna.espinoza@gmail.com"/>
    <n v="488"/>
    <d v="2012-12-01T12:43:00"/>
    <n v="4"/>
    <n v="22"/>
    <s v="HEART OF WICKER SMALL"/>
    <s v="Credit Card "/>
    <n v="536538"/>
    <n v="22469"/>
    <n v="1.65"/>
    <n v="80"/>
    <n v="0.05"/>
    <x v="6"/>
    <n v="132"/>
    <n v="6.6000000000000005"/>
    <n v="125.4"/>
    <n v="10032"/>
  </r>
  <r>
    <n v="1366"/>
    <s v="Trena"/>
    <s v="Rogers"/>
    <s v="NULL"/>
    <s v="trena.rogers@aol.com"/>
    <n v="489"/>
    <d v="2012-12-01T12:43:00"/>
    <n v="4"/>
    <n v="8"/>
    <s v="METAL 4 HOOK HANGER FRENCH CHATEAU"/>
    <s v="Credit Card "/>
    <n v="536538"/>
    <n v="22173"/>
    <n v="2.95"/>
    <n v="100"/>
    <n v="0.1"/>
    <x v="6"/>
    <n v="295"/>
    <n v="29.5"/>
    <n v="265.5"/>
    <n v="26550"/>
  </r>
  <r>
    <n v="1367"/>
    <s v="Lucile"/>
    <s v="Manning"/>
    <s v="NULL"/>
    <s v="lucile.manning@yahoo.com"/>
    <n v="490"/>
    <d v="2012-12-01T12:43:00"/>
    <n v="4"/>
    <n v="12"/>
    <s v="PACK OF 6 PANNETONE GIFT BOXES"/>
    <s v="Credit Card "/>
    <n v="536538"/>
    <n v="22584"/>
    <n v="2.5499999999999998"/>
    <n v="200"/>
    <n v="0.1"/>
    <x v="6"/>
    <n v="509.99999999999994"/>
    <n v="51"/>
    <n v="458.99999999999994"/>
    <n v="91799.999999999985"/>
  </r>
  <r>
    <n v="1368"/>
    <s v="Veronique"/>
    <s v="Fulton"/>
    <s v="NULL"/>
    <s v="veronique.fulton@yahoo.com"/>
    <n v="490"/>
    <d v="2012-12-01T12:43:00"/>
    <n v="4"/>
    <n v="23"/>
    <s v="PACK OF 6 HANDBAG GIFT BOXES"/>
    <s v="Credit Card "/>
    <n v="536538"/>
    <n v="22583"/>
    <n v="2.5499999999999998"/>
    <n v="150"/>
    <n v="0.05"/>
    <x v="6"/>
    <n v="382.5"/>
    <n v="19.125"/>
    <n v="363.375"/>
    <n v="54506.25"/>
  </r>
  <r>
    <n v="1369"/>
    <s v="Starr"/>
    <s v="Schneider"/>
    <s v="NULL"/>
    <s v="starr.schneider@aol.com"/>
    <n v="490"/>
    <d v="2012-12-01T12:43:00"/>
    <n v="4"/>
    <n v="14"/>
    <s v="ANTIQUE GLASS HEART DECORATION "/>
    <s v="Credit Card "/>
    <n v="536538"/>
    <n v="21143"/>
    <n v="1.95"/>
    <n v="200"/>
    <n v="0.1"/>
    <x v="6"/>
    <n v="390"/>
    <n v="39"/>
    <n v="351"/>
    <n v="70200"/>
  </r>
  <r>
    <n v="1370"/>
    <s v="Rona"/>
    <s v="Rojas"/>
    <s v="(408) 611-3553"/>
    <s v="rona.rojas@gmail.com"/>
    <n v="490"/>
    <d v="2012-12-01T12:43:00"/>
    <n v="4"/>
    <n v="13"/>
    <s v="SET OF 6 KASHMIR FOLKART BAUBLES"/>
    <s v="Credit Card "/>
    <n v="536538"/>
    <n v="84944"/>
    <n v="4.25"/>
    <n v="300"/>
    <n v="7.0000000000000007E-2"/>
    <x v="6"/>
    <n v="1275"/>
    <n v="89.250000000000014"/>
    <n v="1185.75"/>
    <n v="355725"/>
  </r>
  <r>
    <n v="1371"/>
    <s v="Pandora"/>
    <s v="Estes"/>
    <s v="NULL"/>
    <s v="pandora.estes@aol.com"/>
    <n v="491"/>
    <d v="2012-12-01T12:43:00"/>
    <n v="4"/>
    <n v="9"/>
    <s v="CHRISTMAS RETROSPOT ANGEL WOOD"/>
    <s v="Credit Card "/>
    <n v="536538"/>
    <n v="22601"/>
    <n v="0.85"/>
    <n v="100"/>
    <n v="0.2"/>
    <x v="6"/>
    <n v="85"/>
    <n v="17"/>
    <n v="68"/>
    <n v="6800"/>
  </r>
  <r>
    <n v="1372"/>
    <s v="Renna"/>
    <s v="Williams"/>
    <s v="NULL"/>
    <s v="renna.williams@hotmail.com"/>
    <n v="491"/>
    <d v="2012-12-01T12:43:00"/>
    <n v="4"/>
    <n v="21"/>
    <s v="CHRISTMAS RETROSPOT TREE WOOD"/>
    <s v="Credit Card "/>
    <n v="536538"/>
    <n v="22603"/>
    <n v="0.85"/>
    <n v="100"/>
    <n v="0.05"/>
    <x v="6"/>
    <n v="85"/>
    <n v="4.25"/>
    <n v="80.75"/>
    <n v="8075"/>
  </r>
  <r>
    <n v="1373"/>
    <s v="Lanora"/>
    <s v="Robbins"/>
    <s v="NULL"/>
    <s v="lanora.robbins@hotmail.com"/>
    <n v="491"/>
    <d v="2012-12-01T12:43:00"/>
    <n v="4"/>
    <n v="15"/>
    <s v="CHRISTMAS RETROSPOT STAR WOOD"/>
    <s v="Credit Card "/>
    <n v="536538"/>
    <n v="22600"/>
    <n v="0.85"/>
    <n v="100"/>
    <n v="0.05"/>
    <x v="6"/>
    <n v="85"/>
    <n v="4.25"/>
    <n v="80.75"/>
    <n v="8075"/>
  </r>
  <r>
    <n v="1374"/>
    <s v="Juliane"/>
    <s v="Dillard"/>
    <s v="NULL"/>
    <s v="juliane.dillard@aol.com"/>
    <n v="492"/>
    <d v="2012-12-01T12:43:00"/>
    <n v="4"/>
    <n v="6"/>
    <s v="HEART WOODEN CHRISTMAS DECORATION"/>
    <s v="Credit Card "/>
    <n v="536538"/>
    <n v="22574"/>
    <n v="0.85"/>
    <n v="100"/>
    <n v="0.1"/>
    <x v="6"/>
    <n v="85"/>
    <n v="8.5"/>
    <n v="76.5"/>
    <n v="7650"/>
  </r>
  <r>
    <n v="1375"/>
    <s v="Carlena"/>
    <s v="Salinas"/>
    <s v="NULL"/>
    <s v="carlena.salinas@gmail.com"/>
    <n v="492"/>
    <d v="2012-12-01T12:43:00"/>
    <n v="4"/>
    <n v="22"/>
    <s v="STAR WOODEN CHRISTMAS DECORATION"/>
    <s v="Credit Card "/>
    <n v="536538"/>
    <n v="22573"/>
    <n v="0.85"/>
    <n v="100"/>
    <n v="0.1"/>
    <x v="6"/>
    <n v="85"/>
    <n v="8.5"/>
    <n v="76.5"/>
    <n v="7650"/>
  </r>
  <r>
    <n v="1376"/>
    <s v="Kimberley"/>
    <s v="Reynolds"/>
    <s v="NULL"/>
    <s v="kimberley.reynolds@aol.com"/>
    <n v="492"/>
    <d v="2012-12-01T12:43:00"/>
    <n v="4"/>
    <n v="26"/>
    <s v="LARGE HANGING IVORY &amp; RED WOOD BIRD"/>
    <s v="Amazon Pay"/>
    <n v="536538"/>
    <s v="85199L"/>
    <n v="0.65"/>
    <n v="10"/>
    <n v="0.05"/>
    <x v="6"/>
    <n v="6.5"/>
    <n v="0.32500000000000001"/>
    <n v="6.1749999999999998"/>
    <n v="61.75"/>
  </r>
  <r>
    <n v="1377"/>
    <s v="Johana"/>
    <s v="Jacobson"/>
    <s v="(507) 407-9384"/>
    <s v="johana.jacobson@gmail.com"/>
    <n v="493"/>
    <d v="2012-12-01T12:43:00"/>
    <n v="4"/>
    <n v="15"/>
    <s v="SMALL HANGING IVORY/RED WOOD BIRD"/>
    <s v="Amazon Pay"/>
    <n v="536538"/>
    <s v="85199S"/>
    <n v="0.42"/>
    <n v="10"/>
    <n v="0.05"/>
    <x v="6"/>
    <n v="4.2"/>
    <n v="0.21000000000000002"/>
    <n v="3.99"/>
    <n v="39.900000000000006"/>
  </r>
  <r>
    <n v="1378"/>
    <s v="Enoch"/>
    <s v="Rosario"/>
    <s v="(559) 329-7615"/>
    <s v="enoch.rosario@hotmail.com"/>
    <n v="493"/>
    <d v="2012-12-01T12:43:00"/>
    <n v="4"/>
    <n v="18"/>
    <s v="HOMEMADE JAM SCENTED CANDLES"/>
    <s v="Amazon Pay"/>
    <n v="536539"/>
    <n v="22969"/>
    <n v="1.45"/>
    <n v="12"/>
    <n v="0.05"/>
    <x v="6"/>
    <n v="17.399999999999999"/>
    <n v="0.87"/>
    <n v="16.529999999999998"/>
    <n v="198.35999999999996"/>
  </r>
  <r>
    <n v="1379"/>
    <s v="Dorine"/>
    <s v="Thornton"/>
    <s v="NULL"/>
    <s v="dorine.thornton@gmail.com"/>
    <n v="493"/>
    <d v="2012-12-01T12:43:00"/>
    <n v="4"/>
    <n v="26"/>
    <s v="GRAND CHOCOLATECANDLE"/>
    <s v="Amazon Pay"/>
    <n v="536539"/>
    <n v="72741"/>
    <n v="1.45"/>
    <n v="18"/>
    <n v="0.05"/>
    <x v="6"/>
    <n v="26.099999999999998"/>
    <n v="1.3049999999999999"/>
    <n v="24.794999999999998"/>
    <n v="446.30999999999995"/>
  </r>
  <r>
    <n v="1380"/>
    <s v="Eliz"/>
    <s v="Lynch"/>
    <s v="NULL"/>
    <s v="eliz.lynch@hotmail.com"/>
    <n v="494"/>
    <d v="2012-12-01T12:43:00"/>
    <n v="4"/>
    <n v="23"/>
    <s v="FAIRY CAKE BIRTHDAY CANDLE SET"/>
    <s v="Amazon Pay"/>
    <n v="536539"/>
    <n v="37495"/>
    <n v="3.75"/>
    <n v="4"/>
    <n v="0.1"/>
    <x v="6"/>
    <n v="15"/>
    <n v="1.5"/>
    <n v="13.5"/>
    <n v="54"/>
  </r>
  <r>
    <n v="1381"/>
    <s v="Mercedez"/>
    <s v="Brooks"/>
    <s v="NULL"/>
    <s v="mercedez.brooks@hotmail.com"/>
    <n v="495"/>
    <d v="2012-12-01T12:43:00"/>
    <n v="4"/>
    <n v="22"/>
    <s v="SET OF 6 T-LIGHTS TOADSTOOLS"/>
    <s v="Amazon Pay"/>
    <n v="536539"/>
    <n v="22807"/>
    <n v="2.95"/>
    <n v="6"/>
    <n v="0.2"/>
    <x v="6"/>
    <n v="17.700000000000003"/>
    <n v="3.5400000000000009"/>
    <n v="14.160000000000002"/>
    <n v="84.960000000000008"/>
  </r>
  <r>
    <n v="1382"/>
    <s v="Wynona"/>
    <s v="Douglas"/>
    <s v="NULL"/>
    <s v="wynona.douglas@msn.com"/>
    <n v="495"/>
    <d v="2012-12-01T12:43:00"/>
    <n v="4"/>
    <n v="9"/>
    <s v="3 HOOK PHOTO SHELF ANTIQUE WHITE"/>
    <s v="Amazon Pay"/>
    <n v="536539"/>
    <n v="22171"/>
    <n v="8.5"/>
    <n v="2"/>
    <n v="0.05"/>
    <x v="6"/>
    <n v="17"/>
    <n v="0.85000000000000009"/>
    <n v="16.149999999999999"/>
    <n v="32.299999999999997"/>
  </r>
  <r>
    <n v="1383"/>
    <s v="Desire"/>
    <s v="Mcgowan"/>
    <s v="(661) 800-8091"/>
    <s v="desire.mcgowan@msn.com"/>
    <n v="496"/>
    <d v="2012-12-01T12:43:00"/>
    <n v="4"/>
    <n v="23"/>
    <s v="WOOD S/3 CABINET ANT WHITE FINISH"/>
    <s v="Amazon Pay"/>
    <n v="536539"/>
    <n v="82486"/>
    <n v="7.95"/>
    <n v="2"/>
    <n v="0.2"/>
    <x v="6"/>
    <n v="15.9"/>
    <n v="3.18"/>
    <n v="12.72"/>
    <n v="25.44"/>
  </r>
  <r>
    <n v="1384"/>
    <s v="Elmo"/>
    <s v="Sweeney"/>
    <s v="NULL"/>
    <s v="elmo.sweeney@yahoo.com"/>
    <n v="496"/>
    <d v="2012-12-01T12:43:00"/>
    <n v="4"/>
    <n v="13"/>
    <s v="METAL 4 HOOK HANGER FRENCH CHATEAU"/>
    <s v="Amazon Pay"/>
    <n v="536539"/>
    <n v="22173"/>
    <n v="2.95"/>
    <n v="8"/>
    <n v="0.1"/>
    <x v="6"/>
    <n v="23.6"/>
    <n v="2.3600000000000003"/>
    <n v="21.240000000000002"/>
    <n v="169.92000000000002"/>
  </r>
  <r>
    <n v="1385"/>
    <s v="Kenton"/>
    <s v="Hughes"/>
    <s v="NULL"/>
    <s v="kenton.hughes@gmail.com"/>
    <n v="496"/>
    <d v="2012-12-01T12:43:00"/>
    <n v="4"/>
    <n v="21"/>
    <s v="CREAM SWEETHEART WALL CABINET"/>
    <s v="Amazon Pay"/>
    <n v="536539"/>
    <n v="85067"/>
    <n v="18.95"/>
    <n v="1"/>
    <n v="0.2"/>
    <x v="6"/>
    <n v="18.95"/>
    <n v="3.79"/>
    <n v="15.16"/>
    <n v="15.16"/>
  </r>
  <r>
    <n v="1386"/>
    <s v="Cesar"/>
    <s v="Wilkins"/>
    <s v="(619) 685-5786"/>
    <s v="cesar.wilkins@hotmail.com"/>
    <n v="497"/>
    <d v="2012-12-01T12:43:00"/>
    <n v="4"/>
    <n v="25"/>
    <s v="DOORMAT ENGLISH ROSE "/>
    <s v="Amazon Pay"/>
    <n v="536539"/>
    <n v="48184"/>
    <n v="7.95"/>
    <n v="2"/>
    <n v="7.0000000000000007E-2"/>
    <x v="6"/>
    <n v="15.9"/>
    <n v="1.1130000000000002"/>
    <n v="14.787000000000001"/>
    <n v="29.574000000000002"/>
  </r>
  <r>
    <n v="1387"/>
    <s v="Phylicia"/>
    <s v="Stout"/>
    <s v="NULL"/>
    <s v="phylicia.stout@aol.com"/>
    <n v="498"/>
    <d v="2012-12-01T12:43:00"/>
    <n v="4"/>
    <n v="24"/>
    <s v="DOORMAT UNION FLAG"/>
    <s v="Amazon Pay"/>
    <n v="536539"/>
    <n v="48138"/>
    <n v="7.95"/>
    <n v="2"/>
    <n v="7.0000000000000007E-2"/>
    <x v="6"/>
    <n v="15.9"/>
    <n v="1.1130000000000002"/>
    <n v="14.787000000000001"/>
    <n v="29.574000000000002"/>
  </r>
  <r>
    <n v="1388"/>
    <s v="Nanette"/>
    <s v="Harris"/>
    <s v="NULL"/>
    <s v="nanette.harris@hotmail.com"/>
    <n v="498"/>
    <d v="2012-12-01T12:43:00"/>
    <n v="4"/>
    <n v="21"/>
    <s v="DOORMAT TOPIARY"/>
    <s v="Amazon Pay"/>
    <n v="536539"/>
    <n v="48129"/>
    <n v="7.95"/>
    <n v="2"/>
    <n v="0.1"/>
    <x v="6"/>
    <n v="15.9"/>
    <n v="1.59"/>
    <n v="14.31"/>
    <n v="28.62"/>
  </r>
  <r>
    <n v="1389"/>
    <s v="Ulrike"/>
    <s v="Chan"/>
    <s v="NULL"/>
    <s v="ulrike.chan@aol.com"/>
    <n v="498"/>
    <d v="2012-12-01T12:43:00"/>
    <n v="4"/>
    <n v="10"/>
    <s v="VINTAGE UNION JACK APRON"/>
    <s v="Amazon Pay"/>
    <n v="536539"/>
    <n v="21625"/>
    <n v="6.95"/>
    <n v="3"/>
    <n v="7.0000000000000007E-2"/>
    <x v="6"/>
    <n v="20.85"/>
    <n v="1.4595000000000002"/>
    <n v="19.390500000000003"/>
    <n v="58.171500000000009"/>
  </r>
  <r>
    <n v="1390"/>
    <s v="Genoveva"/>
    <s v="Lloyd"/>
    <s v="NULL"/>
    <s v="genoveva.lloyd@aol.com"/>
    <n v="499"/>
    <d v="2012-12-01T12:43:00"/>
    <n v="2"/>
    <n v="11"/>
    <s v="ROUND SNACK BOXES SET OF4 WOODLAND "/>
    <s v="Cash on Delivery"/>
    <n v="536539"/>
    <n v="22326"/>
    <n v="2.95"/>
    <n v="6"/>
    <n v="0.2"/>
    <x v="5"/>
    <n v="17.700000000000003"/>
    <n v="3.5400000000000009"/>
    <n v="14.160000000000002"/>
    <n v="84.960000000000008"/>
  </r>
  <r>
    <n v="1391"/>
    <s v="Sheryl"/>
    <s v="Chase"/>
    <s v="NULL"/>
    <s v="sheryl.chase@gmail.com"/>
    <n v="499"/>
    <d v="2012-12-01T12:43:00"/>
    <n v="2"/>
    <n v="15"/>
    <s v="REGENCY CAKESTAND 3 TIER"/>
    <s v="Cash on Delivery"/>
    <n v="536539"/>
    <n v="22423"/>
    <n v="12.75"/>
    <n v="2"/>
    <n v="7.0000000000000007E-2"/>
    <x v="5"/>
    <n v="25.5"/>
    <n v="1.7850000000000001"/>
    <n v="23.715"/>
    <n v="47.43"/>
  </r>
  <r>
    <n v="1392"/>
    <s v="Trista"/>
    <s v="Lambert"/>
    <s v="NULL"/>
    <s v="trista.lambert@gmail.com"/>
    <n v="499"/>
    <d v="2012-12-01T12:43:00"/>
    <n v="2"/>
    <n v="14"/>
    <s v="STAR PORTABLE TABLE LIGHT "/>
    <s v="Cash on Delivery"/>
    <n v="536539"/>
    <n v="21743"/>
    <n v="2.95"/>
    <n v="6"/>
    <n v="0.2"/>
    <x v="5"/>
    <n v="17.700000000000003"/>
    <n v="3.5400000000000009"/>
    <n v="14.160000000000002"/>
    <n v="84.960000000000008"/>
  </r>
  <r>
    <n v="1393"/>
    <s v="Vivian"/>
    <s v="Deleon"/>
    <s v="NULL"/>
    <s v="vivian.deleon@msn.com"/>
    <n v="499"/>
    <d v="2012-12-01T12:43:00"/>
    <n v="2"/>
    <n v="20"/>
    <s v="PLASTERS IN TIN VINTAGE PAISLEY "/>
    <s v="Cash on Delivery"/>
    <n v="536539"/>
    <n v="22557"/>
    <n v="1.65"/>
    <n v="12"/>
    <n v="0.1"/>
    <x v="5"/>
    <n v="19.799999999999997"/>
    <n v="1.9799999999999998"/>
    <n v="17.819999999999997"/>
    <n v="213.83999999999997"/>
  </r>
  <r>
    <n v="1394"/>
    <s v="Genny"/>
    <s v="Fields"/>
    <s v="NULL"/>
    <s v="genny.fields@msn.com"/>
    <n v="500"/>
    <d v="2012-12-01T12:43:00"/>
    <n v="2"/>
    <n v="12"/>
    <s v="PLASTERS IN TIN WOODLAND ANIMALS"/>
    <s v="Cash on Delivery"/>
    <n v="536539"/>
    <n v="22554"/>
    <n v="1.65"/>
    <n v="12"/>
    <n v="0.05"/>
    <x v="5"/>
    <n v="19.799999999999997"/>
    <n v="0.98999999999999988"/>
    <n v="18.809999999999999"/>
    <n v="225.71999999999997"/>
  </r>
  <r>
    <n v="1395"/>
    <s v="Eliseo"/>
    <s v="Knight"/>
    <s v="NULL"/>
    <s v="eliseo.knight@msn.com"/>
    <n v="500"/>
    <d v="2012-12-01T12:43:00"/>
    <n v="2"/>
    <n v="14"/>
    <s v="ROMANTIC IMAGES NOTEBOOK SET"/>
    <s v="Cash on Delivery"/>
    <n v="536539"/>
    <s v="85019A"/>
    <n v="4.25"/>
    <n v="4"/>
    <n v="0.2"/>
    <x v="5"/>
    <n v="17"/>
    <n v="3.4000000000000004"/>
    <n v="13.6"/>
    <n v="54.4"/>
  </r>
  <r>
    <n v="1396"/>
    <s v="Delma"/>
    <s v="Bailey"/>
    <s v="(657) 454-8493"/>
    <s v="delma.bailey@gmail.com"/>
    <n v="501"/>
    <d v="2012-12-01T12:43:00"/>
    <n v="2"/>
    <n v="19"/>
    <s v="CURIOUS  IMAGES NOTEBOOK SET"/>
    <s v="Cash on Delivery"/>
    <n v="536539"/>
    <s v="85019C"/>
    <n v="4.25"/>
    <n v="3"/>
    <n v="0.05"/>
    <x v="5"/>
    <n v="12.75"/>
    <n v="0.63750000000000007"/>
    <n v="12.112500000000001"/>
    <n v="36.337500000000006"/>
  </r>
  <r>
    <n v="1397"/>
    <s v="Dewayne"/>
    <s v="Herring"/>
    <s v="NULL"/>
    <s v="dewayne.herring@aol.com"/>
    <n v="501"/>
    <d v="2012-12-01T12:43:00"/>
    <n v="2"/>
    <n v="8"/>
    <s v="VINTAGE KEEPSAKE BOX PARIS DAYS"/>
    <s v="Cash on Delivery"/>
    <n v="536539"/>
    <n v="20902"/>
    <n v="6.35"/>
    <n v="2"/>
    <n v="7.0000000000000007E-2"/>
    <x v="5"/>
    <n v="12.7"/>
    <n v="0.88900000000000001"/>
    <n v="11.811"/>
    <n v="23.622"/>
  </r>
  <r>
    <n v="1398"/>
    <s v="Nevada"/>
    <s v="Hood"/>
    <s v="NULL"/>
    <s v="nevada.hood@aol.com"/>
    <n v="501"/>
    <d v="2012-12-01T12:43:00"/>
    <n v="2"/>
    <n v="14"/>
    <s v="RED GINGHAM ROSE JEWELLERY BOX"/>
    <s v="Cash on Delivery"/>
    <n v="536539"/>
    <n v="21429"/>
    <n v="1.65"/>
    <n v="8"/>
    <n v="0.1"/>
    <x v="5"/>
    <n v="13.2"/>
    <n v="1.32"/>
    <n v="11.879999999999999"/>
    <n v="95.039999999999992"/>
  </r>
  <r>
    <n v="1399"/>
    <s v="Angelika"/>
    <s v="Perry"/>
    <s v="NULL"/>
    <s v="angelika.perry@msn.com"/>
    <n v="501"/>
    <d v="2012-12-01T12:43:00"/>
    <n v="2"/>
    <n v="23"/>
    <s v="HAND WARMER BIRD DESIGN"/>
    <s v="Cash on Delivery"/>
    <n v="536539"/>
    <n v="22867"/>
    <n v="2.1"/>
    <n v="12"/>
    <n v="7.0000000000000007E-2"/>
    <x v="5"/>
    <n v="25.200000000000003"/>
    <n v="1.7640000000000005"/>
    <n v="23.436000000000003"/>
    <n v="281.23200000000003"/>
  </r>
  <r>
    <n v="1400"/>
    <s v="Shayla"/>
    <s v="Hart"/>
    <s v="NULL"/>
    <s v="shayla.hart@msn.com"/>
    <n v="502"/>
    <d v="2012-12-01T12:43:00"/>
    <n v="2"/>
    <n v="13"/>
    <s v="HAND WARMER RED RETROSPOT"/>
    <s v="Cash on Delivery"/>
    <n v="536539"/>
    <n v="22632"/>
    <n v="2.1"/>
    <n v="12"/>
    <n v="0.05"/>
    <x v="5"/>
    <n v="25.200000000000003"/>
    <n v="1.2600000000000002"/>
    <n v="23.94"/>
    <n v="287.28000000000003"/>
  </r>
  <r>
    <n v="1401"/>
    <s v="Willetta"/>
    <s v="Murphy"/>
    <s v="NULL"/>
    <s v="willetta.murphy@msn.com"/>
    <n v="503"/>
    <d v="2012-12-01T12:43:00"/>
    <n v="2"/>
    <n v="13"/>
    <s v="ENGLISH ROSE HOT WATER BOTTLE"/>
    <s v="Cash on Delivery"/>
    <n v="536539"/>
    <s v="84030E"/>
    <n v="4.25"/>
    <n v="4"/>
    <n v="7.0000000000000007E-2"/>
    <x v="5"/>
    <n v="17"/>
    <n v="1.1900000000000002"/>
    <n v="15.81"/>
    <n v="63.24"/>
  </r>
  <r>
    <n v="1402"/>
    <s v="Sandee"/>
    <s v="Alvarado"/>
    <s v="NULL"/>
    <s v="sandee.alvarado@aol.com"/>
    <n v="503"/>
    <d v="2012-12-01T12:43:00"/>
    <n v="2"/>
    <n v="10"/>
    <s v="HOT WATER BOTTLE TEA AND SYMPATHY"/>
    <s v="Cash on Delivery"/>
    <n v="536539"/>
    <n v="22114"/>
    <n v="3.95"/>
    <n v="4"/>
    <n v="0.05"/>
    <x v="5"/>
    <n v="15.8"/>
    <n v="0.79"/>
    <n v="15.010000000000002"/>
    <n v="60.040000000000006"/>
  </r>
  <r>
    <n v="1403"/>
    <s v="Mila"/>
    <s v="Moody"/>
    <s v="(248) 234-5902"/>
    <s v="mila.moody@gmail.com"/>
    <n v="504"/>
    <d v="2012-12-01T12:43:00"/>
    <n v="2"/>
    <n v="24"/>
    <s v="FAWN BLUE HOT WATER BOTTLE"/>
    <s v="Cash on Delivery"/>
    <n v="536539"/>
    <n v="21481"/>
    <n v="2.95"/>
    <n v="6"/>
    <n v="0.1"/>
    <x v="5"/>
    <n v="17.700000000000003"/>
    <n v="1.7700000000000005"/>
    <n v="15.930000000000003"/>
    <n v="95.580000000000013"/>
  </r>
  <r>
    <n v="1404"/>
    <s v="Loyce"/>
    <s v="Conway"/>
    <s v="NULL"/>
    <s v="loyce.conway@aol.com"/>
    <n v="504"/>
    <d v="2012-12-01T12:43:00"/>
    <n v="1"/>
    <n v="2"/>
    <s v="RECYCLING BAG RETROSPOT "/>
    <s v="Cash on Delivery"/>
    <n v="536539"/>
    <n v="22379"/>
    <n v="2.1"/>
    <n v="5"/>
    <n v="0.05"/>
    <x v="5"/>
    <n v="10.5"/>
    <n v="0.52500000000000002"/>
    <n v="9.9749999999999996"/>
    <n v="49.875"/>
  </r>
  <r>
    <n v="1405"/>
    <s v="Thanh"/>
    <s v="Figueroa"/>
    <s v="NULL"/>
    <s v="thanh.figueroa@yahoo.com"/>
    <n v="505"/>
    <d v="2012-12-01T12:43:00"/>
    <n v="1"/>
    <n v="26"/>
    <s v="ROSE COTTAGE KEEPSAKE BOX "/>
    <s v="Cash on Delivery"/>
    <n v="536540"/>
    <n v="22968"/>
    <n v="9.9499999999999993"/>
    <n v="4"/>
    <n v="0.2"/>
    <x v="1"/>
    <n v="39.799999999999997"/>
    <n v="7.96"/>
    <n v="31.839999999999996"/>
    <n v="127.35999999999999"/>
  </r>
  <r>
    <n v="1406"/>
    <s v="Farrah"/>
    <s v="Orr"/>
    <s v="NULL"/>
    <s v="farrah.orr@msn.com"/>
    <n v="506"/>
    <d v="2012-12-01T12:43:00"/>
    <n v="1"/>
    <n v="25"/>
    <s v="BLUE CHARLIE+LOLA PERSONAL DOORSIGN"/>
    <s v="Cash on Delivery"/>
    <n v="536540"/>
    <s v="85071A"/>
    <n v="2.95"/>
    <n v="6"/>
    <n v="0.1"/>
    <x v="1"/>
    <n v="17.700000000000003"/>
    <n v="1.7700000000000005"/>
    <n v="15.930000000000003"/>
    <n v="95.580000000000013"/>
  </r>
  <r>
    <n v="1407"/>
    <s v="Hugh"/>
    <s v="Craft"/>
    <s v="NULL"/>
    <s v="hugh.craft@msn.com"/>
    <n v="506"/>
    <d v="2012-12-01T12:43:00"/>
    <n v="2"/>
    <n v="7"/>
    <s v="CHARLIE+LOLA&quot;EXTREMELY BUSY&quot; SIGN"/>
    <s v="Cash on Delivery"/>
    <n v="536540"/>
    <s v="85071C"/>
    <n v="2.5499999999999998"/>
    <n v="6"/>
    <n v="7.0000000000000007E-2"/>
    <x v="1"/>
    <n v="15.299999999999999"/>
    <n v="1.071"/>
    <n v="14.228999999999999"/>
    <n v="85.373999999999995"/>
  </r>
  <r>
    <n v="1408"/>
    <s v="Eleanor"/>
    <s v="Mendez"/>
    <s v="NULL"/>
    <s v="eleanor.mendez@yahoo.com"/>
    <n v="507"/>
    <d v="2012-12-01T12:43:00"/>
    <n v="2"/>
    <n v="11"/>
    <s v="CHARLOTTE BAG SUKI DESIGN"/>
    <s v="Cash on Delivery"/>
    <n v="536540"/>
    <n v="22355"/>
    <n v="0.85"/>
    <n v="50"/>
    <n v="0.05"/>
    <x v="1"/>
    <n v="42.5"/>
    <n v="2.125"/>
    <n v="40.375"/>
    <n v="2018.75"/>
  </r>
  <r>
    <n v="1409"/>
    <s v="Lamar"/>
    <s v="Bush"/>
    <s v="(716) 294-7174"/>
    <s v="lamar.bush@msn.com"/>
    <n v="507"/>
    <d v="2012-12-01T12:43:00"/>
    <n v="2"/>
    <n v="13"/>
    <s v="LOLITA  DESIGN  COTTON TOTE BAG"/>
    <s v="Cash on Delivery"/>
    <n v="536540"/>
    <n v="21579"/>
    <n v="2.25"/>
    <n v="6"/>
    <n v="7.0000000000000007E-2"/>
    <x v="1"/>
    <n v="13.5"/>
    <n v="0.94500000000000006"/>
    <n v="12.555"/>
    <n v="75.33"/>
  </r>
  <r>
    <n v="1410"/>
    <s v="Lurlene"/>
    <s v="Finch"/>
    <s v="(914) 367-7691"/>
    <s v="lurlene.finch@msn.com"/>
    <n v="507"/>
    <d v="2012-12-01T12:43:00"/>
    <n v="1"/>
    <n v="20"/>
    <s v="LETS GO SHOPPING COTTON TOTE BAG"/>
    <s v="Cash on Delivery"/>
    <n v="536540"/>
    <n v="21576"/>
    <n v="2.25"/>
    <n v="6"/>
    <n v="0.1"/>
    <x v="1"/>
    <n v="13.5"/>
    <n v="1.35"/>
    <n v="12.15"/>
    <n v="72.900000000000006"/>
  </r>
  <r>
    <n v="1411"/>
    <s v="Shanda"/>
    <s v="Stevenson"/>
    <s v="NULL"/>
    <s v="shanda.stevenson@yahoo.com"/>
    <n v="508"/>
    <d v="2012-12-01T12:43:00"/>
    <n v="2"/>
    <n v="8"/>
    <s v="FELTCRAFT BUTTERFLY HEARTS"/>
    <s v="Cash on Delivery"/>
    <n v="536540"/>
    <n v="22147"/>
    <n v="1.45"/>
    <n v="12"/>
    <n v="0.05"/>
    <x v="1"/>
    <n v="17.399999999999999"/>
    <n v="0.87"/>
    <n v="16.529999999999998"/>
    <n v="198.35999999999996"/>
  </r>
  <r>
    <n v="1412"/>
    <s v="Adrien"/>
    <s v="Hunter"/>
    <s v="NULL"/>
    <s v="adrien.hunter@yahoo.com"/>
    <n v="508"/>
    <d v="2012-12-01T12:43:00"/>
    <n v="1"/>
    <n v="2"/>
    <s v="3 STRIPEY MICE FELTCRAFT"/>
    <s v="Cash on Delivery"/>
    <n v="536540"/>
    <n v="22150"/>
    <n v="1.95"/>
    <n v="12"/>
    <n v="0.05"/>
    <x v="1"/>
    <n v="23.4"/>
    <n v="1.17"/>
    <n v="22.229999999999997"/>
    <n v="266.76"/>
  </r>
  <r>
    <n v="1413"/>
    <s v="Ophelia"/>
    <s v="Decker"/>
    <s v="NULL"/>
    <s v="ophelia.decker@yahoo.com"/>
    <n v="508"/>
    <d v="2012-12-01T12:43:00"/>
    <n v="2"/>
    <n v="10"/>
    <s v="MINI PAINT SET VINTAGE "/>
    <s v="Cash on Delivery"/>
    <n v="536540"/>
    <n v="22492"/>
    <n v="0.65"/>
    <n v="36"/>
    <n v="0.05"/>
    <x v="1"/>
    <n v="23.400000000000002"/>
    <n v="1.1700000000000002"/>
    <n v="22.23"/>
    <n v="800.28"/>
  </r>
  <r>
    <n v="1414"/>
    <s v="Sonja"/>
    <s v="Walls"/>
    <s v="NULL"/>
    <s v="sonja.walls@aol.com"/>
    <n v="508"/>
    <d v="2012-12-01T12:43:00"/>
    <n v="1"/>
    <n v="25"/>
    <s v="PAINT YOUR OWN CANVAS SET"/>
    <s v="Cash on Delivery"/>
    <n v="536540"/>
    <n v="22493"/>
    <n v="1.65"/>
    <n v="24"/>
    <n v="7.0000000000000007E-2"/>
    <x v="1"/>
    <n v="39.599999999999994"/>
    <n v="2.7719999999999998"/>
    <n v="36.827999999999996"/>
    <n v="883.87199999999984"/>
  </r>
  <r>
    <n v="1415"/>
    <s v="Harold"/>
    <s v="O'connor"/>
    <s v="NULL"/>
    <s v="harold.o'connor@gmail.com"/>
    <n v="509"/>
    <d v="2012-12-01T12:43:00"/>
    <n v="1"/>
    <n v="23"/>
    <s v="CAMOUFLAGE LED TORCH"/>
    <s v="Cash on Delivery"/>
    <n v="536540"/>
    <n v="21833"/>
    <n v="1.69"/>
    <n v="12"/>
    <n v="0.2"/>
    <x v="1"/>
    <n v="20.28"/>
    <n v="4.056"/>
    <n v="16.224"/>
    <n v="194.68799999999999"/>
  </r>
  <r>
    <n v="1416"/>
    <s v="Miranda"/>
    <s v="Kennedy"/>
    <s v="NULL"/>
    <s v="miranda.kennedy@gmail.com"/>
    <n v="509"/>
    <d v="2012-12-01T12:43:00"/>
    <n v="2"/>
    <n v="4"/>
    <s v="BLUE DRAGONFLY HELICOPTER"/>
    <s v="Cash on Delivery"/>
    <n v="536540"/>
    <s v="85135B"/>
    <n v="7.95"/>
    <n v="2"/>
    <n v="0.05"/>
    <x v="1"/>
    <n v="15.9"/>
    <n v="0.79500000000000004"/>
    <n v="15.105"/>
    <n v="30.21"/>
  </r>
  <r>
    <n v="1417"/>
    <s v="Jasper"/>
    <s v="Castro"/>
    <s v="NULL"/>
    <s v="jasper.castro@aol.com"/>
    <n v="510"/>
    <d v="2012-12-01T12:43:00"/>
    <n v="2"/>
    <n v="17"/>
    <s v="YELLOW SHARK HELICOPTER"/>
    <s v="Cash on Delivery"/>
    <n v="536540"/>
    <s v="85136A"/>
    <n v="7.95"/>
    <n v="2"/>
    <n v="0.1"/>
    <x v="1"/>
    <n v="15.9"/>
    <n v="1.59"/>
    <n v="14.31"/>
    <n v="28.62"/>
  </r>
  <r>
    <n v="1418"/>
    <s v="Penni"/>
    <s v="Best"/>
    <s v="(657) 611-2991"/>
    <s v="penni.best@msn.com"/>
    <n v="511"/>
    <d v="2012-12-01T12:43:00"/>
    <n v="2"/>
    <n v="22"/>
    <s v="RED SHARK HELICOPTER"/>
    <s v="Cash on Delivery"/>
    <n v="536540"/>
    <s v="85136C"/>
    <n v="7.95"/>
    <n v="2"/>
    <n v="0.05"/>
    <x v="1"/>
    <n v="15.9"/>
    <n v="0.79500000000000004"/>
    <n v="15.105"/>
    <n v="30.21"/>
  </r>
  <r>
    <n v="1419"/>
    <s v="Lurlene"/>
    <s v="Cotton"/>
    <s v="NULL"/>
    <s v="lurlene.cotton@yahoo.com"/>
    <n v="511"/>
    <d v="2012-12-01T12:43:00"/>
    <n v="1"/>
    <n v="13"/>
    <s v="TOOL BOX SOFT TOY "/>
    <s v="Cash on Delivery"/>
    <n v="536540"/>
    <n v="21055"/>
    <n v="8.9499999999999993"/>
    <n v="4"/>
    <n v="0.1"/>
    <x v="1"/>
    <n v="35.799999999999997"/>
    <n v="3.58"/>
    <n v="32.22"/>
    <n v="128.88"/>
  </r>
  <r>
    <n v="1420"/>
    <s v="Kelsey"/>
    <s v="Noble"/>
    <s v="NULL"/>
    <s v="kelsey.noble@hotmail.com"/>
    <n v="512"/>
    <d v="2012-12-01T12:43:00"/>
    <n v="2"/>
    <n v="21"/>
    <s v="DOCTOR'S BAG SOFT TOY"/>
    <s v="Cash on Delivery"/>
    <n v="536540"/>
    <n v="21056"/>
    <n v="8.9499999999999993"/>
    <n v="4"/>
    <n v="7.0000000000000007E-2"/>
    <x v="1"/>
    <n v="35.799999999999997"/>
    <n v="2.5060000000000002"/>
    <n v="33.293999999999997"/>
    <n v="133.17599999999999"/>
  </r>
  <r>
    <n v="1421"/>
    <s v="Edris"/>
    <s v="Barrett"/>
    <s v="NULL"/>
    <s v="edris.barrett@hotmail.com"/>
    <n v="513"/>
    <d v="2012-12-01T12:43:00"/>
    <n v="4"/>
    <n v="7"/>
    <s v="WOODEN BOX OF DOMINOES"/>
    <s v="Debit Card"/>
    <n v="536540"/>
    <n v="21889"/>
    <n v="1.25"/>
    <n v="24"/>
    <n v="7.0000000000000007E-2"/>
    <x v="1"/>
    <n v="30"/>
    <n v="2.1"/>
    <n v="27.9"/>
    <n v="669.59999999999991"/>
  </r>
  <r>
    <n v="1422"/>
    <s v="Tempie"/>
    <s v="Jacobson"/>
    <s v="NULL"/>
    <s v="tempie.jacobson@hotmail.com"/>
    <n v="513"/>
    <d v="2012-12-01T12:43:00"/>
    <n v="4"/>
    <n v="13"/>
    <s v="TRADITIONAL WOODEN SKIPPING ROPE"/>
    <s v="Debit Card"/>
    <n v="536540"/>
    <n v="21891"/>
    <n v="1.25"/>
    <n v="12"/>
    <n v="0.2"/>
    <x v="1"/>
    <n v="15"/>
    <n v="3"/>
    <n v="12"/>
    <n v="144"/>
  </r>
  <r>
    <n v="1423"/>
    <s v="Dollie"/>
    <s v="Cervantes"/>
    <s v="(682) 362-7457"/>
    <s v="dollie.cervantes@aol.com"/>
    <n v="513"/>
    <d v="2012-12-01T12:43:00"/>
    <n v="4"/>
    <n v="23"/>
    <s v="BOX OF VINTAGE ALPHABET BLOCKS"/>
    <s v="Debit Card"/>
    <n v="536540"/>
    <n v="22622"/>
    <n v="9.9499999999999993"/>
    <n v="6"/>
    <n v="7.0000000000000007E-2"/>
    <x v="1"/>
    <n v="59.699999999999996"/>
    <n v="4.1790000000000003"/>
    <n v="55.520999999999994"/>
    <n v="333.12599999999998"/>
  </r>
  <r>
    <n v="1424"/>
    <s v="Lashunda"/>
    <s v="Cole"/>
    <s v="NULL"/>
    <s v="lashunda.cole@hotmail.com"/>
    <n v="514"/>
    <d v="2012-12-01T12:43:00"/>
    <n v="4"/>
    <n v="18"/>
    <s v="CARRIAGE"/>
    <s v="Debit Card"/>
    <n v="536540"/>
    <s v="C2"/>
    <n v="50"/>
    <n v="1"/>
    <n v="0.2"/>
    <x v="1"/>
    <n v="50"/>
    <n v="10"/>
    <n v="40"/>
    <n v="40"/>
  </r>
  <r>
    <n v="1425"/>
    <s v="Justina"/>
    <s v="Jenkins"/>
    <s v="NULL"/>
    <s v="justina.jenkins@msn.com"/>
    <n v="514"/>
    <d v="2012-12-01T12:43:00"/>
    <n v="4"/>
    <n v="17"/>
    <s v="RED  HARMONICA IN BOX "/>
    <s v="Debit Card"/>
    <n v="536541"/>
    <n v="21915"/>
    <n v="1.25"/>
    <n v="12"/>
    <n v="7.0000000000000007E-2"/>
    <x v="1"/>
    <n v="15"/>
    <n v="1.05"/>
    <n v="13.95"/>
    <n v="167.39999999999998"/>
  </r>
  <r>
    <n v="1426"/>
    <s v="Londa"/>
    <s v="Gould"/>
    <s v="(361) 206-5550"/>
    <s v="londa.gould@aol.com"/>
    <n v="515"/>
    <d v="2012-12-01T12:43:00"/>
    <n v="2"/>
    <n v="8"/>
    <s v="LUNCH BAG SPACEBOY DESIGN "/>
    <s v="Cash on Delivery"/>
    <n v="536542"/>
    <n v="22382"/>
    <n v="1.65"/>
    <n v="10"/>
    <n v="7.0000000000000007E-2"/>
    <x v="5"/>
    <n v="16.5"/>
    <n v="1.155"/>
    <n v="15.345000000000001"/>
    <n v="153.45000000000002"/>
  </r>
  <r>
    <n v="1427"/>
    <s v="Mikel"/>
    <s v="Wilkerson"/>
    <s v="NULL"/>
    <s v="mikel.wilkerson@msn.com"/>
    <n v="515"/>
    <d v="2012-12-01T12:43:00"/>
    <n v="2"/>
    <n v="5"/>
    <s v="LUNCH BAG  BLACK SKULL."/>
    <s v="Cash on Delivery"/>
    <n v="536542"/>
    <n v="20727"/>
    <n v="1.65"/>
    <n v="10"/>
    <n v="0.1"/>
    <x v="5"/>
    <n v="16.5"/>
    <n v="1.6500000000000001"/>
    <n v="14.85"/>
    <n v="148.5"/>
  </r>
  <r>
    <n v="1428"/>
    <s v="Carola"/>
    <s v="Johns"/>
    <s v="NULL"/>
    <s v="carola.johns@msn.com"/>
    <n v="515"/>
    <d v="2012-12-01T12:43:00"/>
    <n v="4"/>
    <n v="25"/>
    <s v="LUNCH BAG SUKI  DESIGN "/>
    <s v="Debit Card"/>
    <n v="536542"/>
    <n v="22383"/>
    <n v="1.65"/>
    <n v="30"/>
    <n v="7.0000000000000007E-2"/>
    <x v="1"/>
    <n v="49.5"/>
    <n v="3.4650000000000003"/>
    <n v="46.034999999999997"/>
    <n v="1381.05"/>
  </r>
  <r>
    <n v="1429"/>
    <s v="Lorrie"/>
    <s v="Justice"/>
    <s v="NULL"/>
    <s v="lorrie.justice@gmail.com"/>
    <n v="515"/>
    <d v="2012-12-01T12:43:00"/>
    <n v="4"/>
    <n v="6"/>
    <s v="JUMBO BAG PINK POLKADOT"/>
    <s v="Debit Card"/>
    <n v="536542"/>
    <n v="22386"/>
    <n v="1.95"/>
    <n v="30"/>
    <n v="0.2"/>
    <x v="1"/>
    <n v="58.5"/>
    <n v="11.700000000000001"/>
    <n v="46.8"/>
    <n v="1404"/>
  </r>
  <r>
    <n v="1430"/>
    <s v="Tayna"/>
    <s v="Wade"/>
    <s v="(661) 858-1224"/>
    <s v="tayna.wade@hotmail.com"/>
    <n v="516"/>
    <d v="2012-12-01T12:43:00"/>
    <n v="2"/>
    <n v="7"/>
    <s v="JUMBO BAG RED RETROSPOT"/>
    <s v="Cash on Delivery"/>
    <n v="536542"/>
    <s v="85099B"/>
    <n v="1.95"/>
    <n v="40"/>
    <n v="0.05"/>
    <x v="5"/>
    <n v="78"/>
    <n v="3.9000000000000004"/>
    <n v="74.099999999999994"/>
    <n v="2964"/>
  </r>
  <r>
    <n v="1431"/>
    <s v="Mark"/>
    <s v="Benton"/>
    <s v="NULL"/>
    <s v="mark.benton@aol.com"/>
    <n v="516"/>
    <d v="2012-12-01T12:43:00"/>
    <n v="2"/>
    <n v="5"/>
    <s v="RECYCLING BAG RETROSPOT "/>
    <s v="Cash on Delivery"/>
    <n v="536542"/>
    <n v="22379"/>
    <n v="2.1"/>
    <n v="20"/>
    <n v="0.1"/>
    <x v="5"/>
    <n v="42"/>
    <n v="4.2"/>
    <n v="37.799999999999997"/>
    <n v="756"/>
  </r>
  <r>
    <n v="1432"/>
    <s v="Zona"/>
    <s v="Cameron"/>
    <s v="NULL"/>
    <s v="zona.cameron@aol.com"/>
    <n v="517"/>
    <d v="2012-12-01T12:43:00"/>
    <n v="4"/>
    <n v="21"/>
    <s v="JUMBO BAG WOODLAND ANIMALS"/>
    <s v="Debit Card"/>
    <n v="536542"/>
    <n v="20712"/>
    <n v="1.95"/>
    <n v="20"/>
    <n v="7.0000000000000007E-2"/>
    <x v="1"/>
    <n v="39"/>
    <n v="2.7300000000000004"/>
    <n v="36.269999999999996"/>
    <n v="725.39999999999986"/>
  </r>
  <r>
    <n v="1433"/>
    <s v="Nicola"/>
    <s v="Knight"/>
    <s v="NULL"/>
    <s v="nicola.knight@aol.com"/>
    <n v="518"/>
    <d v="2012-12-01T12:43:00"/>
    <n v="2"/>
    <n v="16"/>
    <s v="JUMBO BAG STRAWBERRY"/>
    <s v="Cash on Delivery"/>
    <n v="536542"/>
    <s v="85099F"/>
    <n v="1.95"/>
    <n v="30"/>
    <n v="0.2"/>
    <x v="5"/>
    <n v="58.5"/>
    <n v="11.700000000000001"/>
    <n v="46.8"/>
    <n v="1404"/>
  </r>
  <r>
    <n v="1434"/>
    <s v="Elana"/>
    <s v="Miles"/>
    <s v="NULL"/>
    <s v="elana.miles@yahoo.com"/>
    <n v="518"/>
    <d v="2012-12-01T12:43:00"/>
    <n v="4"/>
    <n v="5"/>
    <s v="JUMBO  BAG BAROQUE BLACK WHITE"/>
    <s v="Debit Card"/>
    <n v="536542"/>
    <s v="85099C"/>
    <n v="1.95"/>
    <n v="20"/>
    <n v="0.05"/>
    <x v="1"/>
    <n v="39"/>
    <n v="1.9500000000000002"/>
    <n v="37.049999999999997"/>
    <n v="741"/>
  </r>
  <r>
    <n v="1435"/>
    <s v="Merrie"/>
    <s v="Fowler"/>
    <s v="NULL"/>
    <s v="merrie.fowler@aol.com"/>
    <n v="518"/>
    <d v="2012-12-01T12:43:00"/>
    <n v="4"/>
    <n v="25"/>
    <s v="JUMBO STORAGE BAG SKULLS"/>
    <s v="Debit Card"/>
    <n v="536542"/>
    <n v="21930"/>
    <n v="1.95"/>
    <n v="20"/>
    <n v="0.05"/>
    <x v="1"/>
    <n v="39"/>
    <n v="1.9500000000000002"/>
    <n v="37.049999999999997"/>
    <n v="741"/>
  </r>
  <r>
    <n v="1436"/>
    <s v="Macie"/>
    <s v="Ayers"/>
    <s v="NULL"/>
    <s v="macie.ayers@msn.com"/>
    <n v="518"/>
    <d v="2012-12-01T12:43:00"/>
    <n v="2"/>
    <n v="15"/>
    <s v="JUMBO BAG SCANDINAVIAN PAISLEY"/>
    <s v="Cash on Delivery"/>
    <n v="536542"/>
    <n v="21928"/>
    <n v="1.95"/>
    <n v="20"/>
    <n v="0.2"/>
    <x v="5"/>
    <n v="39"/>
    <n v="7.8000000000000007"/>
    <n v="31.2"/>
    <n v="624"/>
  </r>
  <r>
    <n v="1437"/>
    <s v="Son"/>
    <s v="Warner"/>
    <s v="NULL"/>
    <s v="son.warner@hotmail.com"/>
    <n v="518"/>
    <d v="2012-12-01T12:43:00"/>
    <n v="2"/>
    <n v="11"/>
    <s v="JUMBO SHOPPER VINTAGE RED PAISLEY"/>
    <s v="Cash on Delivery"/>
    <n v="536542"/>
    <n v="22411"/>
    <n v="1.95"/>
    <n v="30"/>
    <n v="7.0000000000000007E-2"/>
    <x v="5"/>
    <n v="58.5"/>
    <n v="4.0950000000000006"/>
    <n v="54.405000000000001"/>
    <n v="1632.15"/>
  </r>
  <r>
    <n v="1438"/>
    <s v="Lee"/>
    <s v="Dunn"/>
    <s v="(408) 807-6157"/>
    <s v="lee.dunn@aol.com"/>
    <n v="519"/>
    <d v="2012-12-01T12:43:00"/>
    <n v="4"/>
    <n v="6"/>
    <s v="JUMBO STORAGE BAG SUKI"/>
    <s v="Amazon Pay"/>
    <n v="536542"/>
    <n v="21931"/>
    <n v="1.95"/>
    <n v="40"/>
    <n v="7.0000000000000007E-2"/>
    <x v="1"/>
    <n v="78"/>
    <n v="5.4600000000000009"/>
    <n v="72.539999999999992"/>
    <n v="2901.5999999999995"/>
  </r>
  <r>
    <n v="1439"/>
    <s v="Florrie"/>
    <s v="Little"/>
    <s v="NULL"/>
    <s v="florrie.little@yahoo.com"/>
    <n v="519"/>
    <d v="2012-12-01T12:43:00"/>
    <n v="2"/>
    <n v="16"/>
    <s v="JUMBO BAG TOYS "/>
    <s v="Cash on Delivery"/>
    <n v="536542"/>
    <n v="20711"/>
    <n v="1.95"/>
    <n v="20"/>
    <n v="0.1"/>
    <x v="5"/>
    <n v="39"/>
    <n v="3.9000000000000004"/>
    <n v="35.1"/>
    <n v="702"/>
  </r>
  <r>
    <n v="1440"/>
    <s v="Ernest"/>
    <s v="Rollins"/>
    <s v="NULL"/>
    <s v="ernest.rollins@yahoo.com"/>
    <n v="519"/>
    <d v="2012-12-01T12:43:00"/>
    <n v="4"/>
    <n v="23"/>
    <s v="JUMBO BAG OWLS"/>
    <s v="Amazon Pay"/>
    <n v="536542"/>
    <n v="20713"/>
    <n v="1.95"/>
    <n v="30"/>
    <n v="0.05"/>
    <x v="1"/>
    <n v="58.5"/>
    <n v="2.9250000000000003"/>
    <n v="55.575000000000003"/>
    <n v="1667.25"/>
  </r>
  <r>
    <n v="1441"/>
    <s v="Jamaal"/>
    <s v="Morrison"/>
    <s v="NULL"/>
    <s v="jamaal.morrison@msn.com"/>
    <n v="519"/>
    <d v="2012-12-01T12:43:00"/>
    <n v="4"/>
    <n v="18"/>
    <s v="WHITE HANGING HEART T-LIGHT HOLDER"/>
    <s v="Amazon Pay"/>
    <n v="536542"/>
    <s v="85123A"/>
    <n v="2.95"/>
    <n v="40"/>
    <n v="0.2"/>
    <x v="1"/>
    <n v="118"/>
    <n v="23.6"/>
    <n v="94.4"/>
    <n v="3776"/>
  </r>
  <r>
    <n v="1442"/>
    <s v="Cassie"/>
    <s v="Cline"/>
    <s v="NULL"/>
    <s v="cassie.cline@gmail.com"/>
    <n v="519"/>
    <d v="2012-12-01T12:43:00"/>
    <n v="2"/>
    <n v="7"/>
    <s v="HAND WARMER RED RETROSPOT"/>
    <s v="Cash on Delivery"/>
    <s v="C536543"/>
    <n v="22632"/>
    <n v="2.1"/>
    <n v="1"/>
    <n v="0.05"/>
    <x v="5"/>
    <n v="2.1"/>
    <n v="0.10500000000000001"/>
    <n v="1.9950000000000001"/>
    <n v="1.9950000000000001"/>
  </r>
  <r>
    <n v="1443"/>
    <s v="Lezlie"/>
    <s v="Lamb"/>
    <s v="NULL"/>
    <s v="lezlie.lamb@gmail.com"/>
    <n v="520"/>
    <d v="2012-12-01T12:43:00"/>
    <n v="2"/>
    <n v="26"/>
    <s v="CHARLOTTE BAG SUKI DESIGN"/>
    <s v="Cash on Delivery"/>
    <s v="C536543"/>
    <n v="22355"/>
    <n v="0.85"/>
    <n v="2"/>
    <n v="0.1"/>
    <x v="5"/>
    <n v="1.7"/>
    <n v="0.17"/>
    <n v="1.53"/>
    <n v="3.06"/>
  </r>
  <r>
    <n v="1444"/>
    <s v="Ivette"/>
    <s v="Estes"/>
    <s v="NULL"/>
    <s v="ivette.estes@gmail.com"/>
    <n v="520"/>
    <d v="2012-12-01T12:43:00"/>
    <n v="4"/>
    <n v="24"/>
    <s v="DECORATIVE ROSE BATHROOM BOTTLE"/>
    <s v="Amazon Pay"/>
    <n v="536544"/>
    <n v="21773"/>
    <n v="2.5099999999999998"/>
    <n v="100"/>
    <n v="0.2"/>
    <x v="1"/>
    <n v="250.99999999999997"/>
    <n v="50.199999999999996"/>
    <n v="200.79999999999998"/>
    <n v="200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B11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Row" showAll="0">
      <items count="8">
        <item x="3"/>
        <item x="1"/>
        <item x="0"/>
        <item x="6"/>
        <item x="4"/>
        <item x="5"/>
        <item x="2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ustomer 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1445" totalsRowShown="0">
  <autoFilter ref="A1:U1445"/>
  <tableColumns count="21">
    <tableColumn id="1" name="Customer ID"/>
    <tableColumn id="2" name="first_name" dataDxfId="13"/>
    <tableColumn id="3" name="last_name" dataDxfId="12"/>
    <tableColumn id="4" name="phone#" dataDxfId="11"/>
    <tableColumn id="5" name="email" dataDxfId="10"/>
    <tableColumn id="6" name="Order_id" dataDxfId="9"/>
    <tableColumn id="7" name="Order_Date" dataDxfId="8"/>
    <tableColumn id="8" name="Order status " dataDxfId="7"/>
    <tableColumn id="9" name="Product_Id" dataDxfId="6"/>
    <tableColumn id="10" name="Product name"/>
    <tableColumn id="11" name="Payment mode "/>
    <tableColumn id="12" name="Invoice#"/>
    <tableColumn id="13" name="StockCode" dataDxfId="5"/>
    <tableColumn id="14" name="Product_Price"/>
    <tableColumn id="15" name="Quantity" dataDxfId="4"/>
    <tableColumn id="16" name="Discount%" dataDxfId="3"/>
    <tableColumn id="17" name="Country"/>
    <tableColumn id="18" name="Total price" dataDxfId="2">
      <calculatedColumnFormula>N2*O2</calculatedColumnFormula>
    </tableColumn>
    <tableColumn id="19" name="Discount Amount" dataDxfId="1">
      <calculatedColumnFormula>R2*P2</calculatedColumnFormula>
    </tableColumn>
    <tableColumn id="20" name="Sales Price " dataDxfId="0">
      <calculatedColumnFormula>Table1[[#This Row],[Total price]]-Table1[[#This Row],[Discount Amount]]</calculatedColumnFormula>
    </tableColumn>
    <tableColumn id="21" name="Total Sales Price">
      <calculatedColumnFormula>T2*O2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1"/>
  <sheetViews>
    <sheetView workbookViewId="0">
      <selection activeCell="G14" sqref="G14"/>
    </sheetView>
  </sheetViews>
  <sheetFormatPr defaultRowHeight="15"/>
  <cols>
    <col min="1" max="1" width="15.42578125" customWidth="1"/>
    <col min="2" max="2" width="22.28515625" bestFit="1" customWidth="1"/>
  </cols>
  <sheetData>
    <row r="4" spans="1:2">
      <c r="A4" s="2"/>
      <c r="B4" s="8"/>
    </row>
    <row r="5" spans="1:2">
      <c r="A5" s="2"/>
      <c r="B5" s="8"/>
    </row>
    <row r="6" spans="1:2">
      <c r="A6" s="2"/>
      <c r="B6" s="8"/>
    </row>
    <row r="7" spans="1:2">
      <c r="A7" s="2"/>
      <c r="B7" s="8"/>
    </row>
    <row r="8" spans="1:2">
      <c r="A8" s="2"/>
      <c r="B8" s="8"/>
    </row>
    <row r="9" spans="1:2">
      <c r="A9" s="2"/>
      <c r="B9" s="8"/>
    </row>
    <row r="10" spans="1:2">
      <c r="A10" s="2"/>
      <c r="B10" s="8"/>
    </row>
    <row r="11" spans="1:2">
      <c r="A11" s="2"/>
      <c r="B1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A3" sqref="A3:B11"/>
    </sheetView>
  </sheetViews>
  <sheetFormatPr defaultRowHeight="15"/>
  <cols>
    <col min="1" max="1" width="15.42578125" customWidth="1"/>
    <col min="2" max="2" width="18.7109375" bestFit="1" customWidth="1"/>
  </cols>
  <sheetData>
    <row r="3" spans="1:2">
      <c r="A3" s="9" t="s">
        <v>4502</v>
      </c>
      <c r="B3" t="s">
        <v>4501</v>
      </c>
    </row>
    <row r="4" spans="1:2">
      <c r="A4" s="2" t="s">
        <v>8</v>
      </c>
      <c r="B4" s="8">
        <v>2863</v>
      </c>
    </row>
    <row r="5" spans="1:2">
      <c r="A5" s="2" t="s">
        <v>4</v>
      </c>
      <c r="B5" s="8">
        <v>175018</v>
      </c>
    </row>
    <row r="6" spans="1:2">
      <c r="A6" s="2" t="s">
        <v>7</v>
      </c>
      <c r="B6" s="8">
        <v>99784</v>
      </c>
    </row>
    <row r="7" spans="1:2">
      <c r="A7" s="2" t="s">
        <v>5</v>
      </c>
      <c r="B7" s="8">
        <v>131363</v>
      </c>
    </row>
    <row r="8" spans="1:2">
      <c r="A8" s="2" t="s">
        <v>6</v>
      </c>
      <c r="B8" s="8">
        <v>104423</v>
      </c>
    </row>
    <row r="9" spans="1:2">
      <c r="A9" s="2" t="s">
        <v>9</v>
      </c>
      <c r="B9" s="8">
        <v>132133</v>
      </c>
    </row>
    <row r="10" spans="1:2">
      <c r="A10" s="2" t="s">
        <v>3</v>
      </c>
      <c r="B10" s="8">
        <v>397706</v>
      </c>
    </row>
    <row r="11" spans="1:2">
      <c r="A11" s="2" t="s">
        <v>4503</v>
      </c>
      <c r="B11" s="8">
        <v>1043290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39"/>
  <sheetViews>
    <sheetView tabSelected="1" topLeftCell="K1" workbookViewId="0">
      <pane ySplit="1" topLeftCell="A2" activePane="bottomLeft" state="frozen"/>
      <selection pane="bottomLeft" activeCell="T6" sqref="T6"/>
    </sheetView>
  </sheetViews>
  <sheetFormatPr defaultRowHeight="15"/>
  <cols>
    <col min="1" max="1" width="14.140625" bestFit="1" customWidth="1"/>
    <col min="2" max="2" width="12.85546875" bestFit="1" customWidth="1"/>
    <col min="3" max="3" width="12.28515625" bestFit="1" customWidth="1"/>
    <col min="4" max="4" width="13.7109375" bestFit="1" customWidth="1"/>
    <col min="5" max="5" width="30.85546875" style="1" customWidth="1"/>
    <col min="6" max="6" width="11.140625" bestFit="1" customWidth="1"/>
    <col min="7" max="7" width="13.42578125" customWidth="1"/>
    <col min="8" max="8" width="14.42578125" customWidth="1"/>
    <col min="9" max="9" width="12.7109375" customWidth="1"/>
    <col min="10" max="10" width="40.42578125" bestFit="1" customWidth="1"/>
    <col min="11" max="11" width="17.28515625" bestFit="1" customWidth="1"/>
    <col min="12" max="12" width="10.5703125" customWidth="1"/>
    <col min="13" max="13" width="15.5703125" bestFit="1" customWidth="1"/>
    <col min="14" max="14" width="15.7109375" bestFit="1" customWidth="1"/>
    <col min="15" max="15" width="15.42578125" bestFit="1" customWidth="1"/>
    <col min="16" max="16" width="12.5703125" bestFit="1" customWidth="1"/>
    <col min="17" max="17" width="15.42578125" bestFit="1" customWidth="1"/>
    <col min="18" max="18" width="12.5703125" bestFit="1" customWidth="1"/>
    <col min="19" max="19" width="18.7109375" bestFit="1" customWidth="1"/>
    <col min="20" max="20" width="13.140625" bestFit="1" customWidth="1"/>
    <col min="21" max="21" width="17.42578125" customWidth="1"/>
  </cols>
  <sheetData>
    <row r="1" spans="1:21">
      <c r="A1" t="s">
        <v>886</v>
      </c>
      <c r="B1" s="3" t="s">
        <v>2864</v>
      </c>
      <c r="C1" s="3" t="s">
        <v>2863</v>
      </c>
      <c r="D1" s="3" t="s">
        <v>4489</v>
      </c>
      <c r="E1" s="3" t="s">
        <v>2865</v>
      </c>
      <c r="F1" t="s">
        <v>890</v>
      </c>
      <c r="G1" s="4" t="s">
        <v>892</v>
      </c>
      <c r="H1" t="s">
        <v>891</v>
      </c>
      <c r="I1" s="2" t="s">
        <v>888</v>
      </c>
      <c r="J1" t="s">
        <v>887</v>
      </c>
      <c r="K1" t="s">
        <v>4496</v>
      </c>
      <c r="L1" t="s">
        <v>889</v>
      </c>
      <c r="M1" s="2" t="s">
        <v>10</v>
      </c>
      <c r="N1" t="s">
        <v>4490</v>
      </c>
      <c r="O1" t="s">
        <v>0</v>
      </c>
      <c r="P1" t="s">
        <v>4491</v>
      </c>
      <c r="Q1" t="s">
        <v>2</v>
      </c>
      <c r="R1" s="7" t="s">
        <v>4492</v>
      </c>
      <c r="S1" s="7" t="s">
        <v>4493</v>
      </c>
      <c r="T1" t="s">
        <v>4494</v>
      </c>
      <c r="U1" t="s">
        <v>4495</v>
      </c>
    </row>
    <row r="2" spans="1:21">
      <c r="A2">
        <v>1</v>
      </c>
      <c r="B2" s="3" t="s">
        <v>2862</v>
      </c>
      <c r="C2" s="3" t="s">
        <v>2108</v>
      </c>
      <c r="D2" s="3" t="s">
        <v>2866</v>
      </c>
      <c r="E2" s="3" t="s">
        <v>2867</v>
      </c>
      <c r="F2" s="3">
        <v>1</v>
      </c>
      <c r="G2" s="4">
        <v>40513.351388888892</v>
      </c>
      <c r="H2" s="3">
        <v>4</v>
      </c>
      <c r="I2" s="5">
        <v>20</v>
      </c>
      <c r="J2" t="s">
        <v>24</v>
      </c>
      <c r="K2" t="s">
        <v>4497</v>
      </c>
      <c r="L2">
        <v>536365</v>
      </c>
      <c r="M2" s="2" t="s">
        <v>23</v>
      </c>
      <c r="N2">
        <v>2.5499999999999998</v>
      </c>
      <c r="O2" s="6">
        <v>6</v>
      </c>
      <c r="P2" s="3">
        <v>0.2</v>
      </c>
      <c r="Q2" t="s">
        <v>7</v>
      </c>
      <c r="R2" s="7">
        <f>N2*O2</f>
        <v>15.299999999999999</v>
      </c>
      <c r="S2" s="7">
        <f>R2*P2</f>
        <v>3.06</v>
      </c>
      <c r="T2">
        <f>Table1[[#This Row],[Total price]]-Table1[[#This Row],[Discount Amount]]</f>
        <v>12.239999999999998</v>
      </c>
      <c r="U2">
        <f>T2*O2</f>
        <v>73.44</v>
      </c>
    </row>
    <row r="3" spans="1:21">
      <c r="A3">
        <v>2</v>
      </c>
      <c r="B3" s="3" t="s">
        <v>2046</v>
      </c>
      <c r="C3" s="3" t="s">
        <v>1246</v>
      </c>
      <c r="D3" s="3" t="s">
        <v>2866</v>
      </c>
      <c r="E3" s="3" t="s">
        <v>2868</v>
      </c>
      <c r="F3" s="3">
        <v>1</v>
      </c>
      <c r="G3" s="4">
        <v>40513.351388888892</v>
      </c>
      <c r="H3" s="3">
        <v>4</v>
      </c>
      <c r="I3" s="5">
        <v>8</v>
      </c>
      <c r="J3" t="s">
        <v>231</v>
      </c>
      <c r="K3" t="s">
        <v>4497</v>
      </c>
      <c r="L3">
        <v>536365</v>
      </c>
      <c r="M3" s="2">
        <v>71053</v>
      </c>
      <c r="N3">
        <v>3.39</v>
      </c>
      <c r="O3" s="6">
        <v>6</v>
      </c>
      <c r="P3" s="3">
        <v>7.0000000000000007E-2</v>
      </c>
      <c r="Q3" t="s">
        <v>7</v>
      </c>
      <c r="R3" s="7">
        <f t="shared" ref="R3:R66" si="0">N3*O3</f>
        <v>20.34</v>
      </c>
      <c r="S3" s="7">
        <f t="shared" ref="S3:S66" si="1">R3*P3</f>
        <v>1.4238000000000002</v>
      </c>
      <c r="T3">
        <f>Table1[[#This Row],[Total price]]-Table1[[#This Row],[Discount Amount]]</f>
        <v>18.9162</v>
      </c>
      <c r="U3">
        <f t="shared" ref="U3:U66" si="2">T3*O3</f>
        <v>113.49719999999999</v>
      </c>
    </row>
    <row r="4" spans="1:21">
      <c r="A4">
        <v>3</v>
      </c>
      <c r="B4" s="3" t="s">
        <v>2861</v>
      </c>
      <c r="C4" s="3" t="s">
        <v>1366</v>
      </c>
      <c r="D4" s="3" t="s">
        <v>2866</v>
      </c>
      <c r="E4" s="3" t="s">
        <v>2869</v>
      </c>
      <c r="F4" s="3">
        <v>1</v>
      </c>
      <c r="G4" s="4">
        <v>40513.351388888892</v>
      </c>
      <c r="H4" s="3">
        <v>4</v>
      </c>
      <c r="I4" s="5">
        <v>10</v>
      </c>
      <c r="J4" t="s">
        <v>133</v>
      </c>
      <c r="K4" t="s">
        <v>4497</v>
      </c>
      <c r="L4">
        <v>536365</v>
      </c>
      <c r="M4" s="2" t="s">
        <v>132</v>
      </c>
      <c r="N4">
        <v>2.75</v>
      </c>
      <c r="O4" s="6">
        <v>8</v>
      </c>
      <c r="P4" s="3">
        <v>0.05</v>
      </c>
      <c r="Q4" t="s">
        <v>7</v>
      </c>
      <c r="R4" s="7">
        <f t="shared" si="0"/>
        <v>22</v>
      </c>
      <c r="S4" s="7">
        <f t="shared" si="1"/>
        <v>1.1000000000000001</v>
      </c>
      <c r="T4">
        <f>Table1[[#This Row],[Total price]]-Table1[[#This Row],[Discount Amount]]</f>
        <v>20.9</v>
      </c>
      <c r="U4">
        <f t="shared" si="2"/>
        <v>167.2</v>
      </c>
    </row>
    <row r="5" spans="1:21">
      <c r="A5">
        <v>4</v>
      </c>
      <c r="B5" s="3" t="s">
        <v>2860</v>
      </c>
      <c r="C5" s="3" t="s">
        <v>2859</v>
      </c>
      <c r="D5" s="3" t="s">
        <v>2866</v>
      </c>
      <c r="E5" s="3" t="s">
        <v>2870</v>
      </c>
      <c r="F5" s="3">
        <v>1</v>
      </c>
      <c r="G5" s="4">
        <v>40513.351388888892</v>
      </c>
      <c r="H5" s="3">
        <v>4</v>
      </c>
      <c r="I5" s="5">
        <v>16</v>
      </c>
      <c r="J5" t="s">
        <v>442</v>
      </c>
      <c r="K5" t="s">
        <v>4497</v>
      </c>
      <c r="L5">
        <v>536365</v>
      </c>
      <c r="M5" s="2" t="s">
        <v>441</v>
      </c>
      <c r="N5">
        <v>3.39</v>
      </c>
      <c r="O5" s="6">
        <v>6</v>
      </c>
      <c r="P5" s="3">
        <v>0.05</v>
      </c>
      <c r="Q5" t="s">
        <v>7</v>
      </c>
      <c r="R5" s="7">
        <f t="shared" si="0"/>
        <v>20.34</v>
      </c>
      <c r="S5" s="7">
        <f t="shared" si="1"/>
        <v>1.0170000000000001</v>
      </c>
      <c r="T5">
        <f>Table1[[#This Row],[Total price]]-Table1[[#This Row],[Discount Amount]]</f>
        <v>19.323</v>
      </c>
      <c r="U5">
        <f t="shared" si="2"/>
        <v>115.938</v>
      </c>
    </row>
    <row r="6" spans="1:21">
      <c r="A6">
        <v>5</v>
      </c>
      <c r="B6" s="3" t="s">
        <v>2858</v>
      </c>
      <c r="C6" s="3" t="s">
        <v>2857</v>
      </c>
      <c r="D6" s="3" t="s">
        <v>2871</v>
      </c>
      <c r="E6" s="3" t="s">
        <v>2872</v>
      </c>
      <c r="F6" s="3">
        <v>1</v>
      </c>
      <c r="G6" s="4">
        <v>40513.351388888892</v>
      </c>
      <c r="H6" s="3">
        <v>4</v>
      </c>
      <c r="I6" s="5">
        <v>4</v>
      </c>
      <c r="J6" t="s">
        <v>73</v>
      </c>
      <c r="K6" t="s">
        <v>4497</v>
      </c>
      <c r="L6">
        <v>536365</v>
      </c>
      <c r="M6" s="2" t="s">
        <v>72</v>
      </c>
      <c r="N6">
        <v>3.39</v>
      </c>
      <c r="O6" s="6">
        <v>6</v>
      </c>
      <c r="P6" s="3">
        <v>0.2</v>
      </c>
      <c r="Q6" t="s">
        <v>7</v>
      </c>
      <c r="R6" s="7">
        <f t="shared" si="0"/>
        <v>20.34</v>
      </c>
      <c r="S6" s="7">
        <f t="shared" si="1"/>
        <v>4.0680000000000005</v>
      </c>
      <c r="T6">
        <f>Table1[[#This Row],[Total price]]-Table1[[#This Row],[Discount Amount]]</f>
        <v>16.271999999999998</v>
      </c>
      <c r="U6">
        <f t="shared" si="2"/>
        <v>97.631999999999991</v>
      </c>
    </row>
    <row r="7" spans="1:21">
      <c r="A7">
        <v>6</v>
      </c>
      <c r="B7" s="3" t="s">
        <v>2856</v>
      </c>
      <c r="C7" s="3" t="s">
        <v>1624</v>
      </c>
      <c r="D7" s="3" t="s">
        <v>2866</v>
      </c>
      <c r="E7" s="3" t="s">
        <v>2873</v>
      </c>
      <c r="F7" s="3">
        <v>2</v>
      </c>
      <c r="G7" s="4">
        <v>40513.351388888892</v>
      </c>
      <c r="H7" s="3">
        <v>4</v>
      </c>
      <c r="I7" s="5">
        <v>20</v>
      </c>
      <c r="J7" t="s">
        <v>227</v>
      </c>
      <c r="K7" t="s">
        <v>4497</v>
      </c>
      <c r="L7">
        <v>536365</v>
      </c>
      <c r="M7" s="2">
        <v>22752</v>
      </c>
      <c r="N7">
        <v>7.65</v>
      </c>
      <c r="O7" s="6">
        <v>2</v>
      </c>
      <c r="P7" s="3">
        <v>7.0000000000000007E-2</v>
      </c>
      <c r="Q7" t="s">
        <v>7</v>
      </c>
      <c r="R7" s="7">
        <f t="shared" si="0"/>
        <v>15.3</v>
      </c>
      <c r="S7" s="7">
        <f t="shared" si="1"/>
        <v>1.0710000000000002</v>
      </c>
      <c r="T7">
        <f>Table1[[#This Row],[Total price]]-Table1[[#This Row],[Discount Amount]]</f>
        <v>14.229000000000001</v>
      </c>
      <c r="U7">
        <f t="shared" si="2"/>
        <v>28.458000000000002</v>
      </c>
    </row>
    <row r="8" spans="1:21">
      <c r="A8">
        <v>7</v>
      </c>
      <c r="B8" s="3" t="s">
        <v>2803</v>
      </c>
      <c r="C8" s="3" t="s">
        <v>1237</v>
      </c>
      <c r="D8" s="3" t="s">
        <v>2874</v>
      </c>
      <c r="E8" s="3" t="s">
        <v>2875</v>
      </c>
      <c r="F8" s="3">
        <v>2</v>
      </c>
      <c r="G8" s="4">
        <v>40513.351388888892</v>
      </c>
      <c r="H8" s="3">
        <v>4</v>
      </c>
      <c r="I8" s="5">
        <v>16</v>
      </c>
      <c r="J8" t="s">
        <v>437</v>
      </c>
      <c r="K8" t="s">
        <v>4497</v>
      </c>
      <c r="L8">
        <v>536365</v>
      </c>
      <c r="M8" s="2">
        <v>21730</v>
      </c>
      <c r="N8">
        <v>4.25</v>
      </c>
      <c r="O8" s="6">
        <v>6</v>
      </c>
      <c r="P8" s="3">
        <v>0.05</v>
      </c>
      <c r="Q8" t="s">
        <v>7</v>
      </c>
      <c r="R8" s="7">
        <f t="shared" si="0"/>
        <v>25.5</v>
      </c>
      <c r="S8" s="7">
        <f t="shared" si="1"/>
        <v>1.2750000000000001</v>
      </c>
      <c r="T8">
        <f>Table1[[#This Row],[Total price]]-Table1[[#This Row],[Discount Amount]]</f>
        <v>24.225000000000001</v>
      </c>
      <c r="U8">
        <f t="shared" si="2"/>
        <v>145.35000000000002</v>
      </c>
    </row>
    <row r="9" spans="1:21">
      <c r="A9">
        <v>8</v>
      </c>
      <c r="B9" s="3" t="s">
        <v>2855</v>
      </c>
      <c r="C9" s="3" t="s">
        <v>1568</v>
      </c>
      <c r="D9" s="3" t="s">
        <v>2866</v>
      </c>
      <c r="E9" s="3" t="s">
        <v>2876</v>
      </c>
      <c r="F9" s="3">
        <v>3</v>
      </c>
      <c r="G9" s="4">
        <v>40513.352777777778</v>
      </c>
      <c r="H9" s="3">
        <v>4</v>
      </c>
      <c r="I9" s="5">
        <v>3</v>
      </c>
      <c r="J9" t="s">
        <v>28</v>
      </c>
      <c r="K9" t="s">
        <v>4497</v>
      </c>
      <c r="L9">
        <v>536366</v>
      </c>
      <c r="M9" s="2">
        <v>22633</v>
      </c>
      <c r="N9">
        <v>1.85</v>
      </c>
      <c r="O9" s="6">
        <v>6</v>
      </c>
      <c r="P9" s="3">
        <v>0.05</v>
      </c>
      <c r="Q9" t="s">
        <v>7</v>
      </c>
      <c r="R9" s="7">
        <f t="shared" si="0"/>
        <v>11.100000000000001</v>
      </c>
      <c r="S9" s="7">
        <f t="shared" si="1"/>
        <v>0.55500000000000005</v>
      </c>
      <c r="T9">
        <f>Table1[[#This Row],[Total price]]-Table1[[#This Row],[Discount Amount]]</f>
        <v>10.545000000000002</v>
      </c>
      <c r="U9">
        <f t="shared" si="2"/>
        <v>63.27000000000001</v>
      </c>
    </row>
    <row r="10" spans="1:21">
      <c r="A10">
        <v>9</v>
      </c>
      <c r="B10" s="3" t="s">
        <v>1001</v>
      </c>
      <c r="C10" s="3" t="s">
        <v>2854</v>
      </c>
      <c r="D10" s="3" t="s">
        <v>2866</v>
      </c>
      <c r="E10" s="3" t="s">
        <v>2877</v>
      </c>
      <c r="F10" s="3">
        <v>3</v>
      </c>
      <c r="G10" s="4">
        <v>40513.352777777778</v>
      </c>
      <c r="H10" s="3">
        <v>4</v>
      </c>
      <c r="I10" s="5">
        <v>20</v>
      </c>
      <c r="J10" t="s">
        <v>599</v>
      </c>
      <c r="K10" t="s">
        <v>4497</v>
      </c>
      <c r="L10">
        <v>536366</v>
      </c>
      <c r="M10" s="2">
        <v>22632</v>
      </c>
      <c r="N10">
        <v>1.85</v>
      </c>
      <c r="O10" s="6">
        <v>6</v>
      </c>
      <c r="P10" s="3">
        <v>0.05</v>
      </c>
      <c r="Q10" t="s">
        <v>7</v>
      </c>
      <c r="R10" s="7">
        <f t="shared" si="0"/>
        <v>11.100000000000001</v>
      </c>
      <c r="S10" s="7">
        <f t="shared" si="1"/>
        <v>0.55500000000000005</v>
      </c>
      <c r="T10">
        <f>Table1[[#This Row],[Total price]]-Table1[[#This Row],[Discount Amount]]</f>
        <v>10.545000000000002</v>
      </c>
      <c r="U10">
        <f t="shared" si="2"/>
        <v>63.27000000000001</v>
      </c>
    </row>
    <row r="11" spans="1:21">
      <c r="A11">
        <v>10</v>
      </c>
      <c r="B11" s="3" t="s">
        <v>2853</v>
      </c>
      <c r="C11" s="3" t="s">
        <v>1502</v>
      </c>
      <c r="D11" s="3" t="s">
        <v>2866</v>
      </c>
      <c r="E11" s="3" t="s">
        <v>2878</v>
      </c>
      <c r="F11" s="3">
        <v>4</v>
      </c>
      <c r="G11" s="4">
        <v>40513.356944444444</v>
      </c>
      <c r="H11" s="3">
        <v>4</v>
      </c>
      <c r="I11" s="5">
        <v>2</v>
      </c>
      <c r="J11" t="s">
        <v>879</v>
      </c>
      <c r="K11" t="s">
        <v>4497</v>
      </c>
      <c r="L11">
        <v>536368</v>
      </c>
      <c r="M11" s="2">
        <v>22960</v>
      </c>
      <c r="N11">
        <v>4.25</v>
      </c>
      <c r="O11" s="6">
        <v>6</v>
      </c>
      <c r="P11" s="3">
        <v>0.1</v>
      </c>
      <c r="Q11" t="s">
        <v>7</v>
      </c>
      <c r="R11" s="7">
        <f t="shared" si="0"/>
        <v>25.5</v>
      </c>
      <c r="S11" s="7">
        <f t="shared" si="1"/>
        <v>2.5500000000000003</v>
      </c>
      <c r="T11">
        <f>Table1[[#This Row],[Total price]]-Table1[[#This Row],[Discount Amount]]</f>
        <v>22.95</v>
      </c>
      <c r="U11">
        <f t="shared" si="2"/>
        <v>137.69999999999999</v>
      </c>
    </row>
    <row r="12" spans="1:21">
      <c r="A12">
        <v>11</v>
      </c>
      <c r="B12" s="3" t="s">
        <v>2852</v>
      </c>
      <c r="C12" s="3" t="s">
        <v>2851</v>
      </c>
      <c r="D12" s="3" t="s">
        <v>2866</v>
      </c>
      <c r="E12" s="3" t="s">
        <v>2879</v>
      </c>
      <c r="F12" s="3">
        <v>5</v>
      </c>
      <c r="G12" s="4">
        <v>40513.356944444444</v>
      </c>
      <c r="H12" s="3">
        <v>4</v>
      </c>
      <c r="I12" s="5">
        <v>10</v>
      </c>
      <c r="J12" t="s">
        <v>854</v>
      </c>
      <c r="K12" t="s">
        <v>4497</v>
      </c>
      <c r="L12">
        <v>536368</v>
      </c>
      <c r="M12" s="2">
        <v>22913</v>
      </c>
      <c r="N12">
        <v>4.95</v>
      </c>
      <c r="O12" s="6">
        <v>3</v>
      </c>
      <c r="P12" s="3">
        <v>0.05</v>
      </c>
      <c r="Q12" t="s">
        <v>7</v>
      </c>
      <c r="R12" s="7">
        <f t="shared" si="0"/>
        <v>14.850000000000001</v>
      </c>
      <c r="S12" s="7">
        <f t="shared" si="1"/>
        <v>0.74250000000000016</v>
      </c>
      <c r="T12">
        <f>Table1[[#This Row],[Total price]]-Table1[[#This Row],[Discount Amount]]</f>
        <v>14.107500000000002</v>
      </c>
      <c r="U12">
        <f t="shared" si="2"/>
        <v>42.322500000000005</v>
      </c>
    </row>
    <row r="13" spans="1:21">
      <c r="A13">
        <v>12</v>
      </c>
      <c r="B13" s="3" t="s">
        <v>2850</v>
      </c>
      <c r="C13" s="3" t="s">
        <v>1860</v>
      </c>
      <c r="D13" s="3" t="s">
        <v>2880</v>
      </c>
      <c r="E13" s="3" t="s">
        <v>2881</v>
      </c>
      <c r="F13" s="3">
        <v>5</v>
      </c>
      <c r="G13" s="4">
        <v>40513.356944444444</v>
      </c>
      <c r="H13" s="3">
        <v>4</v>
      </c>
      <c r="I13" s="5">
        <v>17</v>
      </c>
      <c r="J13" t="s">
        <v>855</v>
      </c>
      <c r="K13" t="s">
        <v>4497</v>
      </c>
      <c r="L13">
        <v>536368</v>
      </c>
      <c r="M13" s="2">
        <v>22912</v>
      </c>
      <c r="N13">
        <v>4.95</v>
      </c>
      <c r="O13" s="6">
        <v>3</v>
      </c>
      <c r="P13" s="3">
        <v>7.0000000000000007E-2</v>
      </c>
      <c r="Q13" t="s">
        <v>7</v>
      </c>
      <c r="R13" s="7">
        <f t="shared" si="0"/>
        <v>14.850000000000001</v>
      </c>
      <c r="S13" s="7">
        <f t="shared" si="1"/>
        <v>1.0395000000000001</v>
      </c>
      <c r="T13">
        <f>Table1[[#This Row],[Total price]]-Table1[[#This Row],[Discount Amount]]</f>
        <v>13.810500000000001</v>
      </c>
      <c r="U13">
        <f t="shared" si="2"/>
        <v>41.4315</v>
      </c>
    </row>
    <row r="14" spans="1:21">
      <c r="A14">
        <v>13</v>
      </c>
      <c r="B14" s="3" t="s">
        <v>2849</v>
      </c>
      <c r="C14" s="3" t="s">
        <v>2848</v>
      </c>
      <c r="D14" s="3" t="s">
        <v>2866</v>
      </c>
      <c r="E14" s="3" t="s">
        <v>2882</v>
      </c>
      <c r="F14" s="3">
        <v>5</v>
      </c>
      <c r="G14" s="4">
        <v>40513.356944444444</v>
      </c>
      <c r="H14" s="3">
        <v>4</v>
      </c>
      <c r="I14" s="5">
        <v>26</v>
      </c>
      <c r="J14" t="s">
        <v>853</v>
      </c>
      <c r="K14" t="s">
        <v>4497</v>
      </c>
      <c r="L14">
        <v>536368</v>
      </c>
      <c r="M14" s="2">
        <v>22914</v>
      </c>
      <c r="N14">
        <v>4.95</v>
      </c>
      <c r="O14" s="6">
        <v>3</v>
      </c>
      <c r="P14" s="3">
        <v>7.0000000000000007E-2</v>
      </c>
      <c r="Q14" t="s">
        <v>7</v>
      </c>
      <c r="R14" s="7">
        <f t="shared" si="0"/>
        <v>14.850000000000001</v>
      </c>
      <c r="S14" s="7">
        <f t="shared" si="1"/>
        <v>1.0395000000000001</v>
      </c>
      <c r="T14">
        <f>Table1[[#This Row],[Total price]]-Table1[[#This Row],[Discount Amount]]</f>
        <v>13.810500000000001</v>
      </c>
      <c r="U14">
        <f t="shared" si="2"/>
        <v>41.4315</v>
      </c>
    </row>
    <row r="15" spans="1:21">
      <c r="A15">
        <v>14</v>
      </c>
      <c r="B15" s="3" t="s">
        <v>1612</v>
      </c>
      <c r="C15" s="3" t="s">
        <v>1048</v>
      </c>
      <c r="D15" s="3" t="s">
        <v>2866</v>
      </c>
      <c r="E15" s="3" t="s">
        <v>2883</v>
      </c>
      <c r="F15" s="3">
        <v>6</v>
      </c>
      <c r="G15" s="4">
        <v>40513.356944444444</v>
      </c>
      <c r="H15" s="3">
        <v>4</v>
      </c>
      <c r="I15" s="5">
        <v>18</v>
      </c>
      <c r="J15" t="s">
        <v>21</v>
      </c>
      <c r="K15" t="s">
        <v>4497</v>
      </c>
      <c r="L15">
        <v>536367</v>
      </c>
      <c r="M15" s="2">
        <v>84879</v>
      </c>
      <c r="N15">
        <v>1.69</v>
      </c>
      <c r="O15" s="6">
        <v>32</v>
      </c>
      <c r="P15" s="3">
        <v>7.0000000000000007E-2</v>
      </c>
      <c r="Q15" t="s">
        <v>7</v>
      </c>
      <c r="R15" s="7">
        <f t="shared" si="0"/>
        <v>54.08</v>
      </c>
      <c r="S15" s="7">
        <f t="shared" si="1"/>
        <v>3.7856000000000001</v>
      </c>
      <c r="T15">
        <f>Table1[[#This Row],[Total price]]-Table1[[#This Row],[Discount Amount]]</f>
        <v>50.294399999999996</v>
      </c>
      <c r="U15">
        <f t="shared" si="2"/>
        <v>1609.4207999999999</v>
      </c>
    </row>
    <row r="16" spans="1:21">
      <c r="A16">
        <v>15</v>
      </c>
      <c r="B16" s="3" t="s">
        <v>2847</v>
      </c>
      <c r="C16" s="3" t="s">
        <v>1570</v>
      </c>
      <c r="D16" s="3" t="s">
        <v>2866</v>
      </c>
      <c r="E16" s="3" t="s">
        <v>2884</v>
      </c>
      <c r="F16" s="3">
        <v>6</v>
      </c>
      <c r="G16" s="4">
        <v>40513.356944444444</v>
      </c>
      <c r="H16" s="3">
        <v>4</v>
      </c>
      <c r="I16" s="5">
        <v>12</v>
      </c>
      <c r="J16" t="s">
        <v>57</v>
      </c>
      <c r="K16" t="s">
        <v>4497</v>
      </c>
      <c r="L16">
        <v>536367</v>
      </c>
      <c r="M16" s="2">
        <v>22745</v>
      </c>
      <c r="N16">
        <v>2.1</v>
      </c>
      <c r="O16" s="6">
        <v>6</v>
      </c>
      <c r="P16" s="3">
        <v>0.05</v>
      </c>
      <c r="Q16" t="s">
        <v>7</v>
      </c>
      <c r="R16" s="7">
        <f t="shared" si="0"/>
        <v>12.600000000000001</v>
      </c>
      <c r="S16" s="7">
        <f t="shared" si="1"/>
        <v>0.63000000000000012</v>
      </c>
      <c r="T16">
        <f>Table1[[#This Row],[Total price]]-Table1[[#This Row],[Discount Amount]]</f>
        <v>11.97</v>
      </c>
      <c r="U16">
        <f t="shared" si="2"/>
        <v>71.820000000000007</v>
      </c>
    </row>
    <row r="17" spans="1:21">
      <c r="A17">
        <v>16</v>
      </c>
      <c r="B17" s="3" t="s">
        <v>2846</v>
      </c>
      <c r="C17" s="3" t="s">
        <v>1700</v>
      </c>
      <c r="D17" s="3" t="s">
        <v>2885</v>
      </c>
      <c r="E17" s="3" t="s">
        <v>2886</v>
      </c>
      <c r="F17" s="3">
        <v>6</v>
      </c>
      <c r="G17" s="4">
        <v>40513.356944444444</v>
      </c>
      <c r="H17" s="3">
        <v>4</v>
      </c>
      <c r="I17" s="5">
        <v>20</v>
      </c>
      <c r="J17" t="s">
        <v>58</v>
      </c>
      <c r="K17" t="s">
        <v>4497</v>
      </c>
      <c r="L17">
        <v>536367</v>
      </c>
      <c r="M17" s="2">
        <v>22748</v>
      </c>
      <c r="N17">
        <v>2.1</v>
      </c>
      <c r="O17" s="6">
        <v>6</v>
      </c>
      <c r="P17" s="3">
        <v>0.1</v>
      </c>
      <c r="Q17" t="s">
        <v>7</v>
      </c>
      <c r="R17" s="7">
        <f t="shared" si="0"/>
        <v>12.600000000000001</v>
      </c>
      <c r="S17" s="7">
        <f t="shared" si="1"/>
        <v>1.2600000000000002</v>
      </c>
      <c r="T17">
        <f>Table1[[#This Row],[Total price]]-Table1[[#This Row],[Discount Amount]]</f>
        <v>11.340000000000002</v>
      </c>
      <c r="U17">
        <f t="shared" si="2"/>
        <v>68.040000000000006</v>
      </c>
    </row>
    <row r="18" spans="1:21">
      <c r="A18">
        <v>17</v>
      </c>
      <c r="B18" s="3" t="s">
        <v>2845</v>
      </c>
      <c r="C18" s="3" t="s">
        <v>1321</v>
      </c>
      <c r="D18" s="3" t="s">
        <v>2866</v>
      </c>
      <c r="E18" s="3" t="s">
        <v>2887</v>
      </c>
      <c r="F18" s="3">
        <v>6</v>
      </c>
      <c r="G18" s="4">
        <v>40513.356944444444</v>
      </c>
      <c r="H18" s="3">
        <v>4</v>
      </c>
      <c r="I18" s="5">
        <v>3</v>
      </c>
      <c r="J18" t="s">
        <v>228</v>
      </c>
      <c r="K18" t="s">
        <v>4497</v>
      </c>
      <c r="L18">
        <v>536367</v>
      </c>
      <c r="M18" s="2">
        <v>22749</v>
      </c>
      <c r="N18">
        <v>3.75</v>
      </c>
      <c r="O18" s="6">
        <v>8</v>
      </c>
      <c r="P18" s="3">
        <v>7.0000000000000007E-2</v>
      </c>
      <c r="Q18" t="s">
        <v>7</v>
      </c>
      <c r="R18" s="7">
        <f t="shared" si="0"/>
        <v>30</v>
      </c>
      <c r="S18" s="7">
        <f t="shared" si="1"/>
        <v>2.1</v>
      </c>
      <c r="T18">
        <f>Table1[[#This Row],[Total price]]-Table1[[#This Row],[Discount Amount]]</f>
        <v>27.9</v>
      </c>
      <c r="U18">
        <f t="shared" si="2"/>
        <v>223.2</v>
      </c>
    </row>
    <row r="19" spans="1:21">
      <c r="A19">
        <v>18</v>
      </c>
      <c r="B19" s="3" t="s">
        <v>2844</v>
      </c>
      <c r="C19" s="3" t="s">
        <v>1268</v>
      </c>
      <c r="D19" s="3" t="s">
        <v>2866</v>
      </c>
      <c r="E19" s="3" t="s">
        <v>2888</v>
      </c>
      <c r="F19" s="3">
        <v>6</v>
      </c>
      <c r="G19" s="4">
        <v>40513.356944444444</v>
      </c>
      <c r="H19" s="3">
        <v>4</v>
      </c>
      <c r="I19" s="5">
        <v>9</v>
      </c>
      <c r="J19" t="s">
        <v>116</v>
      </c>
      <c r="K19" t="s">
        <v>4497</v>
      </c>
      <c r="L19">
        <v>536367</v>
      </c>
      <c r="M19" s="2">
        <v>22310</v>
      </c>
      <c r="N19">
        <v>1.65</v>
      </c>
      <c r="O19" s="6">
        <v>6</v>
      </c>
      <c r="P19" s="3">
        <v>7.0000000000000007E-2</v>
      </c>
      <c r="Q19" t="s">
        <v>7</v>
      </c>
      <c r="R19" s="7">
        <f t="shared" si="0"/>
        <v>9.8999999999999986</v>
      </c>
      <c r="S19" s="7">
        <f t="shared" si="1"/>
        <v>0.69299999999999995</v>
      </c>
      <c r="T19">
        <f>Table1[[#This Row],[Total price]]-Table1[[#This Row],[Discount Amount]]</f>
        <v>9.206999999999999</v>
      </c>
      <c r="U19">
        <f t="shared" si="2"/>
        <v>55.24199999999999</v>
      </c>
    </row>
    <row r="20" spans="1:21">
      <c r="A20">
        <v>19</v>
      </c>
      <c r="B20" s="3" t="s">
        <v>2843</v>
      </c>
      <c r="C20" s="3" t="s">
        <v>2842</v>
      </c>
      <c r="D20" s="3" t="s">
        <v>2866</v>
      </c>
      <c r="E20" s="3" t="s">
        <v>2889</v>
      </c>
      <c r="F20" s="3">
        <v>7</v>
      </c>
      <c r="G20" s="4">
        <v>40513.356944444444</v>
      </c>
      <c r="H20" s="3">
        <v>4</v>
      </c>
      <c r="I20" s="5">
        <v>15</v>
      </c>
      <c r="J20" t="s">
        <v>574</v>
      </c>
      <c r="K20" t="s">
        <v>4497</v>
      </c>
      <c r="L20">
        <v>536367</v>
      </c>
      <c r="M20" s="2">
        <v>84969</v>
      </c>
      <c r="N20">
        <v>4.25</v>
      </c>
      <c r="O20" s="6">
        <v>6</v>
      </c>
      <c r="P20" s="3">
        <v>7.0000000000000007E-2</v>
      </c>
      <c r="Q20" t="s">
        <v>7</v>
      </c>
      <c r="R20" s="7">
        <f t="shared" si="0"/>
        <v>25.5</v>
      </c>
      <c r="S20" s="7">
        <f t="shared" si="1"/>
        <v>1.7850000000000001</v>
      </c>
      <c r="T20">
        <f>Table1[[#This Row],[Total price]]-Table1[[#This Row],[Discount Amount]]</f>
        <v>23.715</v>
      </c>
      <c r="U20">
        <f t="shared" si="2"/>
        <v>142.29</v>
      </c>
    </row>
    <row r="21" spans="1:21">
      <c r="A21">
        <v>20</v>
      </c>
      <c r="B21" s="3" t="s">
        <v>2463</v>
      </c>
      <c r="C21" s="3" t="s">
        <v>2841</v>
      </c>
      <c r="D21" s="3" t="s">
        <v>2866</v>
      </c>
      <c r="E21" s="3" t="s">
        <v>2890</v>
      </c>
      <c r="F21" s="3">
        <v>7</v>
      </c>
      <c r="G21" s="4">
        <v>40513.356944444444</v>
      </c>
      <c r="H21" s="3">
        <v>4</v>
      </c>
      <c r="I21" s="5">
        <v>3</v>
      </c>
      <c r="J21" t="s">
        <v>59</v>
      </c>
      <c r="K21" t="s">
        <v>4497</v>
      </c>
      <c r="L21">
        <v>536367</v>
      </c>
      <c r="M21" s="2">
        <v>22623</v>
      </c>
      <c r="N21">
        <v>4.95</v>
      </c>
      <c r="O21" s="6">
        <v>3</v>
      </c>
      <c r="P21" s="3">
        <v>0.1</v>
      </c>
      <c r="Q21" t="s">
        <v>7</v>
      </c>
      <c r="R21" s="7">
        <f t="shared" si="0"/>
        <v>14.850000000000001</v>
      </c>
      <c r="S21" s="7">
        <f t="shared" si="1"/>
        <v>1.4850000000000003</v>
      </c>
      <c r="T21">
        <f>Table1[[#This Row],[Total price]]-Table1[[#This Row],[Discount Amount]]</f>
        <v>13.365000000000002</v>
      </c>
      <c r="U21">
        <f t="shared" si="2"/>
        <v>40.095000000000006</v>
      </c>
    </row>
    <row r="22" spans="1:21">
      <c r="A22">
        <v>21</v>
      </c>
      <c r="B22" s="3" t="s">
        <v>2840</v>
      </c>
      <c r="C22" s="3" t="s">
        <v>904</v>
      </c>
      <c r="D22" s="3" t="s">
        <v>2866</v>
      </c>
      <c r="E22" s="3" t="s">
        <v>2891</v>
      </c>
      <c r="F22" s="3">
        <v>7</v>
      </c>
      <c r="G22" s="4">
        <v>40513.356944444444</v>
      </c>
      <c r="H22" s="3">
        <v>4</v>
      </c>
      <c r="I22" s="5">
        <v>17</v>
      </c>
      <c r="J22" t="s">
        <v>84</v>
      </c>
      <c r="K22" t="s">
        <v>4497</v>
      </c>
      <c r="L22">
        <v>536367</v>
      </c>
      <c r="M22" s="2">
        <v>22622</v>
      </c>
      <c r="N22">
        <v>9.9499999999999993</v>
      </c>
      <c r="O22" s="6">
        <v>2</v>
      </c>
      <c r="P22" s="3">
        <v>0.1</v>
      </c>
      <c r="Q22" t="s">
        <v>7</v>
      </c>
      <c r="R22" s="7">
        <f t="shared" si="0"/>
        <v>19.899999999999999</v>
      </c>
      <c r="S22" s="7">
        <f t="shared" si="1"/>
        <v>1.99</v>
      </c>
      <c r="T22">
        <f>Table1[[#This Row],[Total price]]-Table1[[#This Row],[Discount Amount]]</f>
        <v>17.91</v>
      </c>
      <c r="U22">
        <f t="shared" si="2"/>
        <v>35.82</v>
      </c>
    </row>
    <row r="23" spans="1:21">
      <c r="A23">
        <v>22</v>
      </c>
      <c r="B23" s="3" t="s">
        <v>2839</v>
      </c>
      <c r="C23" s="3" t="s">
        <v>2553</v>
      </c>
      <c r="D23" s="3" t="s">
        <v>2866</v>
      </c>
      <c r="E23" s="3" t="s">
        <v>2892</v>
      </c>
      <c r="F23" s="3">
        <v>8</v>
      </c>
      <c r="G23" s="4">
        <v>40513.356944444444</v>
      </c>
      <c r="H23" s="3">
        <v>4</v>
      </c>
      <c r="I23" s="5">
        <v>22</v>
      </c>
      <c r="J23" t="s">
        <v>396</v>
      </c>
      <c r="K23" t="s">
        <v>4497</v>
      </c>
      <c r="L23">
        <v>536367</v>
      </c>
      <c r="M23" s="2">
        <v>21754</v>
      </c>
      <c r="N23">
        <v>5.95</v>
      </c>
      <c r="O23" s="6">
        <v>3</v>
      </c>
      <c r="P23" s="3">
        <v>0.05</v>
      </c>
      <c r="Q23" t="s">
        <v>7</v>
      </c>
      <c r="R23" s="7">
        <f t="shared" si="0"/>
        <v>17.850000000000001</v>
      </c>
      <c r="S23" s="7">
        <f t="shared" si="1"/>
        <v>0.89250000000000007</v>
      </c>
      <c r="T23">
        <f>Table1[[#This Row],[Total price]]-Table1[[#This Row],[Discount Amount]]</f>
        <v>16.957500000000003</v>
      </c>
      <c r="U23">
        <f t="shared" si="2"/>
        <v>50.872500000000009</v>
      </c>
    </row>
    <row r="24" spans="1:21">
      <c r="A24">
        <v>23</v>
      </c>
      <c r="B24" s="3" t="s">
        <v>2838</v>
      </c>
      <c r="C24" s="3" t="s">
        <v>2837</v>
      </c>
      <c r="D24" s="3" t="s">
        <v>2866</v>
      </c>
      <c r="E24" s="3" t="s">
        <v>2893</v>
      </c>
      <c r="F24" s="3">
        <v>8</v>
      </c>
      <c r="G24" s="4">
        <v>40513.356944444444</v>
      </c>
      <c r="H24" s="3">
        <v>4</v>
      </c>
      <c r="I24" s="5">
        <v>20</v>
      </c>
      <c r="J24" t="s">
        <v>332</v>
      </c>
      <c r="K24" t="s">
        <v>4497</v>
      </c>
      <c r="L24">
        <v>536367</v>
      </c>
      <c r="M24" s="2">
        <v>21755</v>
      </c>
      <c r="N24">
        <v>5.95</v>
      </c>
      <c r="O24" s="6">
        <v>3</v>
      </c>
      <c r="P24" s="3">
        <v>7.0000000000000007E-2</v>
      </c>
      <c r="Q24" t="s">
        <v>7</v>
      </c>
      <c r="R24" s="7">
        <f t="shared" si="0"/>
        <v>17.850000000000001</v>
      </c>
      <c r="S24" s="7">
        <f t="shared" si="1"/>
        <v>1.2495000000000003</v>
      </c>
      <c r="T24">
        <f>Table1[[#This Row],[Total price]]-Table1[[#This Row],[Discount Amount]]</f>
        <v>16.6005</v>
      </c>
      <c r="U24">
        <f t="shared" si="2"/>
        <v>49.801500000000004</v>
      </c>
    </row>
    <row r="25" spans="1:21">
      <c r="A25">
        <v>24</v>
      </c>
      <c r="B25" s="3" t="s">
        <v>1522</v>
      </c>
      <c r="C25" s="3" t="s">
        <v>2836</v>
      </c>
      <c r="D25" s="3" t="s">
        <v>2866</v>
      </c>
      <c r="E25" s="3" t="s">
        <v>2894</v>
      </c>
      <c r="F25" s="3">
        <v>9</v>
      </c>
      <c r="G25" s="4">
        <v>40513.356944444444</v>
      </c>
      <c r="H25" s="3">
        <v>4</v>
      </c>
      <c r="I25" s="5">
        <v>7</v>
      </c>
      <c r="J25" t="s">
        <v>80</v>
      </c>
      <c r="K25" t="s">
        <v>4497</v>
      </c>
      <c r="L25">
        <v>536367</v>
      </c>
      <c r="M25" s="2">
        <v>21777</v>
      </c>
      <c r="N25">
        <v>7.95</v>
      </c>
      <c r="O25" s="6">
        <v>4</v>
      </c>
      <c r="P25" s="3">
        <v>0.1</v>
      </c>
      <c r="Q25" t="s">
        <v>7</v>
      </c>
      <c r="R25" s="7">
        <f t="shared" si="0"/>
        <v>31.8</v>
      </c>
      <c r="S25" s="7">
        <f t="shared" si="1"/>
        <v>3.18</v>
      </c>
      <c r="T25">
        <f>Table1[[#This Row],[Total price]]-Table1[[#This Row],[Discount Amount]]</f>
        <v>28.62</v>
      </c>
      <c r="U25">
        <f t="shared" si="2"/>
        <v>114.48</v>
      </c>
    </row>
    <row r="26" spans="1:21">
      <c r="A26">
        <v>25</v>
      </c>
      <c r="B26" s="3" t="s">
        <v>2835</v>
      </c>
      <c r="C26" s="3" t="s">
        <v>2834</v>
      </c>
      <c r="D26" s="3" t="s">
        <v>2866</v>
      </c>
      <c r="E26" s="3" t="s">
        <v>2895</v>
      </c>
      <c r="F26" s="3">
        <v>10</v>
      </c>
      <c r="G26" s="4">
        <v>40513.356944444444</v>
      </c>
      <c r="H26" s="3">
        <v>4</v>
      </c>
      <c r="I26" s="5">
        <v>14</v>
      </c>
      <c r="J26" t="s">
        <v>643</v>
      </c>
      <c r="K26" t="s">
        <v>4497</v>
      </c>
      <c r="L26">
        <v>536367</v>
      </c>
      <c r="M26" s="2">
        <v>48187</v>
      </c>
      <c r="N26">
        <v>7.95</v>
      </c>
      <c r="O26" s="6">
        <v>4</v>
      </c>
      <c r="P26" s="3">
        <v>0.1</v>
      </c>
      <c r="Q26" t="s">
        <v>7</v>
      </c>
      <c r="R26" s="7">
        <f t="shared" si="0"/>
        <v>31.8</v>
      </c>
      <c r="S26" s="7">
        <f t="shared" si="1"/>
        <v>3.18</v>
      </c>
      <c r="T26">
        <f>Table1[[#This Row],[Total price]]-Table1[[#This Row],[Discount Amount]]</f>
        <v>28.62</v>
      </c>
      <c r="U26">
        <f t="shared" si="2"/>
        <v>114.48</v>
      </c>
    </row>
    <row r="27" spans="1:21">
      <c r="A27">
        <v>26</v>
      </c>
      <c r="B27" s="3" t="s">
        <v>2833</v>
      </c>
      <c r="C27" s="3" t="s">
        <v>1409</v>
      </c>
      <c r="D27" s="3" t="s">
        <v>2896</v>
      </c>
      <c r="E27" s="3" t="s">
        <v>2897</v>
      </c>
      <c r="F27" s="3">
        <v>11</v>
      </c>
      <c r="G27" s="4">
        <v>40513.357638888891</v>
      </c>
      <c r="H27" s="3">
        <v>4</v>
      </c>
      <c r="I27" s="5">
        <v>8</v>
      </c>
      <c r="J27" t="s">
        <v>798</v>
      </c>
      <c r="K27" t="s">
        <v>4497</v>
      </c>
      <c r="L27">
        <v>536369</v>
      </c>
      <c r="M27" s="2">
        <v>21756</v>
      </c>
      <c r="N27">
        <v>5.95</v>
      </c>
      <c r="O27" s="6">
        <v>3</v>
      </c>
      <c r="P27" s="3">
        <v>0.05</v>
      </c>
      <c r="Q27" t="s">
        <v>7</v>
      </c>
      <c r="R27" s="7">
        <f t="shared" si="0"/>
        <v>17.850000000000001</v>
      </c>
      <c r="S27" s="7">
        <f t="shared" si="1"/>
        <v>0.89250000000000007</v>
      </c>
      <c r="T27">
        <f>Table1[[#This Row],[Total price]]-Table1[[#This Row],[Discount Amount]]</f>
        <v>16.957500000000003</v>
      </c>
      <c r="U27">
        <f t="shared" si="2"/>
        <v>50.872500000000009</v>
      </c>
    </row>
    <row r="28" spans="1:21">
      <c r="A28">
        <v>27</v>
      </c>
      <c r="B28" s="3" t="s">
        <v>2832</v>
      </c>
      <c r="C28" s="3" t="s">
        <v>2664</v>
      </c>
      <c r="D28" s="3" t="s">
        <v>2866</v>
      </c>
      <c r="E28" s="3" t="s">
        <v>2898</v>
      </c>
      <c r="F28" s="3">
        <v>11</v>
      </c>
      <c r="G28" s="4">
        <v>40513.364583333336</v>
      </c>
      <c r="H28" s="3">
        <v>1</v>
      </c>
      <c r="I28" s="5">
        <v>22</v>
      </c>
      <c r="J28" t="s">
        <v>109</v>
      </c>
      <c r="K28" t="s">
        <v>4500</v>
      </c>
      <c r="L28">
        <v>536370</v>
      </c>
      <c r="M28" s="2">
        <v>22728</v>
      </c>
      <c r="N28">
        <v>3.75</v>
      </c>
      <c r="O28" s="6">
        <v>24</v>
      </c>
      <c r="P28" s="3">
        <v>0.1</v>
      </c>
      <c r="Q28" t="s">
        <v>7</v>
      </c>
      <c r="R28" s="7">
        <f t="shared" si="0"/>
        <v>90</v>
      </c>
      <c r="S28" s="7">
        <f t="shared" si="1"/>
        <v>9</v>
      </c>
      <c r="T28">
        <f>Table1[[#This Row],[Total price]]-Table1[[#This Row],[Discount Amount]]</f>
        <v>81</v>
      </c>
      <c r="U28">
        <f t="shared" si="2"/>
        <v>1944</v>
      </c>
    </row>
    <row r="29" spans="1:21">
      <c r="A29">
        <v>28</v>
      </c>
      <c r="B29" s="3" t="s">
        <v>2831</v>
      </c>
      <c r="C29" s="3" t="s">
        <v>1736</v>
      </c>
      <c r="D29" s="3" t="s">
        <v>2866</v>
      </c>
      <c r="E29" s="3" t="s">
        <v>2899</v>
      </c>
      <c r="F29" s="3">
        <v>11</v>
      </c>
      <c r="G29" s="4">
        <v>40513.364583333336</v>
      </c>
      <c r="H29" s="3">
        <v>1</v>
      </c>
      <c r="I29" s="5">
        <v>16</v>
      </c>
      <c r="J29" t="s">
        <v>112</v>
      </c>
      <c r="K29" t="s">
        <v>4500</v>
      </c>
      <c r="L29">
        <v>536370</v>
      </c>
      <c r="M29" s="2">
        <v>22727</v>
      </c>
      <c r="N29">
        <v>3.75</v>
      </c>
      <c r="O29" s="6">
        <v>24</v>
      </c>
      <c r="P29" s="3">
        <v>0.2</v>
      </c>
      <c r="Q29" t="s">
        <v>7</v>
      </c>
      <c r="R29" s="7">
        <f t="shared" si="0"/>
        <v>90</v>
      </c>
      <c r="S29" s="7">
        <f t="shared" si="1"/>
        <v>18</v>
      </c>
      <c r="T29">
        <f>Table1[[#This Row],[Total price]]-Table1[[#This Row],[Discount Amount]]</f>
        <v>72</v>
      </c>
      <c r="U29">
        <f t="shared" si="2"/>
        <v>1728</v>
      </c>
    </row>
    <row r="30" spans="1:21">
      <c r="A30">
        <v>29</v>
      </c>
      <c r="B30" s="3" t="s">
        <v>2830</v>
      </c>
      <c r="C30" s="3" t="s">
        <v>2829</v>
      </c>
      <c r="D30" s="3" t="s">
        <v>2866</v>
      </c>
      <c r="E30" s="3" t="s">
        <v>2900</v>
      </c>
      <c r="F30" s="3">
        <v>12</v>
      </c>
      <c r="G30" s="4">
        <v>40513.364583333336</v>
      </c>
      <c r="H30" s="3">
        <v>1</v>
      </c>
      <c r="I30" s="5">
        <v>4</v>
      </c>
      <c r="J30" t="s">
        <v>113</v>
      </c>
      <c r="K30" t="s">
        <v>4500</v>
      </c>
      <c r="L30">
        <v>536370</v>
      </c>
      <c r="M30" s="2">
        <v>22726</v>
      </c>
      <c r="N30">
        <v>3.75</v>
      </c>
      <c r="O30" s="6">
        <v>12</v>
      </c>
      <c r="P30" s="3">
        <v>0.1</v>
      </c>
      <c r="Q30" t="s">
        <v>7</v>
      </c>
      <c r="R30" s="7">
        <f t="shared" si="0"/>
        <v>45</v>
      </c>
      <c r="S30" s="7">
        <f t="shared" si="1"/>
        <v>4.5</v>
      </c>
      <c r="T30">
        <f>Table1[[#This Row],[Total price]]-Table1[[#This Row],[Discount Amount]]</f>
        <v>40.5</v>
      </c>
      <c r="U30">
        <f t="shared" si="2"/>
        <v>486</v>
      </c>
    </row>
    <row r="31" spans="1:21">
      <c r="A31">
        <v>30</v>
      </c>
      <c r="B31" s="3" t="s">
        <v>901</v>
      </c>
      <c r="C31" s="3" t="s">
        <v>1430</v>
      </c>
      <c r="D31" s="3" t="s">
        <v>2866</v>
      </c>
      <c r="E31" s="3" t="s">
        <v>2901</v>
      </c>
      <c r="F31" s="3">
        <v>12</v>
      </c>
      <c r="G31" s="4">
        <v>40513.364583333336</v>
      </c>
      <c r="H31" s="3">
        <v>1</v>
      </c>
      <c r="I31" s="5">
        <v>11</v>
      </c>
      <c r="J31" t="s">
        <v>616</v>
      </c>
      <c r="K31" t="s">
        <v>4500</v>
      </c>
      <c r="L31">
        <v>536370</v>
      </c>
      <c r="M31" s="2">
        <v>21724</v>
      </c>
      <c r="N31">
        <v>0.85</v>
      </c>
      <c r="O31" s="6">
        <v>12</v>
      </c>
      <c r="P31" s="3">
        <v>0.05</v>
      </c>
      <c r="Q31" t="s">
        <v>7</v>
      </c>
      <c r="R31" s="7">
        <f t="shared" si="0"/>
        <v>10.199999999999999</v>
      </c>
      <c r="S31" s="7">
        <f t="shared" si="1"/>
        <v>0.51</v>
      </c>
      <c r="T31">
        <f>Table1[[#This Row],[Total price]]-Table1[[#This Row],[Discount Amount]]</f>
        <v>9.69</v>
      </c>
      <c r="U31">
        <f t="shared" si="2"/>
        <v>116.28</v>
      </c>
    </row>
    <row r="32" spans="1:21">
      <c r="A32">
        <v>31</v>
      </c>
      <c r="B32" s="3" t="s">
        <v>2828</v>
      </c>
      <c r="C32" s="3" t="s">
        <v>2827</v>
      </c>
      <c r="D32" s="3" t="s">
        <v>2902</v>
      </c>
      <c r="E32" s="3" t="s">
        <v>2903</v>
      </c>
      <c r="F32" s="3">
        <v>13</v>
      </c>
      <c r="G32" s="4">
        <v>40513.364583333336</v>
      </c>
      <c r="H32" s="3">
        <v>1</v>
      </c>
      <c r="I32" s="5">
        <v>13</v>
      </c>
      <c r="J32" t="s">
        <v>506</v>
      </c>
      <c r="K32" t="s">
        <v>4500</v>
      </c>
      <c r="L32">
        <v>536370</v>
      </c>
      <c r="M32" s="2">
        <v>21883</v>
      </c>
      <c r="N32">
        <v>0.65</v>
      </c>
      <c r="O32" s="6">
        <v>24</v>
      </c>
      <c r="P32" s="3">
        <v>0.1</v>
      </c>
      <c r="Q32" t="s">
        <v>7</v>
      </c>
      <c r="R32" s="7">
        <f t="shared" si="0"/>
        <v>15.600000000000001</v>
      </c>
      <c r="S32" s="7">
        <f t="shared" si="1"/>
        <v>1.5600000000000003</v>
      </c>
      <c r="T32">
        <f>Table1[[#This Row],[Total price]]-Table1[[#This Row],[Discount Amount]]</f>
        <v>14.040000000000001</v>
      </c>
      <c r="U32">
        <f t="shared" si="2"/>
        <v>336.96000000000004</v>
      </c>
    </row>
    <row r="33" spans="1:21">
      <c r="A33">
        <v>32</v>
      </c>
      <c r="B33" s="3" t="s">
        <v>2826</v>
      </c>
      <c r="C33" s="3" t="s">
        <v>2275</v>
      </c>
      <c r="D33" s="3" t="s">
        <v>2866</v>
      </c>
      <c r="E33" s="3" t="s">
        <v>2904</v>
      </c>
      <c r="F33" s="3">
        <v>13</v>
      </c>
      <c r="G33" s="4">
        <v>40513.364583333336</v>
      </c>
      <c r="H33" s="3">
        <v>1</v>
      </c>
      <c r="I33" s="5">
        <v>17</v>
      </c>
      <c r="J33" t="s">
        <v>224</v>
      </c>
      <c r="K33" t="s">
        <v>4500</v>
      </c>
      <c r="L33">
        <v>536370</v>
      </c>
      <c r="M33" s="2">
        <v>10002</v>
      </c>
      <c r="N33">
        <v>0.85</v>
      </c>
      <c r="O33" s="6">
        <v>48</v>
      </c>
      <c r="P33" s="3">
        <v>0.05</v>
      </c>
      <c r="Q33" t="s">
        <v>7</v>
      </c>
      <c r="R33" s="7">
        <f t="shared" si="0"/>
        <v>40.799999999999997</v>
      </c>
      <c r="S33" s="7">
        <f t="shared" si="1"/>
        <v>2.04</v>
      </c>
      <c r="T33">
        <f>Table1[[#This Row],[Total price]]-Table1[[#This Row],[Discount Amount]]</f>
        <v>38.76</v>
      </c>
      <c r="U33">
        <f t="shared" si="2"/>
        <v>1860.48</v>
      </c>
    </row>
    <row r="34" spans="1:21">
      <c r="A34">
        <v>33</v>
      </c>
      <c r="B34" s="3" t="s">
        <v>2177</v>
      </c>
      <c r="C34" s="3" t="s">
        <v>2178</v>
      </c>
      <c r="D34" s="3" t="s">
        <v>2866</v>
      </c>
      <c r="E34" s="3" t="s">
        <v>2905</v>
      </c>
      <c r="F34" s="3">
        <v>13</v>
      </c>
      <c r="G34" s="4">
        <v>40513.364583333336</v>
      </c>
      <c r="H34" s="3">
        <v>1</v>
      </c>
      <c r="I34" s="5">
        <v>20</v>
      </c>
      <c r="J34" t="s">
        <v>83</v>
      </c>
      <c r="K34" t="s">
        <v>4500</v>
      </c>
      <c r="L34">
        <v>536370</v>
      </c>
      <c r="M34" s="2">
        <v>21791</v>
      </c>
      <c r="N34">
        <v>1.25</v>
      </c>
      <c r="O34" s="6">
        <v>24</v>
      </c>
      <c r="P34" s="3">
        <v>0.1</v>
      </c>
      <c r="Q34" t="s">
        <v>7</v>
      </c>
      <c r="R34" s="7">
        <f t="shared" si="0"/>
        <v>30</v>
      </c>
      <c r="S34" s="7">
        <f t="shared" si="1"/>
        <v>3</v>
      </c>
      <c r="T34">
        <f>Table1[[#This Row],[Total price]]-Table1[[#This Row],[Discount Amount]]</f>
        <v>27</v>
      </c>
      <c r="U34">
        <f t="shared" si="2"/>
        <v>648</v>
      </c>
    </row>
    <row r="35" spans="1:21">
      <c r="A35">
        <v>34</v>
      </c>
      <c r="B35" s="3" t="s">
        <v>1878</v>
      </c>
      <c r="C35" s="3" t="s">
        <v>2825</v>
      </c>
      <c r="D35" s="3" t="s">
        <v>2866</v>
      </c>
      <c r="E35" s="3" t="s">
        <v>2906</v>
      </c>
      <c r="F35" s="3">
        <v>13</v>
      </c>
      <c r="G35" s="4">
        <v>40513.364583333336</v>
      </c>
      <c r="H35" s="3">
        <v>1</v>
      </c>
      <c r="I35" s="5">
        <v>16</v>
      </c>
      <c r="J35" t="s">
        <v>196</v>
      </c>
      <c r="K35" t="s">
        <v>4500</v>
      </c>
      <c r="L35">
        <v>536370</v>
      </c>
      <c r="M35" s="2">
        <v>21035</v>
      </c>
      <c r="N35">
        <v>2.95</v>
      </c>
      <c r="O35" s="6">
        <v>18</v>
      </c>
      <c r="P35" s="3">
        <v>0.05</v>
      </c>
      <c r="Q35" t="s">
        <v>7</v>
      </c>
      <c r="R35" s="7">
        <f t="shared" si="0"/>
        <v>53.1</v>
      </c>
      <c r="S35" s="7">
        <f t="shared" si="1"/>
        <v>2.6550000000000002</v>
      </c>
      <c r="T35">
        <f>Table1[[#This Row],[Total price]]-Table1[[#This Row],[Discount Amount]]</f>
        <v>50.445</v>
      </c>
      <c r="U35">
        <f t="shared" si="2"/>
        <v>908.01</v>
      </c>
    </row>
    <row r="36" spans="1:21">
      <c r="A36">
        <v>35</v>
      </c>
      <c r="B36" s="3" t="s">
        <v>2824</v>
      </c>
      <c r="C36" s="3" t="s">
        <v>942</v>
      </c>
      <c r="D36" s="3" t="s">
        <v>2866</v>
      </c>
      <c r="E36" s="3" t="s">
        <v>2907</v>
      </c>
      <c r="F36" s="3">
        <v>14</v>
      </c>
      <c r="G36" s="4">
        <v>40513.364583333336</v>
      </c>
      <c r="H36" s="3">
        <v>2</v>
      </c>
      <c r="I36" s="5">
        <v>6</v>
      </c>
      <c r="J36" t="s">
        <v>156</v>
      </c>
      <c r="K36" t="s">
        <v>4500</v>
      </c>
      <c r="L36">
        <v>536370</v>
      </c>
      <c r="M36" s="2">
        <v>22326</v>
      </c>
      <c r="N36">
        <v>2.95</v>
      </c>
      <c r="O36" s="6">
        <v>24</v>
      </c>
      <c r="P36" s="3">
        <v>7.0000000000000007E-2</v>
      </c>
      <c r="Q36" t="s">
        <v>7</v>
      </c>
      <c r="R36" s="7">
        <f t="shared" si="0"/>
        <v>70.800000000000011</v>
      </c>
      <c r="S36" s="7">
        <f t="shared" si="1"/>
        <v>4.9560000000000013</v>
      </c>
      <c r="T36">
        <f>Table1[[#This Row],[Total price]]-Table1[[#This Row],[Discount Amount]]</f>
        <v>65.844000000000008</v>
      </c>
      <c r="U36">
        <f t="shared" si="2"/>
        <v>1580.2560000000003</v>
      </c>
    </row>
    <row r="37" spans="1:21">
      <c r="A37">
        <v>36</v>
      </c>
      <c r="B37" s="3" t="s">
        <v>2823</v>
      </c>
      <c r="C37" s="3" t="s">
        <v>1599</v>
      </c>
      <c r="D37" s="3" t="s">
        <v>2866</v>
      </c>
      <c r="E37" s="3" t="s">
        <v>2908</v>
      </c>
      <c r="F37" s="3">
        <v>15</v>
      </c>
      <c r="G37" s="4">
        <v>40513.364583333336</v>
      </c>
      <c r="H37" s="3">
        <v>2</v>
      </c>
      <c r="I37" s="5">
        <v>12</v>
      </c>
      <c r="J37" t="s">
        <v>482</v>
      </c>
      <c r="K37" t="s">
        <v>4500</v>
      </c>
      <c r="L37">
        <v>536370</v>
      </c>
      <c r="M37" s="2">
        <v>22629</v>
      </c>
      <c r="N37">
        <v>1.95</v>
      </c>
      <c r="O37" s="6">
        <v>24</v>
      </c>
      <c r="P37" s="3">
        <v>7.0000000000000007E-2</v>
      </c>
      <c r="Q37" t="s">
        <v>7</v>
      </c>
      <c r="R37" s="7">
        <f t="shared" si="0"/>
        <v>46.8</v>
      </c>
      <c r="S37" s="7">
        <f t="shared" si="1"/>
        <v>3.2760000000000002</v>
      </c>
      <c r="T37">
        <f>Table1[[#This Row],[Total price]]-Table1[[#This Row],[Discount Amount]]</f>
        <v>43.523999999999994</v>
      </c>
      <c r="U37">
        <f t="shared" si="2"/>
        <v>1044.5759999999998</v>
      </c>
    </row>
    <row r="38" spans="1:21">
      <c r="A38">
        <v>37</v>
      </c>
      <c r="B38" s="3" t="s">
        <v>2822</v>
      </c>
      <c r="C38" s="3" t="s">
        <v>2821</v>
      </c>
      <c r="D38" s="3" t="s">
        <v>2866</v>
      </c>
      <c r="E38" s="3" t="s">
        <v>2909</v>
      </c>
      <c r="F38" s="3">
        <v>15</v>
      </c>
      <c r="G38" s="4">
        <v>40513.364583333336</v>
      </c>
      <c r="H38" s="3">
        <v>2</v>
      </c>
      <c r="I38" s="5">
        <v>8</v>
      </c>
      <c r="J38" t="s">
        <v>163</v>
      </c>
      <c r="K38" t="s">
        <v>4500</v>
      </c>
      <c r="L38">
        <v>536370</v>
      </c>
      <c r="M38" s="2">
        <v>22659</v>
      </c>
      <c r="N38">
        <v>1.95</v>
      </c>
      <c r="O38" s="6">
        <v>24</v>
      </c>
      <c r="P38" s="3">
        <v>7.0000000000000007E-2</v>
      </c>
      <c r="Q38" t="s">
        <v>7</v>
      </c>
      <c r="R38" s="7">
        <f t="shared" si="0"/>
        <v>46.8</v>
      </c>
      <c r="S38" s="7">
        <f t="shared" si="1"/>
        <v>3.2760000000000002</v>
      </c>
      <c r="T38">
        <f>Table1[[#This Row],[Total price]]-Table1[[#This Row],[Discount Amount]]</f>
        <v>43.523999999999994</v>
      </c>
      <c r="U38">
        <f t="shared" si="2"/>
        <v>1044.5759999999998</v>
      </c>
    </row>
    <row r="39" spans="1:21">
      <c r="A39">
        <v>38</v>
      </c>
      <c r="B39" s="3" t="s">
        <v>2820</v>
      </c>
      <c r="C39" s="3" t="s">
        <v>1882</v>
      </c>
      <c r="D39" s="3" t="s">
        <v>2866</v>
      </c>
      <c r="E39" s="3" t="s">
        <v>2910</v>
      </c>
      <c r="F39" s="3">
        <v>15</v>
      </c>
      <c r="G39" s="4">
        <v>40513.364583333336</v>
      </c>
      <c r="H39" s="3">
        <v>2</v>
      </c>
      <c r="I39" s="5">
        <v>18</v>
      </c>
      <c r="J39" t="s">
        <v>171</v>
      </c>
      <c r="K39" t="s">
        <v>4500</v>
      </c>
      <c r="L39">
        <v>536370</v>
      </c>
      <c r="M39" s="2">
        <v>22631</v>
      </c>
      <c r="N39">
        <v>1.95</v>
      </c>
      <c r="O39" s="6">
        <v>24</v>
      </c>
      <c r="P39" s="3">
        <v>0.05</v>
      </c>
      <c r="Q39" t="s">
        <v>7</v>
      </c>
      <c r="R39" s="7">
        <f t="shared" si="0"/>
        <v>46.8</v>
      </c>
      <c r="S39" s="7">
        <f t="shared" si="1"/>
        <v>2.34</v>
      </c>
      <c r="T39">
        <f>Table1[[#This Row],[Total price]]-Table1[[#This Row],[Discount Amount]]</f>
        <v>44.459999999999994</v>
      </c>
      <c r="U39">
        <f t="shared" si="2"/>
        <v>1067.04</v>
      </c>
    </row>
    <row r="40" spans="1:21">
      <c r="A40">
        <v>39</v>
      </c>
      <c r="B40" s="3" t="s">
        <v>2819</v>
      </c>
      <c r="C40" s="3" t="s">
        <v>2818</v>
      </c>
      <c r="D40" s="3" t="s">
        <v>2911</v>
      </c>
      <c r="E40" s="3" t="s">
        <v>2912</v>
      </c>
      <c r="F40" s="3">
        <v>15</v>
      </c>
      <c r="G40" s="4">
        <v>40513.364583333336</v>
      </c>
      <c r="H40" s="3">
        <v>2</v>
      </c>
      <c r="I40" s="5">
        <v>23</v>
      </c>
      <c r="J40" t="s">
        <v>558</v>
      </c>
      <c r="K40" t="s">
        <v>4500</v>
      </c>
      <c r="L40">
        <v>536370</v>
      </c>
      <c r="M40" s="2">
        <v>22661</v>
      </c>
      <c r="N40">
        <v>0.85</v>
      </c>
      <c r="O40" s="6">
        <v>20</v>
      </c>
      <c r="P40" s="3">
        <v>0.2</v>
      </c>
      <c r="Q40" t="s">
        <v>7</v>
      </c>
      <c r="R40" s="7">
        <f t="shared" si="0"/>
        <v>17</v>
      </c>
      <c r="S40" s="7">
        <f t="shared" si="1"/>
        <v>3.4000000000000004</v>
      </c>
      <c r="T40">
        <f>Table1[[#This Row],[Total price]]-Table1[[#This Row],[Discount Amount]]</f>
        <v>13.6</v>
      </c>
      <c r="U40">
        <f t="shared" si="2"/>
        <v>272</v>
      </c>
    </row>
    <row r="41" spans="1:21">
      <c r="A41">
        <v>40</v>
      </c>
      <c r="B41" s="3" t="s">
        <v>2817</v>
      </c>
      <c r="C41" s="3" t="s">
        <v>2816</v>
      </c>
      <c r="D41" s="3" t="s">
        <v>2866</v>
      </c>
      <c r="E41" s="3" t="s">
        <v>2913</v>
      </c>
      <c r="F41" s="3">
        <v>16</v>
      </c>
      <c r="G41" s="4">
        <v>40513.364583333336</v>
      </c>
      <c r="H41" s="3">
        <v>2</v>
      </c>
      <c r="I41" s="5">
        <v>8</v>
      </c>
      <c r="J41" t="s">
        <v>87</v>
      </c>
      <c r="K41" t="s">
        <v>4500</v>
      </c>
      <c r="L41">
        <v>536370</v>
      </c>
      <c r="M41" s="2">
        <v>21731</v>
      </c>
      <c r="N41">
        <v>1.65</v>
      </c>
      <c r="O41" s="6">
        <v>24</v>
      </c>
      <c r="P41" s="3">
        <v>0.2</v>
      </c>
      <c r="Q41" t="s">
        <v>7</v>
      </c>
      <c r="R41" s="7">
        <f t="shared" si="0"/>
        <v>39.599999999999994</v>
      </c>
      <c r="S41" s="7">
        <f t="shared" si="1"/>
        <v>7.919999999999999</v>
      </c>
      <c r="T41">
        <f>Table1[[#This Row],[Total price]]-Table1[[#This Row],[Discount Amount]]</f>
        <v>31.679999999999996</v>
      </c>
      <c r="U41">
        <f t="shared" si="2"/>
        <v>760.31999999999994</v>
      </c>
    </row>
    <row r="42" spans="1:21">
      <c r="A42">
        <v>41</v>
      </c>
      <c r="B42" s="3" t="s">
        <v>2815</v>
      </c>
      <c r="C42" s="3" t="s">
        <v>2814</v>
      </c>
      <c r="D42" s="3" t="s">
        <v>2866</v>
      </c>
      <c r="E42" s="3" t="s">
        <v>2914</v>
      </c>
      <c r="F42" s="3">
        <v>16</v>
      </c>
      <c r="G42" s="4">
        <v>40513.364583333336</v>
      </c>
      <c r="H42" s="3">
        <v>2</v>
      </c>
      <c r="I42" s="5">
        <v>21</v>
      </c>
      <c r="J42" t="s">
        <v>513</v>
      </c>
      <c r="K42" t="s">
        <v>4500</v>
      </c>
      <c r="L42">
        <v>536370</v>
      </c>
      <c r="M42" s="2">
        <v>22900</v>
      </c>
      <c r="N42">
        <v>2.95</v>
      </c>
      <c r="O42" s="6">
        <v>24</v>
      </c>
      <c r="P42" s="3">
        <v>0.05</v>
      </c>
      <c r="Q42" t="s">
        <v>7</v>
      </c>
      <c r="R42" s="7">
        <f t="shared" si="0"/>
        <v>70.800000000000011</v>
      </c>
      <c r="S42" s="7">
        <f t="shared" si="1"/>
        <v>3.5400000000000009</v>
      </c>
      <c r="T42">
        <f>Table1[[#This Row],[Total price]]-Table1[[#This Row],[Discount Amount]]</f>
        <v>67.260000000000005</v>
      </c>
      <c r="U42">
        <f t="shared" si="2"/>
        <v>1614.2400000000002</v>
      </c>
    </row>
    <row r="43" spans="1:21">
      <c r="A43">
        <v>42</v>
      </c>
      <c r="B43" s="3" t="s">
        <v>1617</v>
      </c>
      <c r="C43" s="3" t="s">
        <v>1278</v>
      </c>
      <c r="D43" s="3" t="s">
        <v>2866</v>
      </c>
      <c r="E43" s="3" t="s">
        <v>2915</v>
      </c>
      <c r="F43" s="3">
        <v>16</v>
      </c>
      <c r="G43" s="4">
        <v>40513.364583333336</v>
      </c>
      <c r="H43" s="3">
        <v>3</v>
      </c>
      <c r="I43" s="5">
        <v>13</v>
      </c>
      <c r="J43" t="s">
        <v>689</v>
      </c>
      <c r="K43" t="s">
        <v>4497</v>
      </c>
      <c r="L43">
        <v>536370</v>
      </c>
      <c r="M43" s="2">
        <v>21913</v>
      </c>
      <c r="N43">
        <v>3.75</v>
      </c>
      <c r="O43" s="6">
        <v>12</v>
      </c>
      <c r="P43" s="3">
        <v>7.0000000000000007E-2</v>
      </c>
      <c r="Q43" t="s">
        <v>7</v>
      </c>
      <c r="R43" s="7">
        <f t="shared" si="0"/>
        <v>45</v>
      </c>
      <c r="S43" s="7">
        <f t="shared" si="1"/>
        <v>3.1500000000000004</v>
      </c>
      <c r="T43">
        <f>Table1[[#This Row],[Total price]]-Table1[[#This Row],[Discount Amount]]</f>
        <v>41.85</v>
      </c>
      <c r="U43">
        <f t="shared" si="2"/>
        <v>502.20000000000005</v>
      </c>
    </row>
    <row r="44" spans="1:21">
      <c r="A44">
        <v>43</v>
      </c>
      <c r="B44" s="3" t="s">
        <v>2813</v>
      </c>
      <c r="C44" s="3" t="s">
        <v>1407</v>
      </c>
      <c r="D44" s="3" t="s">
        <v>2916</v>
      </c>
      <c r="E44" s="3" t="s">
        <v>2917</v>
      </c>
      <c r="F44" s="3">
        <v>16</v>
      </c>
      <c r="G44" s="4">
        <v>40513.364583333336</v>
      </c>
      <c r="H44" s="3">
        <v>3</v>
      </c>
      <c r="I44" s="5">
        <v>14</v>
      </c>
      <c r="J44" t="s">
        <v>617</v>
      </c>
      <c r="K44" t="s">
        <v>4497</v>
      </c>
      <c r="L44">
        <v>536370</v>
      </c>
      <c r="M44" s="2">
        <v>22540</v>
      </c>
      <c r="N44">
        <v>0.42</v>
      </c>
      <c r="O44" s="6">
        <v>24</v>
      </c>
      <c r="P44" s="3">
        <v>7.0000000000000007E-2</v>
      </c>
      <c r="Q44" t="s">
        <v>7</v>
      </c>
      <c r="R44" s="7">
        <f t="shared" si="0"/>
        <v>10.08</v>
      </c>
      <c r="S44" s="7">
        <f t="shared" si="1"/>
        <v>0.70560000000000012</v>
      </c>
      <c r="T44">
        <f>Table1[[#This Row],[Total price]]-Table1[[#This Row],[Discount Amount]]</f>
        <v>9.3743999999999996</v>
      </c>
      <c r="U44">
        <f t="shared" si="2"/>
        <v>224.98559999999998</v>
      </c>
    </row>
    <row r="45" spans="1:21">
      <c r="A45">
        <v>44</v>
      </c>
      <c r="B45" s="3" t="s">
        <v>1843</v>
      </c>
      <c r="C45" s="3" t="s">
        <v>926</v>
      </c>
      <c r="D45" s="3" t="s">
        <v>2866</v>
      </c>
      <c r="E45" s="3" t="s">
        <v>2918</v>
      </c>
      <c r="F45" s="3">
        <v>17</v>
      </c>
      <c r="G45" s="4">
        <v>40513.364583333336</v>
      </c>
      <c r="H45" s="3">
        <v>4</v>
      </c>
      <c r="I45" s="5">
        <v>8</v>
      </c>
      <c r="J45" t="s">
        <v>258</v>
      </c>
      <c r="K45" t="s">
        <v>4497</v>
      </c>
      <c r="L45">
        <v>536370</v>
      </c>
      <c r="M45" s="2">
        <v>22544</v>
      </c>
      <c r="N45">
        <v>0.42</v>
      </c>
      <c r="O45" s="6">
        <v>24</v>
      </c>
      <c r="P45" s="3">
        <v>7.0000000000000007E-2</v>
      </c>
      <c r="Q45" t="s">
        <v>7</v>
      </c>
      <c r="R45" s="7">
        <f t="shared" si="0"/>
        <v>10.08</v>
      </c>
      <c r="S45" s="7">
        <f t="shared" si="1"/>
        <v>0.70560000000000012</v>
      </c>
      <c r="T45">
        <f>Table1[[#This Row],[Total price]]-Table1[[#This Row],[Discount Amount]]</f>
        <v>9.3743999999999996</v>
      </c>
      <c r="U45">
        <f t="shared" si="2"/>
        <v>224.98559999999998</v>
      </c>
    </row>
    <row r="46" spans="1:21">
      <c r="A46">
        <v>45</v>
      </c>
      <c r="B46" s="3" t="s">
        <v>1783</v>
      </c>
      <c r="C46" s="3" t="s">
        <v>2505</v>
      </c>
      <c r="D46" s="3" t="s">
        <v>2866</v>
      </c>
      <c r="E46" s="3" t="s">
        <v>2919</v>
      </c>
      <c r="F46" s="3">
        <v>17</v>
      </c>
      <c r="G46" s="4">
        <v>40513.364583333336</v>
      </c>
      <c r="H46" s="3">
        <v>4</v>
      </c>
      <c r="I46" s="5">
        <v>23</v>
      </c>
      <c r="J46" t="s">
        <v>82</v>
      </c>
      <c r="K46" t="s">
        <v>4497</v>
      </c>
      <c r="L46">
        <v>536370</v>
      </c>
      <c r="M46" s="2">
        <v>22492</v>
      </c>
      <c r="N46">
        <v>0.65</v>
      </c>
      <c r="O46" s="6">
        <v>36</v>
      </c>
      <c r="P46" s="3">
        <v>0.1</v>
      </c>
      <c r="Q46" t="s">
        <v>7</v>
      </c>
      <c r="R46" s="7">
        <f t="shared" si="0"/>
        <v>23.400000000000002</v>
      </c>
      <c r="S46" s="7">
        <f t="shared" si="1"/>
        <v>2.3400000000000003</v>
      </c>
      <c r="T46">
        <f>Table1[[#This Row],[Total price]]-Table1[[#This Row],[Discount Amount]]</f>
        <v>21.060000000000002</v>
      </c>
      <c r="U46">
        <f t="shared" si="2"/>
        <v>758.16000000000008</v>
      </c>
    </row>
    <row r="47" spans="1:21">
      <c r="A47">
        <v>46</v>
      </c>
      <c r="B47" s="3" t="s">
        <v>2812</v>
      </c>
      <c r="C47" s="3" t="s">
        <v>1157</v>
      </c>
      <c r="D47" s="3" t="s">
        <v>2866</v>
      </c>
      <c r="E47" s="3" t="s">
        <v>2920</v>
      </c>
      <c r="F47" s="3">
        <v>17</v>
      </c>
      <c r="G47" s="4">
        <v>40513.364583333336</v>
      </c>
      <c r="H47" s="3">
        <v>4</v>
      </c>
      <c r="I47" s="5">
        <v>5</v>
      </c>
      <c r="J47" t="s">
        <v>597</v>
      </c>
      <c r="K47" t="s">
        <v>4497</v>
      </c>
      <c r="L47">
        <v>536370</v>
      </c>
      <c r="M47" s="2" t="s">
        <v>596</v>
      </c>
      <c r="N47">
        <v>18</v>
      </c>
      <c r="O47" s="6">
        <v>3</v>
      </c>
      <c r="P47" s="3">
        <v>0.1</v>
      </c>
      <c r="Q47" t="s">
        <v>7</v>
      </c>
      <c r="R47" s="7">
        <f t="shared" si="0"/>
        <v>54</v>
      </c>
      <c r="S47" s="7">
        <f t="shared" si="1"/>
        <v>5.4</v>
      </c>
      <c r="T47">
        <f>Table1[[#This Row],[Total price]]-Table1[[#This Row],[Discount Amount]]</f>
        <v>48.6</v>
      </c>
      <c r="U47">
        <f t="shared" si="2"/>
        <v>145.80000000000001</v>
      </c>
    </row>
    <row r="48" spans="1:21">
      <c r="A48">
        <v>47</v>
      </c>
      <c r="B48" s="3" t="s">
        <v>2811</v>
      </c>
      <c r="C48" s="3" t="s">
        <v>1554</v>
      </c>
      <c r="D48" s="3" t="s">
        <v>2866</v>
      </c>
      <c r="E48" s="3" t="s">
        <v>2921</v>
      </c>
      <c r="F48" s="3">
        <v>17</v>
      </c>
      <c r="G48" s="4">
        <v>40513.375</v>
      </c>
      <c r="H48" s="3">
        <v>4</v>
      </c>
      <c r="I48" s="5">
        <v>20</v>
      </c>
      <c r="J48" t="s">
        <v>411</v>
      </c>
      <c r="K48" t="s">
        <v>4497</v>
      </c>
      <c r="L48">
        <v>536371</v>
      </c>
      <c r="M48" s="2">
        <v>22086</v>
      </c>
      <c r="N48">
        <v>2.5499999999999998</v>
      </c>
      <c r="O48" s="6">
        <v>80</v>
      </c>
      <c r="P48" s="3">
        <v>0.2</v>
      </c>
      <c r="Q48" t="s">
        <v>7</v>
      </c>
      <c r="R48" s="7">
        <f t="shared" si="0"/>
        <v>204</v>
      </c>
      <c r="S48" s="7">
        <f t="shared" si="1"/>
        <v>40.800000000000004</v>
      </c>
      <c r="T48">
        <f>Table1[[#This Row],[Total price]]-Table1[[#This Row],[Discount Amount]]</f>
        <v>163.19999999999999</v>
      </c>
      <c r="U48">
        <f t="shared" si="2"/>
        <v>13056</v>
      </c>
    </row>
    <row r="49" spans="1:21">
      <c r="A49">
        <v>48</v>
      </c>
      <c r="B49" s="3" t="s">
        <v>1009</v>
      </c>
      <c r="C49" s="3" t="s">
        <v>1300</v>
      </c>
      <c r="D49" s="3" t="s">
        <v>2866</v>
      </c>
      <c r="E49" s="3" t="s">
        <v>2922</v>
      </c>
      <c r="F49" s="3">
        <v>18</v>
      </c>
      <c r="G49" s="4">
        <v>40513.375694444447</v>
      </c>
      <c r="H49" s="3">
        <v>4</v>
      </c>
      <c r="I49" s="5">
        <v>2</v>
      </c>
      <c r="J49" t="s">
        <v>599</v>
      </c>
      <c r="K49" t="s">
        <v>4497</v>
      </c>
      <c r="L49">
        <v>536372</v>
      </c>
      <c r="M49" s="2">
        <v>22632</v>
      </c>
      <c r="N49">
        <v>1.85</v>
      </c>
      <c r="O49" s="6">
        <v>6</v>
      </c>
      <c r="P49" s="3">
        <v>0.2</v>
      </c>
      <c r="Q49" t="s">
        <v>7</v>
      </c>
      <c r="R49" s="7">
        <f t="shared" si="0"/>
        <v>11.100000000000001</v>
      </c>
      <c r="S49" s="7">
        <f t="shared" si="1"/>
        <v>2.2200000000000002</v>
      </c>
      <c r="T49">
        <f>Table1[[#This Row],[Total price]]-Table1[[#This Row],[Discount Amount]]</f>
        <v>8.8800000000000008</v>
      </c>
      <c r="U49">
        <f t="shared" si="2"/>
        <v>53.28</v>
      </c>
    </row>
    <row r="50" spans="1:21">
      <c r="A50">
        <v>49</v>
      </c>
      <c r="B50" s="3" t="s">
        <v>2810</v>
      </c>
      <c r="C50" s="3" t="s">
        <v>1237</v>
      </c>
      <c r="D50" s="3" t="s">
        <v>2866</v>
      </c>
      <c r="E50" s="3" t="s">
        <v>2923</v>
      </c>
      <c r="F50" s="3">
        <v>18</v>
      </c>
      <c r="G50" s="4">
        <v>40513.375694444447</v>
      </c>
      <c r="H50" s="3">
        <v>4</v>
      </c>
      <c r="I50" s="5">
        <v>22</v>
      </c>
      <c r="J50" t="s">
        <v>28</v>
      </c>
      <c r="K50" t="s">
        <v>4497</v>
      </c>
      <c r="L50">
        <v>536372</v>
      </c>
      <c r="M50" s="2">
        <v>22633</v>
      </c>
      <c r="N50">
        <v>1.85</v>
      </c>
      <c r="O50" s="6">
        <v>6</v>
      </c>
      <c r="P50" s="3">
        <v>0.05</v>
      </c>
      <c r="Q50" t="s">
        <v>7</v>
      </c>
      <c r="R50" s="7">
        <f t="shared" si="0"/>
        <v>11.100000000000001</v>
      </c>
      <c r="S50" s="7">
        <f t="shared" si="1"/>
        <v>0.55500000000000005</v>
      </c>
      <c r="T50">
        <f>Table1[[#This Row],[Total price]]-Table1[[#This Row],[Discount Amount]]</f>
        <v>10.545000000000002</v>
      </c>
      <c r="U50">
        <f t="shared" si="2"/>
        <v>63.27000000000001</v>
      </c>
    </row>
    <row r="51" spans="1:21">
      <c r="A51">
        <v>50</v>
      </c>
      <c r="B51" s="3" t="s">
        <v>2809</v>
      </c>
      <c r="C51" s="3" t="s">
        <v>1695</v>
      </c>
      <c r="D51" s="3" t="s">
        <v>2866</v>
      </c>
      <c r="E51" s="3" t="s">
        <v>2924</v>
      </c>
      <c r="F51" s="3">
        <v>18</v>
      </c>
      <c r="G51" s="4">
        <v>40513.376388888886</v>
      </c>
      <c r="H51" s="3">
        <v>4</v>
      </c>
      <c r="I51" s="5">
        <v>7</v>
      </c>
      <c r="J51" t="s">
        <v>24</v>
      </c>
      <c r="K51" t="s">
        <v>4497</v>
      </c>
      <c r="L51">
        <v>536373</v>
      </c>
      <c r="M51" s="2" t="s">
        <v>23</v>
      </c>
      <c r="N51">
        <v>2.5499999999999998</v>
      </c>
      <c r="O51" s="6">
        <v>6</v>
      </c>
      <c r="P51" s="3">
        <v>0.1</v>
      </c>
      <c r="Q51" t="s">
        <v>7</v>
      </c>
      <c r="R51" s="7">
        <f t="shared" si="0"/>
        <v>15.299999999999999</v>
      </c>
      <c r="S51" s="7">
        <f t="shared" si="1"/>
        <v>1.53</v>
      </c>
      <c r="T51">
        <f>Table1[[#This Row],[Total price]]-Table1[[#This Row],[Discount Amount]]</f>
        <v>13.77</v>
      </c>
      <c r="U51">
        <f t="shared" si="2"/>
        <v>82.62</v>
      </c>
    </row>
    <row r="52" spans="1:21">
      <c r="A52">
        <v>51</v>
      </c>
      <c r="B52" s="3" t="s">
        <v>2808</v>
      </c>
      <c r="C52" s="3" t="s">
        <v>2667</v>
      </c>
      <c r="D52" s="3" t="s">
        <v>2866</v>
      </c>
      <c r="E52" s="3" t="s">
        <v>2925</v>
      </c>
      <c r="F52" s="3">
        <v>18</v>
      </c>
      <c r="G52" s="4">
        <v>40513.376388888886</v>
      </c>
      <c r="H52" s="3">
        <v>4</v>
      </c>
      <c r="I52" s="5">
        <v>25</v>
      </c>
      <c r="J52" t="s">
        <v>231</v>
      </c>
      <c r="K52" t="s">
        <v>4497</v>
      </c>
      <c r="L52">
        <v>536373</v>
      </c>
      <c r="M52" s="2">
        <v>71053</v>
      </c>
      <c r="N52">
        <v>3.39</v>
      </c>
      <c r="O52" s="6">
        <v>6</v>
      </c>
      <c r="P52" s="3">
        <v>0.05</v>
      </c>
      <c r="Q52" t="s">
        <v>7</v>
      </c>
      <c r="R52" s="7">
        <f t="shared" si="0"/>
        <v>20.34</v>
      </c>
      <c r="S52" s="7">
        <f t="shared" si="1"/>
        <v>1.0170000000000001</v>
      </c>
      <c r="T52">
        <f>Table1[[#This Row],[Total price]]-Table1[[#This Row],[Discount Amount]]</f>
        <v>19.323</v>
      </c>
      <c r="U52">
        <f t="shared" si="2"/>
        <v>115.938</v>
      </c>
    </row>
    <row r="53" spans="1:21">
      <c r="A53">
        <v>52</v>
      </c>
      <c r="B53" s="3" t="s">
        <v>2807</v>
      </c>
      <c r="C53" s="3" t="s">
        <v>1800</v>
      </c>
      <c r="D53" s="3" t="s">
        <v>2866</v>
      </c>
      <c r="E53" s="3" t="s">
        <v>2926</v>
      </c>
      <c r="F53" s="3">
        <v>18</v>
      </c>
      <c r="G53" s="4">
        <v>40513.376388888886</v>
      </c>
      <c r="H53" s="3">
        <v>4</v>
      </c>
      <c r="I53" s="5">
        <v>9</v>
      </c>
      <c r="J53" t="s">
        <v>133</v>
      </c>
      <c r="K53" t="s">
        <v>4497</v>
      </c>
      <c r="L53">
        <v>536373</v>
      </c>
      <c r="M53" s="2" t="s">
        <v>132</v>
      </c>
      <c r="N53">
        <v>2.75</v>
      </c>
      <c r="O53" s="6">
        <v>8</v>
      </c>
      <c r="P53" s="3">
        <v>0.1</v>
      </c>
      <c r="Q53" t="s">
        <v>7</v>
      </c>
      <c r="R53" s="7">
        <f t="shared" si="0"/>
        <v>22</v>
      </c>
      <c r="S53" s="7">
        <f t="shared" si="1"/>
        <v>2.2000000000000002</v>
      </c>
      <c r="T53">
        <f>Table1[[#This Row],[Total price]]-Table1[[#This Row],[Discount Amount]]</f>
        <v>19.8</v>
      </c>
      <c r="U53">
        <f t="shared" si="2"/>
        <v>158.4</v>
      </c>
    </row>
    <row r="54" spans="1:21">
      <c r="A54">
        <v>53</v>
      </c>
      <c r="B54" s="3" t="s">
        <v>2806</v>
      </c>
      <c r="C54" s="3" t="s">
        <v>2157</v>
      </c>
      <c r="D54" s="3" t="s">
        <v>2866</v>
      </c>
      <c r="E54" s="3" t="s">
        <v>2927</v>
      </c>
      <c r="F54" s="3">
        <v>19</v>
      </c>
      <c r="G54" s="4">
        <v>40513.376388888886</v>
      </c>
      <c r="H54" s="3">
        <v>4</v>
      </c>
      <c r="I54" s="5">
        <v>10</v>
      </c>
      <c r="J54" t="s">
        <v>217</v>
      </c>
      <c r="K54" t="s">
        <v>4497</v>
      </c>
      <c r="L54">
        <v>536373</v>
      </c>
      <c r="M54" s="2">
        <v>20679</v>
      </c>
      <c r="N54">
        <v>4.95</v>
      </c>
      <c r="O54" s="6">
        <v>6</v>
      </c>
      <c r="P54" s="3">
        <v>7.0000000000000007E-2</v>
      </c>
      <c r="Q54" t="s">
        <v>7</v>
      </c>
      <c r="R54" s="7">
        <f t="shared" si="0"/>
        <v>29.700000000000003</v>
      </c>
      <c r="S54" s="7">
        <f t="shared" si="1"/>
        <v>2.0790000000000002</v>
      </c>
      <c r="T54">
        <f>Table1[[#This Row],[Total price]]-Table1[[#This Row],[Discount Amount]]</f>
        <v>27.621000000000002</v>
      </c>
      <c r="U54">
        <f t="shared" si="2"/>
        <v>165.726</v>
      </c>
    </row>
    <row r="55" spans="1:21">
      <c r="A55">
        <v>54</v>
      </c>
      <c r="B55" s="3" t="s">
        <v>2805</v>
      </c>
      <c r="C55" s="3" t="s">
        <v>1326</v>
      </c>
      <c r="D55" s="3" t="s">
        <v>2866</v>
      </c>
      <c r="E55" s="3" t="s">
        <v>2928</v>
      </c>
      <c r="F55" s="3">
        <v>19</v>
      </c>
      <c r="G55" s="4">
        <v>40513.376388888886</v>
      </c>
      <c r="H55" s="3">
        <v>4</v>
      </c>
      <c r="I55" s="5">
        <v>9</v>
      </c>
      <c r="J55" t="s">
        <v>658</v>
      </c>
      <c r="K55" t="s">
        <v>4497</v>
      </c>
      <c r="L55">
        <v>536373</v>
      </c>
      <c r="M55" s="2">
        <v>37370</v>
      </c>
      <c r="N55">
        <v>1.06</v>
      </c>
      <c r="O55" s="6">
        <v>6</v>
      </c>
      <c r="P55" s="3">
        <v>0.2</v>
      </c>
      <c r="Q55" t="s">
        <v>7</v>
      </c>
      <c r="R55" s="7">
        <f t="shared" si="0"/>
        <v>6.36</v>
      </c>
      <c r="S55" s="7">
        <f t="shared" si="1"/>
        <v>1.2720000000000002</v>
      </c>
      <c r="T55">
        <f>Table1[[#This Row],[Total price]]-Table1[[#This Row],[Discount Amount]]</f>
        <v>5.0880000000000001</v>
      </c>
      <c r="U55">
        <f t="shared" si="2"/>
        <v>30.527999999999999</v>
      </c>
    </row>
    <row r="56" spans="1:21">
      <c r="A56">
        <v>55</v>
      </c>
      <c r="B56" s="3" t="s">
        <v>1698</v>
      </c>
      <c r="C56" s="3" t="s">
        <v>1554</v>
      </c>
      <c r="D56" s="3" t="s">
        <v>2866</v>
      </c>
      <c r="E56" s="3" t="s">
        <v>2929</v>
      </c>
      <c r="F56" s="3">
        <v>20</v>
      </c>
      <c r="G56" s="4">
        <v>40513.376388888886</v>
      </c>
      <c r="H56" s="3">
        <v>4</v>
      </c>
      <c r="I56" s="5">
        <v>9</v>
      </c>
      <c r="J56" t="s">
        <v>534</v>
      </c>
      <c r="K56" t="s">
        <v>4497</v>
      </c>
      <c r="L56">
        <v>536373</v>
      </c>
      <c r="M56" s="2">
        <v>21871</v>
      </c>
      <c r="N56">
        <v>1.06</v>
      </c>
      <c r="O56" s="6">
        <v>6</v>
      </c>
      <c r="P56" s="3">
        <v>7.0000000000000007E-2</v>
      </c>
      <c r="Q56" t="s">
        <v>7</v>
      </c>
      <c r="R56" s="7">
        <f t="shared" si="0"/>
        <v>6.36</v>
      </c>
      <c r="S56" s="7">
        <f t="shared" si="1"/>
        <v>0.44520000000000004</v>
      </c>
      <c r="T56">
        <f>Table1[[#This Row],[Total price]]-Table1[[#This Row],[Discount Amount]]</f>
        <v>5.9148000000000005</v>
      </c>
      <c r="U56">
        <f t="shared" si="2"/>
        <v>35.488800000000005</v>
      </c>
    </row>
    <row r="57" spans="1:21">
      <c r="A57">
        <v>56</v>
      </c>
      <c r="B57" s="3" t="s">
        <v>2077</v>
      </c>
      <c r="C57" s="3" t="s">
        <v>2479</v>
      </c>
      <c r="D57" s="3" t="s">
        <v>2930</v>
      </c>
      <c r="E57" s="3" t="s">
        <v>2931</v>
      </c>
      <c r="F57" s="3">
        <v>20</v>
      </c>
      <c r="G57" s="4">
        <v>40513.376388888886</v>
      </c>
      <c r="H57" s="3">
        <v>4</v>
      </c>
      <c r="I57" s="5">
        <v>10</v>
      </c>
      <c r="J57" t="s">
        <v>646</v>
      </c>
      <c r="K57" t="s">
        <v>4497</v>
      </c>
      <c r="L57">
        <v>536373</v>
      </c>
      <c r="M57" s="2">
        <v>21071</v>
      </c>
      <c r="N57">
        <v>1.06</v>
      </c>
      <c r="O57" s="6">
        <v>6</v>
      </c>
      <c r="P57" s="3">
        <v>7.0000000000000007E-2</v>
      </c>
      <c r="Q57" t="s">
        <v>7</v>
      </c>
      <c r="R57" s="7">
        <f t="shared" si="0"/>
        <v>6.36</v>
      </c>
      <c r="S57" s="7">
        <f t="shared" si="1"/>
        <v>0.44520000000000004</v>
      </c>
      <c r="T57">
        <f>Table1[[#This Row],[Total price]]-Table1[[#This Row],[Discount Amount]]</f>
        <v>5.9148000000000005</v>
      </c>
      <c r="U57">
        <f t="shared" si="2"/>
        <v>35.488800000000005</v>
      </c>
    </row>
    <row r="58" spans="1:21">
      <c r="A58">
        <v>57</v>
      </c>
      <c r="B58" s="3" t="s">
        <v>1907</v>
      </c>
      <c r="C58" s="3" t="s">
        <v>1504</v>
      </c>
      <c r="D58" s="3" t="s">
        <v>2866</v>
      </c>
      <c r="E58" s="3" t="s">
        <v>2932</v>
      </c>
      <c r="F58" s="3">
        <v>21</v>
      </c>
      <c r="G58" s="4">
        <v>40513.376388888886</v>
      </c>
      <c r="H58" s="3">
        <v>4</v>
      </c>
      <c r="I58" s="5">
        <v>14</v>
      </c>
      <c r="J58" t="s">
        <v>579</v>
      </c>
      <c r="K58" t="s">
        <v>4497</v>
      </c>
      <c r="L58">
        <v>536373</v>
      </c>
      <c r="M58" s="2">
        <v>21068</v>
      </c>
      <c r="N58">
        <v>1.06</v>
      </c>
      <c r="O58" s="6">
        <v>6</v>
      </c>
      <c r="P58" s="3">
        <v>0.05</v>
      </c>
      <c r="Q58" t="s">
        <v>7</v>
      </c>
      <c r="R58" s="7">
        <f t="shared" si="0"/>
        <v>6.36</v>
      </c>
      <c r="S58" s="7">
        <f t="shared" si="1"/>
        <v>0.31800000000000006</v>
      </c>
      <c r="T58">
        <f>Table1[[#This Row],[Total price]]-Table1[[#This Row],[Discount Amount]]</f>
        <v>6.0419999999999998</v>
      </c>
      <c r="U58">
        <f t="shared" si="2"/>
        <v>36.251999999999995</v>
      </c>
    </row>
    <row r="59" spans="1:21">
      <c r="A59">
        <v>58</v>
      </c>
      <c r="B59" s="3" t="s">
        <v>2804</v>
      </c>
      <c r="C59" s="3" t="s">
        <v>2197</v>
      </c>
      <c r="D59" s="3" t="s">
        <v>2866</v>
      </c>
      <c r="E59" s="3" t="s">
        <v>2933</v>
      </c>
      <c r="F59" s="3">
        <v>21</v>
      </c>
      <c r="G59" s="4">
        <v>40513.376388888886</v>
      </c>
      <c r="H59" s="3">
        <v>4</v>
      </c>
      <c r="I59" s="5">
        <v>17</v>
      </c>
      <c r="J59" t="s">
        <v>458</v>
      </c>
      <c r="K59" t="s">
        <v>4497</v>
      </c>
      <c r="L59">
        <v>536373</v>
      </c>
      <c r="M59" s="2">
        <v>82483</v>
      </c>
      <c r="N59">
        <v>4.95</v>
      </c>
      <c r="O59" s="6">
        <v>2</v>
      </c>
      <c r="P59" s="3">
        <v>0.1</v>
      </c>
      <c r="Q59" t="s">
        <v>7</v>
      </c>
      <c r="R59" s="7">
        <f t="shared" si="0"/>
        <v>9.9</v>
      </c>
      <c r="S59" s="7">
        <f t="shared" si="1"/>
        <v>0.9900000000000001</v>
      </c>
      <c r="T59">
        <f>Table1[[#This Row],[Total price]]-Table1[[#This Row],[Discount Amount]]</f>
        <v>8.91</v>
      </c>
      <c r="U59">
        <f t="shared" si="2"/>
        <v>17.82</v>
      </c>
    </row>
    <row r="60" spans="1:21">
      <c r="A60">
        <v>59</v>
      </c>
      <c r="B60" s="3" t="s">
        <v>2803</v>
      </c>
      <c r="C60" s="3" t="s">
        <v>2243</v>
      </c>
      <c r="D60" s="3" t="s">
        <v>2866</v>
      </c>
      <c r="E60" s="3" t="s">
        <v>2934</v>
      </c>
      <c r="F60" s="3">
        <v>21</v>
      </c>
      <c r="G60" s="4">
        <v>40513.376388888886</v>
      </c>
      <c r="H60" s="3">
        <v>4</v>
      </c>
      <c r="I60" s="5">
        <v>10</v>
      </c>
      <c r="J60" t="s">
        <v>607</v>
      </c>
      <c r="K60" t="s">
        <v>4497</v>
      </c>
      <c r="L60">
        <v>536373</v>
      </c>
      <c r="M60" s="2">
        <v>82486</v>
      </c>
      <c r="N60">
        <v>6.95</v>
      </c>
      <c r="O60" s="6">
        <v>4</v>
      </c>
      <c r="P60" s="3">
        <v>7.0000000000000007E-2</v>
      </c>
      <c r="Q60" t="s">
        <v>7</v>
      </c>
      <c r="R60" s="7">
        <f t="shared" si="0"/>
        <v>27.8</v>
      </c>
      <c r="S60" s="7">
        <f t="shared" si="1"/>
        <v>1.9460000000000002</v>
      </c>
      <c r="T60">
        <f>Table1[[#This Row],[Total price]]-Table1[[#This Row],[Discount Amount]]</f>
        <v>25.853999999999999</v>
      </c>
      <c r="U60">
        <f t="shared" si="2"/>
        <v>103.416</v>
      </c>
    </row>
    <row r="61" spans="1:21">
      <c r="A61">
        <v>60</v>
      </c>
      <c r="B61" s="3" t="s">
        <v>2802</v>
      </c>
      <c r="C61" s="3" t="s">
        <v>2247</v>
      </c>
      <c r="D61" s="3" t="s">
        <v>2866</v>
      </c>
      <c r="E61" s="3" t="s">
        <v>2935</v>
      </c>
      <c r="F61" s="3">
        <v>22</v>
      </c>
      <c r="G61" s="4">
        <v>40513.376388888886</v>
      </c>
      <c r="H61" s="3">
        <v>4</v>
      </c>
      <c r="I61" s="5">
        <v>15</v>
      </c>
      <c r="J61" t="s">
        <v>246</v>
      </c>
      <c r="K61" t="s">
        <v>4497</v>
      </c>
      <c r="L61">
        <v>536373</v>
      </c>
      <c r="M61" s="2">
        <v>82482</v>
      </c>
      <c r="N61">
        <v>2.1</v>
      </c>
      <c r="O61" s="6">
        <v>6</v>
      </c>
      <c r="P61" s="3">
        <v>0.2</v>
      </c>
      <c r="Q61" t="s">
        <v>7</v>
      </c>
      <c r="R61" s="7">
        <f t="shared" si="0"/>
        <v>12.600000000000001</v>
      </c>
      <c r="S61" s="7">
        <f t="shared" si="1"/>
        <v>2.5200000000000005</v>
      </c>
      <c r="T61">
        <f>Table1[[#This Row],[Total price]]-Table1[[#This Row],[Discount Amount]]</f>
        <v>10.080000000000002</v>
      </c>
      <c r="U61">
        <f t="shared" si="2"/>
        <v>60.480000000000011</v>
      </c>
    </row>
    <row r="62" spans="1:21">
      <c r="A62">
        <v>61</v>
      </c>
      <c r="B62" s="3" t="s">
        <v>2801</v>
      </c>
      <c r="C62" s="3" t="s">
        <v>2800</v>
      </c>
      <c r="D62" s="3" t="s">
        <v>2866</v>
      </c>
      <c r="E62" s="3" t="s">
        <v>2936</v>
      </c>
      <c r="F62" s="3">
        <v>22</v>
      </c>
      <c r="G62" s="4">
        <v>40513.376388888886</v>
      </c>
      <c r="H62" s="3">
        <v>4</v>
      </c>
      <c r="I62" s="5">
        <v>22</v>
      </c>
      <c r="J62" t="s">
        <v>245</v>
      </c>
      <c r="K62" t="s">
        <v>4497</v>
      </c>
      <c r="L62">
        <v>536373</v>
      </c>
      <c r="M62" s="2" t="s">
        <v>244</v>
      </c>
      <c r="N62">
        <v>2.5499999999999998</v>
      </c>
      <c r="O62" s="6">
        <v>6</v>
      </c>
      <c r="P62" s="3">
        <v>0.05</v>
      </c>
      <c r="Q62" t="s">
        <v>7</v>
      </c>
      <c r="R62" s="7">
        <f t="shared" si="0"/>
        <v>15.299999999999999</v>
      </c>
      <c r="S62" s="7">
        <f t="shared" si="1"/>
        <v>0.76500000000000001</v>
      </c>
      <c r="T62">
        <f>Table1[[#This Row],[Total price]]-Table1[[#This Row],[Discount Amount]]</f>
        <v>14.534999999999998</v>
      </c>
      <c r="U62">
        <f t="shared" si="2"/>
        <v>87.21</v>
      </c>
    </row>
    <row r="63" spans="1:21">
      <c r="A63">
        <v>62</v>
      </c>
      <c r="B63" s="3" t="s">
        <v>2799</v>
      </c>
      <c r="C63" s="3" t="s">
        <v>958</v>
      </c>
      <c r="D63" s="3" t="s">
        <v>2866</v>
      </c>
      <c r="E63" s="3" t="s">
        <v>2937</v>
      </c>
      <c r="F63" s="3">
        <v>23</v>
      </c>
      <c r="G63" s="4">
        <v>40513.376388888886</v>
      </c>
      <c r="H63" s="3">
        <v>4</v>
      </c>
      <c r="I63" s="5">
        <v>4</v>
      </c>
      <c r="J63" t="s">
        <v>442</v>
      </c>
      <c r="K63" t="s">
        <v>4497</v>
      </c>
      <c r="L63">
        <v>536373</v>
      </c>
      <c r="M63" s="2" t="s">
        <v>441</v>
      </c>
      <c r="N63">
        <v>3.39</v>
      </c>
      <c r="O63" s="6">
        <v>6</v>
      </c>
      <c r="P63" s="3">
        <v>0.05</v>
      </c>
      <c r="Q63" t="s">
        <v>7</v>
      </c>
      <c r="R63" s="7">
        <f t="shared" si="0"/>
        <v>20.34</v>
      </c>
      <c r="S63" s="7">
        <f t="shared" si="1"/>
        <v>1.0170000000000001</v>
      </c>
      <c r="T63">
        <f>Table1[[#This Row],[Total price]]-Table1[[#This Row],[Discount Amount]]</f>
        <v>19.323</v>
      </c>
      <c r="U63">
        <f t="shared" si="2"/>
        <v>115.938</v>
      </c>
    </row>
    <row r="64" spans="1:21">
      <c r="A64">
        <v>63</v>
      </c>
      <c r="B64" s="3" t="s">
        <v>2798</v>
      </c>
      <c r="C64" s="3" t="s">
        <v>1558</v>
      </c>
      <c r="D64" s="3" t="s">
        <v>2866</v>
      </c>
      <c r="E64" s="3" t="s">
        <v>2938</v>
      </c>
      <c r="F64" s="3">
        <v>23</v>
      </c>
      <c r="G64" s="4">
        <v>40513.376388888886</v>
      </c>
      <c r="H64" s="3">
        <v>4</v>
      </c>
      <c r="I64" s="5">
        <v>23</v>
      </c>
      <c r="J64" t="s">
        <v>73</v>
      </c>
      <c r="K64" t="s">
        <v>4497</v>
      </c>
      <c r="L64">
        <v>536373</v>
      </c>
      <c r="M64" s="2" t="s">
        <v>72</v>
      </c>
      <c r="N64">
        <v>3.39</v>
      </c>
      <c r="O64" s="6">
        <v>6</v>
      </c>
      <c r="P64" s="3">
        <v>0.1</v>
      </c>
      <c r="Q64" t="s">
        <v>7</v>
      </c>
      <c r="R64" s="7">
        <f t="shared" si="0"/>
        <v>20.34</v>
      </c>
      <c r="S64" s="7">
        <f t="shared" si="1"/>
        <v>2.0340000000000003</v>
      </c>
      <c r="T64">
        <f>Table1[[#This Row],[Total price]]-Table1[[#This Row],[Discount Amount]]</f>
        <v>18.306000000000001</v>
      </c>
      <c r="U64">
        <f t="shared" si="2"/>
        <v>109.83600000000001</v>
      </c>
    </row>
    <row r="65" spans="1:21">
      <c r="A65">
        <v>64</v>
      </c>
      <c r="B65" s="3" t="s">
        <v>2797</v>
      </c>
      <c r="C65" s="3" t="s">
        <v>2796</v>
      </c>
      <c r="D65" s="3" t="s">
        <v>2866</v>
      </c>
      <c r="E65" s="3" t="s">
        <v>2939</v>
      </c>
      <c r="F65" s="3">
        <v>23</v>
      </c>
      <c r="G65" s="4">
        <v>40513.376388888886</v>
      </c>
      <c r="H65" s="3">
        <v>4</v>
      </c>
      <c r="I65" s="5">
        <v>13</v>
      </c>
      <c r="J65" t="s">
        <v>227</v>
      </c>
      <c r="K65" t="s">
        <v>4497</v>
      </c>
      <c r="L65">
        <v>536373</v>
      </c>
      <c r="M65" s="2">
        <v>22752</v>
      </c>
      <c r="N65">
        <v>7.65</v>
      </c>
      <c r="O65" s="6">
        <v>2</v>
      </c>
      <c r="P65" s="3">
        <v>0.2</v>
      </c>
      <c r="Q65" t="s">
        <v>7</v>
      </c>
      <c r="R65" s="7">
        <f t="shared" si="0"/>
        <v>15.3</v>
      </c>
      <c r="S65" s="7">
        <f t="shared" si="1"/>
        <v>3.0600000000000005</v>
      </c>
      <c r="T65">
        <f>Table1[[#This Row],[Total price]]-Table1[[#This Row],[Discount Amount]]</f>
        <v>12.24</v>
      </c>
      <c r="U65">
        <f t="shared" si="2"/>
        <v>24.48</v>
      </c>
    </row>
    <row r="66" spans="1:21">
      <c r="A66">
        <v>65</v>
      </c>
      <c r="B66" s="3" t="s">
        <v>2512</v>
      </c>
      <c r="C66" s="3" t="s">
        <v>1291</v>
      </c>
      <c r="D66" s="3" t="s">
        <v>2866</v>
      </c>
      <c r="E66" s="3" t="s">
        <v>2940</v>
      </c>
      <c r="F66" s="3">
        <v>24</v>
      </c>
      <c r="G66" s="4">
        <v>40513.376388888886</v>
      </c>
      <c r="H66" s="3">
        <v>4</v>
      </c>
      <c r="I66" s="5">
        <v>3</v>
      </c>
      <c r="J66" t="s">
        <v>437</v>
      </c>
      <c r="K66" t="s">
        <v>4497</v>
      </c>
      <c r="L66">
        <v>536373</v>
      </c>
      <c r="M66" s="2">
        <v>21730</v>
      </c>
      <c r="N66">
        <v>4.25</v>
      </c>
      <c r="O66" s="6">
        <v>6</v>
      </c>
      <c r="P66" s="3">
        <v>0.1</v>
      </c>
      <c r="Q66" t="s">
        <v>7</v>
      </c>
      <c r="R66" s="7">
        <f t="shared" si="0"/>
        <v>25.5</v>
      </c>
      <c r="S66" s="7">
        <f t="shared" si="1"/>
        <v>2.5500000000000003</v>
      </c>
      <c r="T66">
        <f>Table1[[#This Row],[Total price]]-Table1[[#This Row],[Discount Amount]]</f>
        <v>22.95</v>
      </c>
      <c r="U66">
        <f t="shared" si="2"/>
        <v>137.69999999999999</v>
      </c>
    </row>
    <row r="67" spans="1:21">
      <c r="A67">
        <v>66</v>
      </c>
      <c r="B67" s="3" t="s">
        <v>925</v>
      </c>
      <c r="C67" s="3" t="s">
        <v>2795</v>
      </c>
      <c r="D67" s="3" t="s">
        <v>2866</v>
      </c>
      <c r="E67" s="3" t="s">
        <v>2941</v>
      </c>
      <c r="F67" s="3">
        <v>24</v>
      </c>
      <c r="G67" s="4">
        <v>40513.381249999999</v>
      </c>
      <c r="H67" s="3">
        <v>4</v>
      </c>
      <c r="I67" s="5">
        <v>18</v>
      </c>
      <c r="J67" t="s">
        <v>207</v>
      </c>
      <c r="K67" t="s">
        <v>4497</v>
      </c>
      <c r="L67">
        <v>536374</v>
      </c>
      <c r="M67" s="2">
        <v>21258</v>
      </c>
      <c r="N67">
        <v>10.95</v>
      </c>
      <c r="O67" s="6">
        <v>32</v>
      </c>
      <c r="P67" s="3">
        <v>7.0000000000000007E-2</v>
      </c>
      <c r="Q67" t="s">
        <v>7</v>
      </c>
      <c r="R67" s="7">
        <f t="shared" ref="R67:R130" si="3">N67*O67</f>
        <v>350.4</v>
      </c>
      <c r="S67" s="7">
        <f t="shared" ref="S67:S130" si="4">R67*P67</f>
        <v>24.528000000000002</v>
      </c>
      <c r="T67">
        <f>Table1[[#This Row],[Total price]]-Table1[[#This Row],[Discount Amount]]</f>
        <v>325.87199999999996</v>
      </c>
      <c r="U67">
        <f t="shared" ref="U67:U130" si="5">T67*O67</f>
        <v>10427.903999999999</v>
      </c>
    </row>
    <row r="68" spans="1:21">
      <c r="A68">
        <v>67</v>
      </c>
      <c r="B68" s="3" t="s">
        <v>1577</v>
      </c>
      <c r="C68" s="3" t="s">
        <v>1102</v>
      </c>
      <c r="D68" s="3" t="s">
        <v>2942</v>
      </c>
      <c r="E68" s="3" t="s">
        <v>2943</v>
      </c>
      <c r="F68" s="3">
        <v>25</v>
      </c>
      <c r="G68" s="4">
        <v>40513.397222222222</v>
      </c>
      <c r="H68" s="3">
        <v>4</v>
      </c>
      <c r="I68" s="5">
        <v>23</v>
      </c>
      <c r="J68" t="s">
        <v>24</v>
      </c>
      <c r="K68" t="s">
        <v>4497</v>
      </c>
      <c r="L68">
        <v>536375</v>
      </c>
      <c r="M68" s="2" t="s">
        <v>23</v>
      </c>
      <c r="N68">
        <v>2.5499999999999998</v>
      </c>
      <c r="O68" s="6">
        <v>6</v>
      </c>
      <c r="P68" s="3">
        <v>0.2</v>
      </c>
      <c r="Q68" t="s">
        <v>7</v>
      </c>
      <c r="R68" s="7">
        <f t="shared" si="3"/>
        <v>15.299999999999999</v>
      </c>
      <c r="S68" s="7">
        <f t="shared" si="4"/>
        <v>3.06</v>
      </c>
      <c r="T68">
        <f>Table1[[#This Row],[Total price]]-Table1[[#This Row],[Discount Amount]]</f>
        <v>12.239999999999998</v>
      </c>
      <c r="U68">
        <f t="shared" si="5"/>
        <v>73.44</v>
      </c>
    </row>
    <row r="69" spans="1:21">
      <c r="A69">
        <v>68</v>
      </c>
      <c r="B69" s="3" t="s">
        <v>2794</v>
      </c>
      <c r="C69" s="3" t="s">
        <v>2203</v>
      </c>
      <c r="D69" s="3" t="s">
        <v>2866</v>
      </c>
      <c r="E69" s="3" t="s">
        <v>2944</v>
      </c>
      <c r="F69" s="3">
        <v>25</v>
      </c>
      <c r="G69" s="4">
        <v>40513.397222222222</v>
      </c>
      <c r="H69" s="3">
        <v>4</v>
      </c>
      <c r="I69" s="5">
        <v>10</v>
      </c>
      <c r="J69" t="s">
        <v>231</v>
      </c>
      <c r="K69" t="s">
        <v>4497</v>
      </c>
      <c r="L69">
        <v>536375</v>
      </c>
      <c r="M69" s="2">
        <v>71053</v>
      </c>
      <c r="N69">
        <v>3.39</v>
      </c>
      <c r="O69" s="6">
        <v>6</v>
      </c>
      <c r="P69" s="3">
        <v>0.2</v>
      </c>
      <c r="Q69" t="s">
        <v>7</v>
      </c>
      <c r="R69" s="7">
        <f t="shared" si="3"/>
        <v>20.34</v>
      </c>
      <c r="S69" s="7">
        <f t="shared" si="4"/>
        <v>4.0680000000000005</v>
      </c>
      <c r="T69">
        <f>Table1[[#This Row],[Total price]]-Table1[[#This Row],[Discount Amount]]</f>
        <v>16.271999999999998</v>
      </c>
      <c r="U69">
        <f t="shared" si="5"/>
        <v>97.631999999999991</v>
      </c>
    </row>
    <row r="70" spans="1:21">
      <c r="A70">
        <v>69</v>
      </c>
      <c r="B70" s="3" t="s">
        <v>2793</v>
      </c>
      <c r="C70" s="3" t="s">
        <v>950</v>
      </c>
      <c r="D70" s="3" t="s">
        <v>2866</v>
      </c>
      <c r="E70" s="3" t="s">
        <v>2945</v>
      </c>
      <c r="F70" s="3">
        <v>25</v>
      </c>
      <c r="G70" s="4">
        <v>40513.397222222222</v>
      </c>
      <c r="H70" s="3">
        <v>4</v>
      </c>
      <c r="I70" s="5">
        <v>22</v>
      </c>
      <c r="J70" t="s">
        <v>133</v>
      </c>
      <c r="K70" t="s">
        <v>4497</v>
      </c>
      <c r="L70">
        <v>536375</v>
      </c>
      <c r="M70" s="2" t="s">
        <v>132</v>
      </c>
      <c r="N70">
        <v>2.75</v>
      </c>
      <c r="O70" s="6">
        <v>8</v>
      </c>
      <c r="P70" s="3">
        <v>0.2</v>
      </c>
      <c r="Q70" t="s">
        <v>7</v>
      </c>
      <c r="R70" s="7">
        <f t="shared" si="3"/>
        <v>22</v>
      </c>
      <c r="S70" s="7">
        <f t="shared" si="4"/>
        <v>4.4000000000000004</v>
      </c>
      <c r="T70">
        <f>Table1[[#This Row],[Total price]]-Table1[[#This Row],[Discount Amount]]</f>
        <v>17.600000000000001</v>
      </c>
      <c r="U70">
        <f t="shared" si="5"/>
        <v>140.80000000000001</v>
      </c>
    </row>
    <row r="71" spans="1:21">
      <c r="A71">
        <v>70</v>
      </c>
      <c r="B71" s="3" t="s">
        <v>2792</v>
      </c>
      <c r="C71" s="3" t="s">
        <v>1155</v>
      </c>
      <c r="D71" s="3" t="s">
        <v>2866</v>
      </c>
      <c r="E71" s="3" t="s">
        <v>2946</v>
      </c>
      <c r="F71" s="3">
        <v>25</v>
      </c>
      <c r="G71" s="4">
        <v>40513.397222222222</v>
      </c>
      <c r="H71" s="3">
        <v>3</v>
      </c>
      <c r="I71" s="5">
        <v>14</v>
      </c>
      <c r="J71" t="s">
        <v>217</v>
      </c>
      <c r="K71" t="s">
        <v>4497</v>
      </c>
      <c r="L71">
        <v>536375</v>
      </c>
      <c r="M71" s="2">
        <v>20679</v>
      </c>
      <c r="N71">
        <v>4.95</v>
      </c>
      <c r="O71" s="6">
        <v>6</v>
      </c>
      <c r="P71" s="3">
        <v>0.2</v>
      </c>
      <c r="Q71" t="s">
        <v>7</v>
      </c>
      <c r="R71" s="7">
        <f t="shared" si="3"/>
        <v>29.700000000000003</v>
      </c>
      <c r="S71" s="7">
        <f t="shared" si="4"/>
        <v>5.9400000000000013</v>
      </c>
      <c r="T71">
        <f>Table1[[#This Row],[Total price]]-Table1[[#This Row],[Discount Amount]]</f>
        <v>23.76</v>
      </c>
      <c r="U71">
        <f t="shared" si="5"/>
        <v>142.56</v>
      </c>
    </row>
    <row r="72" spans="1:21">
      <c r="A72">
        <v>71</v>
      </c>
      <c r="B72" s="3" t="s">
        <v>2791</v>
      </c>
      <c r="C72" s="3" t="s">
        <v>1854</v>
      </c>
      <c r="D72" s="3" t="s">
        <v>2866</v>
      </c>
      <c r="E72" s="3" t="s">
        <v>2947</v>
      </c>
      <c r="F72" s="3">
        <v>25</v>
      </c>
      <c r="G72" s="4">
        <v>40513.397222222222</v>
      </c>
      <c r="H72" s="3">
        <v>4</v>
      </c>
      <c r="I72" s="5">
        <v>21</v>
      </c>
      <c r="J72" t="s">
        <v>658</v>
      </c>
      <c r="K72" t="s">
        <v>4497</v>
      </c>
      <c r="L72">
        <v>536375</v>
      </c>
      <c r="M72" s="2">
        <v>37370</v>
      </c>
      <c r="N72">
        <v>1.06</v>
      </c>
      <c r="O72" s="6">
        <v>6</v>
      </c>
      <c r="P72" s="3">
        <v>0.1</v>
      </c>
      <c r="Q72" t="s">
        <v>7</v>
      </c>
      <c r="R72" s="7">
        <f t="shared" si="3"/>
        <v>6.36</v>
      </c>
      <c r="S72" s="7">
        <f t="shared" si="4"/>
        <v>0.63600000000000012</v>
      </c>
      <c r="T72">
        <f>Table1[[#This Row],[Total price]]-Table1[[#This Row],[Discount Amount]]</f>
        <v>5.7240000000000002</v>
      </c>
      <c r="U72">
        <f t="shared" si="5"/>
        <v>34.344000000000001</v>
      </c>
    </row>
    <row r="73" spans="1:21">
      <c r="A73">
        <v>72</v>
      </c>
      <c r="B73" s="3" t="s">
        <v>1961</v>
      </c>
      <c r="C73" s="3" t="s">
        <v>1422</v>
      </c>
      <c r="D73" s="3" t="s">
        <v>2866</v>
      </c>
      <c r="E73" s="3" t="s">
        <v>2948</v>
      </c>
      <c r="F73" s="3">
        <v>26</v>
      </c>
      <c r="G73" s="4">
        <v>40513.397222222222</v>
      </c>
      <c r="H73" s="3">
        <v>4</v>
      </c>
      <c r="I73" s="5">
        <v>7</v>
      </c>
      <c r="J73" t="s">
        <v>534</v>
      </c>
      <c r="K73" t="s">
        <v>4497</v>
      </c>
      <c r="L73">
        <v>536375</v>
      </c>
      <c r="M73" s="2">
        <v>21871</v>
      </c>
      <c r="N73">
        <v>1.06</v>
      </c>
      <c r="O73" s="6">
        <v>6</v>
      </c>
      <c r="P73" s="3">
        <v>0.05</v>
      </c>
      <c r="Q73" t="s">
        <v>7</v>
      </c>
      <c r="R73" s="7">
        <f t="shared" si="3"/>
        <v>6.36</v>
      </c>
      <c r="S73" s="7">
        <f t="shared" si="4"/>
        <v>0.31800000000000006</v>
      </c>
      <c r="T73">
        <f>Table1[[#This Row],[Total price]]-Table1[[#This Row],[Discount Amount]]</f>
        <v>6.0419999999999998</v>
      </c>
      <c r="U73">
        <f t="shared" si="5"/>
        <v>36.251999999999995</v>
      </c>
    </row>
    <row r="74" spans="1:21">
      <c r="A74">
        <v>73</v>
      </c>
      <c r="B74" s="3" t="s">
        <v>2790</v>
      </c>
      <c r="C74" s="3" t="s">
        <v>1996</v>
      </c>
      <c r="D74" s="3" t="s">
        <v>2866</v>
      </c>
      <c r="E74" s="3" t="s">
        <v>2949</v>
      </c>
      <c r="F74" s="3">
        <v>26</v>
      </c>
      <c r="G74" s="4">
        <v>40513.397222222222</v>
      </c>
      <c r="H74" s="3">
        <v>4</v>
      </c>
      <c r="I74" s="5">
        <v>2</v>
      </c>
      <c r="J74" t="s">
        <v>646</v>
      </c>
      <c r="K74" t="s">
        <v>4497</v>
      </c>
      <c r="L74">
        <v>536375</v>
      </c>
      <c r="M74" s="2">
        <v>21071</v>
      </c>
      <c r="N74">
        <v>1.06</v>
      </c>
      <c r="O74" s="6">
        <v>6</v>
      </c>
      <c r="P74" s="3">
        <v>0.2</v>
      </c>
      <c r="Q74" t="s">
        <v>7</v>
      </c>
      <c r="R74" s="7">
        <f t="shared" si="3"/>
        <v>6.36</v>
      </c>
      <c r="S74" s="7">
        <f t="shared" si="4"/>
        <v>1.2720000000000002</v>
      </c>
      <c r="T74">
        <f>Table1[[#This Row],[Total price]]-Table1[[#This Row],[Discount Amount]]</f>
        <v>5.0880000000000001</v>
      </c>
      <c r="U74">
        <f t="shared" si="5"/>
        <v>30.527999999999999</v>
      </c>
    </row>
    <row r="75" spans="1:21">
      <c r="A75">
        <v>74</v>
      </c>
      <c r="B75" s="3" t="s">
        <v>1345</v>
      </c>
      <c r="C75" s="3" t="s">
        <v>2789</v>
      </c>
      <c r="D75" s="3" t="s">
        <v>2866</v>
      </c>
      <c r="E75" s="3" t="s">
        <v>2950</v>
      </c>
      <c r="F75" s="3">
        <v>26</v>
      </c>
      <c r="G75" s="4">
        <v>40513.397222222222</v>
      </c>
      <c r="H75" s="3">
        <v>4</v>
      </c>
      <c r="I75" s="5">
        <v>12</v>
      </c>
      <c r="J75" t="s">
        <v>579</v>
      </c>
      <c r="K75" t="s">
        <v>4497</v>
      </c>
      <c r="L75">
        <v>536375</v>
      </c>
      <c r="M75" s="2">
        <v>21068</v>
      </c>
      <c r="N75">
        <v>1.06</v>
      </c>
      <c r="O75" s="6">
        <v>6</v>
      </c>
      <c r="P75" s="3">
        <v>0.2</v>
      </c>
      <c r="Q75" t="s">
        <v>7</v>
      </c>
      <c r="R75" s="7">
        <f t="shared" si="3"/>
        <v>6.36</v>
      </c>
      <c r="S75" s="7">
        <f t="shared" si="4"/>
        <v>1.2720000000000002</v>
      </c>
      <c r="T75">
        <f>Table1[[#This Row],[Total price]]-Table1[[#This Row],[Discount Amount]]</f>
        <v>5.0880000000000001</v>
      </c>
      <c r="U75">
        <f t="shared" si="5"/>
        <v>30.527999999999999</v>
      </c>
    </row>
    <row r="76" spans="1:21">
      <c r="A76">
        <v>75</v>
      </c>
      <c r="B76" s="3" t="s">
        <v>2788</v>
      </c>
      <c r="C76" s="3" t="s">
        <v>1223</v>
      </c>
      <c r="D76" s="3" t="s">
        <v>2866</v>
      </c>
      <c r="E76" s="3" t="s">
        <v>2951</v>
      </c>
      <c r="F76" s="3">
        <v>26</v>
      </c>
      <c r="G76" s="4">
        <v>40513.397222222222</v>
      </c>
      <c r="H76" s="3">
        <v>4</v>
      </c>
      <c r="I76" s="5">
        <v>21</v>
      </c>
      <c r="J76" t="s">
        <v>458</v>
      </c>
      <c r="K76" t="s">
        <v>4497</v>
      </c>
      <c r="L76">
        <v>536375</v>
      </c>
      <c r="M76" s="2">
        <v>82483</v>
      </c>
      <c r="N76">
        <v>4.95</v>
      </c>
      <c r="O76" s="6">
        <v>2</v>
      </c>
      <c r="P76" s="3">
        <v>7.0000000000000007E-2</v>
      </c>
      <c r="Q76" t="s">
        <v>7</v>
      </c>
      <c r="R76" s="7">
        <f t="shared" si="3"/>
        <v>9.9</v>
      </c>
      <c r="S76" s="7">
        <f t="shared" si="4"/>
        <v>0.69300000000000006</v>
      </c>
      <c r="T76">
        <f>Table1[[#This Row],[Total price]]-Table1[[#This Row],[Discount Amount]]</f>
        <v>9.2070000000000007</v>
      </c>
      <c r="U76">
        <f t="shared" si="5"/>
        <v>18.414000000000001</v>
      </c>
    </row>
    <row r="77" spans="1:21">
      <c r="A77">
        <v>76</v>
      </c>
      <c r="B77" s="3" t="s">
        <v>2787</v>
      </c>
      <c r="C77" s="3" t="s">
        <v>2786</v>
      </c>
      <c r="D77" s="3" t="s">
        <v>2866</v>
      </c>
      <c r="E77" s="3" t="s">
        <v>2952</v>
      </c>
      <c r="F77" s="3">
        <v>27</v>
      </c>
      <c r="G77" s="4">
        <v>40513.397222222222</v>
      </c>
      <c r="H77" s="3">
        <v>3</v>
      </c>
      <c r="I77" s="5">
        <v>5</v>
      </c>
      <c r="J77" t="s">
        <v>607</v>
      </c>
      <c r="K77" t="s">
        <v>4497</v>
      </c>
      <c r="L77">
        <v>536375</v>
      </c>
      <c r="M77" s="2">
        <v>82486</v>
      </c>
      <c r="N77">
        <v>6.95</v>
      </c>
      <c r="O77" s="6">
        <v>4</v>
      </c>
      <c r="P77" s="3">
        <v>0.2</v>
      </c>
      <c r="Q77" t="s">
        <v>7</v>
      </c>
      <c r="R77" s="7">
        <f t="shared" si="3"/>
        <v>27.8</v>
      </c>
      <c r="S77" s="7">
        <f t="shared" si="4"/>
        <v>5.5600000000000005</v>
      </c>
      <c r="T77">
        <f>Table1[[#This Row],[Total price]]-Table1[[#This Row],[Discount Amount]]</f>
        <v>22.240000000000002</v>
      </c>
      <c r="U77">
        <f t="shared" si="5"/>
        <v>88.960000000000008</v>
      </c>
    </row>
    <row r="78" spans="1:21">
      <c r="A78">
        <v>77</v>
      </c>
      <c r="B78" s="3" t="s">
        <v>2785</v>
      </c>
      <c r="C78" s="3" t="s">
        <v>1359</v>
      </c>
      <c r="D78" s="3" t="s">
        <v>2866</v>
      </c>
      <c r="E78" s="3" t="s">
        <v>2953</v>
      </c>
      <c r="F78" s="3">
        <v>27</v>
      </c>
      <c r="G78" s="4">
        <v>40513.397222222222</v>
      </c>
      <c r="H78" s="3">
        <v>4</v>
      </c>
      <c r="I78" s="5">
        <v>19</v>
      </c>
      <c r="J78" t="s">
        <v>246</v>
      </c>
      <c r="K78" t="s">
        <v>4497</v>
      </c>
      <c r="L78">
        <v>536375</v>
      </c>
      <c r="M78" s="2">
        <v>82482</v>
      </c>
      <c r="N78">
        <v>2.1</v>
      </c>
      <c r="O78" s="6">
        <v>6</v>
      </c>
      <c r="P78" s="3">
        <v>0.2</v>
      </c>
      <c r="Q78" t="s">
        <v>7</v>
      </c>
      <c r="R78" s="7">
        <f t="shared" si="3"/>
        <v>12.600000000000001</v>
      </c>
      <c r="S78" s="7">
        <f t="shared" si="4"/>
        <v>2.5200000000000005</v>
      </c>
      <c r="T78">
        <f>Table1[[#This Row],[Total price]]-Table1[[#This Row],[Discount Amount]]</f>
        <v>10.080000000000002</v>
      </c>
      <c r="U78">
        <f t="shared" si="5"/>
        <v>60.480000000000011</v>
      </c>
    </row>
    <row r="79" spans="1:21">
      <c r="A79">
        <v>78</v>
      </c>
      <c r="B79" s="3" t="s">
        <v>2784</v>
      </c>
      <c r="C79" s="3" t="s">
        <v>2269</v>
      </c>
      <c r="D79" s="3" t="s">
        <v>2866</v>
      </c>
      <c r="E79" s="3" t="s">
        <v>2954</v>
      </c>
      <c r="F79" s="3">
        <v>27</v>
      </c>
      <c r="G79" s="4">
        <v>40513.397222222222</v>
      </c>
      <c r="H79" s="3">
        <v>4</v>
      </c>
      <c r="I79" s="5">
        <v>26</v>
      </c>
      <c r="J79" t="s">
        <v>245</v>
      </c>
      <c r="K79" t="s">
        <v>4497</v>
      </c>
      <c r="L79">
        <v>536375</v>
      </c>
      <c r="M79" s="2" t="s">
        <v>244</v>
      </c>
      <c r="N79">
        <v>2.5499999999999998</v>
      </c>
      <c r="O79" s="6">
        <v>6</v>
      </c>
      <c r="P79" s="3">
        <v>7.0000000000000007E-2</v>
      </c>
      <c r="Q79" t="s">
        <v>7</v>
      </c>
      <c r="R79" s="7">
        <f t="shared" si="3"/>
        <v>15.299999999999999</v>
      </c>
      <c r="S79" s="7">
        <f t="shared" si="4"/>
        <v>1.071</v>
      </c>
      <c r="T79">
        <f>Table1[[#This Row],[Total price]]-Table1[[#This Row],[Discount Amount]]</f>
        <v>14.228999999999999</v>
      </c>
      <c r="U79">
        <f t="shared" si="5"/>
        <v>85.373999999999995</v>
      </c>
    </row>
    <row r="80" spans="1:21">
      <c r="A80">
        <v>79</v>
      </c>
      <c r="B80" s="3" t="s">
        <v>1613</v>
      </c>
      <c r="C80" s="3" t="s">
        <v>2720</v>
      </c>
      <c r="D80" s="3" t="s">
        <v>2866</v>
      </c>
      <c r="E80" s="3" t="s">
        <v>2955</v>
      </c>
      <c r="F80" s="3">
        <v>27</v>
      </c>
      <c r="G80" s="4">
        <v>40513.397222222222</v>
      </c>
      <c r="H80" s="3">
        <v>4</v>
      </c>
      <c r="I80" s="5">
        <v>8</v>
      </c>
      <c r="J80" t="s">
        <v>442</v>
      </c>
      <c r="K80" t="s">
        <v>4497</v>
      </c>
      <c r="L80">
        <v>536375</v>
      </c>
      <c r="M80" s="2" t="s">
        <v>441</v>
      </c>
      <c r="N80">
        <v>3.39</v>
      </c>
      <c r="O80" s="6">
        <v>6</v>
      </c>
      <c r="P80" s="3">
        <v>7.0000000000000007E-2</v>
      </c>
      <c r="Q80" t="s">
        <v>7</v>
      </c>
      <c r="R80" s="7">
        <f t="shared" si="3"/>
        <v>20.34</v>
      </c>
      <c r="S80" s="7">
        <f t="shared" si="4"/>
        <v>1.4238000000000002</v>
      </c>
      <c r="T80">
        <f>Table1[[#This Row],[Total price]]-Table1[[#This Row],[Discount Amount]]</f>
        <v>18.9162</v>
      </c>
      <c r="U80">
        <f t="shared" si="5"/>
        <v>113.49719999999999</v>
      </c>
    </row>
    <row r="81" spans="1:21">
      <c r="A81">
        <v>80</v>
      </c>
      <c r="B81" s="3" t="s">
        <v>2783</v>
      </c>
      <c r="C81" s="3" t="s">
        <v>1146</v>
      </c>
      <c r="D81" s="3" t="s">
        <v>2956</v>
      </c>
      <c r="E81" s="3" t="s">
        <v>2957</v>
      </c>
      <c r="F81" s="3">
        <v>28</v>
      </c>
      <c r="G81" s="4">
        <v>40513.397222222222</v>
      </c>
      <c r="H81" s="3">
        <v>4</v>
      </c>
      <c r="I81" s="5">
        <v>5</v>
      </c>
      <c r="J81" t="s">
        <v>73</v>
      </c>
      <c r="K81" t="s">
        <v>4497</v>
      </c>
      <c r="L81">
        <v>536375</v>
      </c>
      <c r="M81" s="2" t="s">
        <v>72</v>
      </c>
      <c r="N81">
        <v>3.39</v>
      </c>
      <c r="O81" s="6">
        <v>6</v>
      </c>
      <c r="P81" s="3">
        <v>0.05</v>
      </c>
      <c r="Q81" t="s">
        <v>7</v>
      </c>
      <c r="R81" s="7">
        <f t="shared" si="3"/>
        <v>20.34</v>
      </c>
      <c r="S81" s="7">
        <f t="shared" si="4"/>
        <v>1.0170000000000001</v>
      </c>
      <c r="T81">
        <f>Table1[[#This Row],[Total price]]-Table1[[#This Row],[Discount Amount]]</f>
        <v>19.323</v>
      </c>
      <c r="U81">
        <f t="shared" si="5"/>
        <v>115.938</v>
      </c>
    </row>
    <row r="82" spans="1:21">
      <c r="A82">
        <v>81</v>
      </c>
      <c r="B82" s="3" t="s">
        <v>2782</v>
      </c>
      <c r="C82" s="3" t="s">
        <v>1212</v>
      </c>
      <c r="D82" s="3" t="s">
        <v>2866</v>
      </c>
      <c r="E82" s="3" t="s">
        <v>2958</v>
      </c>
      <c r="F82" s="3">
        <v>28</v>
      </c>
      <c r="G82" s="4">
        <v>40513.397222222222</v>
      </c>
      <c r="H82" s="3">
        <v>4</v>
      </c>
      <c r="I82" s="5">
        <v>7</v>
      </c>
      <c r="J82" t="s">
        <v>227</v>
      </c>
      <c r="K82" t="s">
        <v>4497</v>
      </c>
      <c r="L82">
        <v>536375</v>
      </c>
      <c r="M82" s="2">
        <v>22752</v>
      </c>
      <c r="N82">
        <v>7.65</v>
      </c>
      <c r="O82" s="6">
        <v>2</v>
      </c>
      <c r="P82" s="3">
        <v>0.2</v>
      </c>
      <c r="Q82" t="s">
        <v>7</v>
      </c>
      <c r="R82" s="7">
        <f t="shared" si="3"/>
        <v>15.3</v>
      </c>
      <c r="S82" s="7">
        <f t="shared" si="4"/>
        <v>3.0600000000000005</v>
      </c>
      <c r="T82">
        <f>Table1[[#This Row],[Total price]]-Table1[[#This Row],[Discount Amount]]</f>
        <v>12.24</v>
      </c>
      <c r="U82">
        <f t="shared" si="5"/>
        <v>24.48</v>
      </c>
    </row>
    <row r="83" spans="1:21">
      <c r="A83">
        <v>82</v>
      </c>
      <c r="B83" s="3" t="s">
        <v>2781</v>
      </c>
      <c r="C83" s="3" t="s">
        <v>1403</v>
      </c>
      <c r="D83" s="3" t="s">
        <v>2866</v>
      </c>
      <c r="E83" s="3" t="s">
        <v>2959</v>
      </c>
      <c r="F83" s="3">
        <v>28</v>
      </c>
      <c r="G83" s="4">
        <v>40513.397222222222</v>
      </c>
      <c r="H83" s="3">
        <v>4</v>
      </c>
      <c r="I83" s="5">
        <v>14</v>
      </c>
      <c r="J83" t="s">
        <v>437</v>
      </c>
      <c r="K83" t="s">
        <v>4497</v>
      </c>
      <c r="L83">
        <v>536375</v>
      </c>
      <c r="M83" s="2">
        <v>21730</v>
      </c>
      <c r="N83">
        <v>4.25</v>
      </c>
      <c r="O83" s="6">
        <v>6</v>
      </c>
      <c r="P83" s="3">
        <v>0.1</v>
      </c>
      <c r="Q83" t="s">
        <v>7</v>
      </c>
      <c r="R83" s="7">
        <f t="shared" si="3"/>
        <v>25.5</v>
      </c>
      <c r="S83" s="7">
        <f t="shared" si="4"/>
        <v>2.5500000000000003</v>
      </c>
      <c r="T83">
        <f>Table1[[#This Row],[Total price]]-Table1[[#This Row],[Discount Amount]]</f>
        <v>22.95</v>
      </c>
      <c r="U83">
        <f t="shared" si="5"/>
        <v>137.69999999999999</v>
      </c>
    </row>
    <row r="84" spans="1:21">
      <c r="A84">
        <v>83</v>
      </c>
      <c r="B84" s="3" t="s">
        <v>2780</v>
      </c>
      <c r="C84" s="3" t="s">
        <v>2779</v>
      </c>
      <c r="D84" s="3" t="s">
        <v>2866</v>
      </c>
      <c r="E84" s="3" t="s">
        <v>2960</v>
      </c>
      <c r="F84" s="3">
        <v>28</v>
      </c>
      <c r="G84" s="4">
        <v>40513.397222222222</v>
      </c>
      <c r="H84" s="3">
        <v>4</v>
      </c>
      <c r="I84" s="5">
        <v>6</v>
      </c>
      <c r="J84" t="s">
        <v>94</v>
      </c>
      <c r="K84" t="s">
        <v>4497</v>
      </c>
      <c r="L84">
        <v>536376</v>
      </c>
      <c r="M84" s="2">
        <v>22114</v>
      </c>
      <c r="N84">
        <v>3.45</v>
      </c>
      <c r="O84" s="6">
        <v>48</v>
      </c>
      <c r="P84" s="3">
        <v>0.05</v>
      </c>
      <c r="Q84" t="s">
        <v>7</v>
      </c>
      <c r="R84" s="7">
        <f t="shared" si="3"/>
        <v>165.60000000000002</v>
      </c>
      <c r="S84" s="7">
        <f t="shared" si="4"/>
        <v>8.2800000000000011</v>
      </c>
      <c r="T84">
        <f>Table1[[#This Row],[Total price]]-Table1[[#This Row],[Discount Amount]]</f>
        <v>157.32000000000002</v>
      </c>
      <c r="U84">
        <f t="shared" si="5"/>
        <v>7551.3600000000006</v>
      </c>
    </row>
    <row r="85" spans="1:21">
      <c r="A85">
        <v>84</v>
      </c>
      <c r="B85" s="3" t="s">
        <v>2778</v>
      </c>
      <c r="C85" s="3" t="s">
        <v>2777</v>
      </c>
      <c r="D85" s="3" t="s">
        <v>2866</v>
      </c>
      <c r="E85" s="3" t="s">
        <v>2961</v>
      </c>
      <c r="F85" s="3">
        <v>29</v>
      </c>
      <c r="G85" s="4">
        <v>40513.397222222222</v>
      </c>
      <c r="H85" s="3">
        <v>4</v>
      </c>
      <c r="I85" s="5">
        <v>24</v>
      </c>
      <c r="J85" t="s">
        <v>66</v>
      </c>
      <c r="K85" t="s">
        <v>4497</v>
      </c>
      <c r="L85">
        <v>536376</v>
      </c>
      <c r="M85" s="2">
        <v>21733</v>
      </c>
      <c r="N85">
        <v>2.5499999999999998</v>
      </c>
      <c r="O85" s="6">
        <v>64</v>
      </c>
      <c r="P85" s="3">
        <v>0.05</v>
      </c>
      <c r="Q85" t="s">
        <v>7</v>
      </c>
      <c r="R85" s="7">
        <f t="shared" si="3"/>
        <v>163.19999999999999</v>
      </c>
      <c r="S85" s="7">
        <f t="shared" si="4"/>
        <v>8.16</v>
      </c>
      <c r="T85">
        <f>Table1[[#This Row],[Total price]]-Table1[[#This Row],[Discount Amount]]</f>
        <v>155.04</v>
      </c>
      <c r="U85">
        <f t="shared" si="5"/>
        <v>9922.56</v>
      </c>
    </row>
    <row r="86" spans="1:21">
      <c r="A86">
        <v>85</v>
      </c>
      <c r="B86" s="3" t="s">
        <v>2776</v>
      </c>
      <c r="C86" s="3" t="s">
        <v>2304</v>
      </c>
      <c r="D86" s="3" t="s">
        <v>2866</v>
      </c>
      <c r="E86" s="3" t="s">
        <v>2962</v>
      </c>
      <c r="F86" s="3">
        <v>29</v>
      </c>
      <c r="G86" s="4">
        <v>40513.398611111108</v>
      </c>
      <c r="H86" s="3">
        <v>4</v>
      </c>
      <c r="I86" s="5">
        <v>6</v>
      </c>
      <c r="J86" t="s">
        <v>599</v>
      </c>
      <c r="K86" t="s">
        <v>4497</v>
      </c>
      <c r="L86">
        <v>536377</v>
      </c>
      <c r="M86" s="2">
        <v>22632</v>
      </c>
      <c r="N86">
        <v>1.85</v>
      </c>
      <c r="O86" s="6">
        <v>6</v>
      </c>
      <c r="P86" s="3">
        <v>0.2</v>
      </c>
      <c r="Q86" t="s">
        <v>7</v>
      </c>
      <c r="R86" s="7">
        <f t="shared" si="3"/>
        <v>11.100000000000001</v>
      </c>
      <c r="S86" s="7">
        <f t="shared" si="4"/>
        <v>2.2200000000000002</v>
      </c>
      <c r="T86">
        <f>Table1[[#This Row],[Total price]]-Table1[[#This Row],[Discount Amount]]</f>
        <v>8.8800000000000008</v>
      </c>
      <c r="U86">
        <f t="shared" si="5"/>
        <v>53.28</v>
      </c>
    </row>
    <row r="87" spans="1:21">
      <c r="A87">
        <v>86</v>
      </c>
      <c r="B87" s="3" t="s">
        <v>2775</v>
      </c>
      <c r="C87" s="3" t="s">
        <v>1306</v>
      </c>
      <c r="D87" s="3" t="s">
        <v>2866</v>
      </c>
      <c r="E87" s="3" t="s">
        <v>2963</v>
      </c>
      <c r="F87" s="3">
        <v>29</v>
      </c>
      <c r="G87" s="4">
        <v>40513.398611111108</v>
      </c>
      <c r="H87" s="3">
        <v>4</v>
      </c>
      <c r="I87" s="5">
        <v>21</v>
      </c>
      <c r="J87" t="s">
        <v>28</v>
      </c>
      <c r="K87" t="s">
        <v>4497</v>
      </c>
      <c r="L87">
        <v>536377</v>
      </c>
      <c r="M87" s="2">
        <v>22633</v>
      </c>
      <c r="N87">
        <v>1.85</v>
      </c>
      <c r="O87" s="6">
        <v>6</v>
      </c>
      <c r="P87" s="3">
        <v>0.1</v>
      </c>
      <c r="Q87" t="s">
        <v>7</v>
      </c>
      <c r="R87" s="7">
        <f t="shared" si="3"/>
        <v>11.100000000000001</v>
      </c>
      <c r="S87" s="7">
        <f t="shared" si="4"/>
        <v>1.1100000000000001</v>
      </c>
      <c r="T87">
        <f>Table1[[#This Row],[Total price]]-Table1[[#This Row],[Discount Amount]]</f>
        <v>9.990000000000002</v>
      </c>
      <c r="U87">
        <f t="shared" si="5"/>
        <v>59.940000000000012</v>
      </c>
    </row>
    <row r="88" spans="1:21">
      <c r="A88">
        <v>87</v>
      </c>
      <c r="B88" s="3" t="s">
        <v>2483</v>
      </c>
      <c r="C88" s="3" t="s">
        <v>1014</v>
      </c>
      <c r="D88" s="3" t="s">
        <v>2866</v>
      </c>
      <c r="E88" s="3" t="s">
        <v>2964</v>
      </c>
      <c r="F88" s="3">
        <v>29</v>
      </c>
      <c r="G88" s="4">
        <v>40513.400694444441</v>
      </c>
      <c r="H88" s="3">
        <v>4</v>
      </c>
      <c r="I88" s="5">
        <v>8</v>
      </c>
      <c r="J88" t="s">
        <v>448</v>
      </c>
      <c r="K88" t="s">
        <v>4497</v>
      </c>
      <c r="L88">
        <v>536378</v>
      </c>
      <c r="M88" s="2">
        <v>22386</v>
      </c>
      <c r="N88">
        <v>1.95</v>
      </c>
      <c r="O88" s="6">
        <v>10</v>
      </c>
      <c r="P88" s="3">
        <v>0.2</v>
      </c>
      <c r="Q88" t="s">
        <v>7</v>
      </c>
      <c r="R88" s="7">
        <f t="shared" si="3"/>
        <v>19.5</v>
      </c>
      <c r="S88" s="7">
        <f t="shared" si="4"/>
        <v>3.9000000000000004</v>
      </c>
      <c r="T88">
        <f>Table1[[#This Row],[Total price]]-Table1[[#This Row],[Discount Amount]]</f>
        <v>15.6</v>
      </c>
      <c r="U88">
        <f t="shared" si="5"/>
        <v>156</v>
      </c>
    </row>
    <row r="89" spans="1:21">
      <c r="A89">
        <v>88</v>
      </c>
      <c r="B89" s="3" t="s">
        <v>2774</v>
      </c>
      <c r="C89" s="3" t="s">
        <v>1778</v>
      </c>
      <c r="D89" s="3" t="s">
        <v>2866</v>
      </c>
      <c r="E89" s="3" t="s">
        <v>2965</v>
      </c>
      <c r="F89" s="3">
        <v>29</v>
      </c>
      <c r="G89" s="4">
        <v>40513.400694444441</v>
      </c>
      <c r="H89" s="3">
        <v>4</v>
      </c>
      <c r="I89" s="5">
        <v>14</v>
      </c>
      <c r="J89" t="s">
        <v>341</v>
      </c>
      <c r="K89" t="s">
        <v>4497</v>
      </c>
      <c r="L89">
        <v>536378</v>
      </c>
      <c r="M89" s="2" t="s">
        <v>340</v>
      </c>
      <c r="N89">
        <v>1.95</v>
      </c>
      <c r="O89" s="6">
        <v>10</v>
      </c>
      <c r="P89" s="3">
        <v>0.05</v>
      </c>
      <c r="Q89" t="s">
        <v>7</v>
      </c>
      <c r="R89" s="7">
        <f t="shared" si="3"/>
        <v>19.5</v>
      </c>
      <c r="S89" s="7">
        <f t="shared" si="4"/>
        <v>0.97500000000000009</v>
      </c>
      <c r="T89">
        <f>Table1[[#This Row],[Total price]]-Table1[[#This Row],[Discount Amount]]</f>
        <v>18.524999999999999</v>
      </c>
      <c r="U89">
        <f t="shared" si="5"/>
        <v>185.25</v>
      </c>
    </row>
    <row r="90" spans="1:21">
      <c r="A90">
        <v>89</v>
      </c>
      <c r="B90" s="3" t="s">
        <v>2504</v>
      </c>
      <c r="C90" s="3" t="s">
        <v>1448</v>
      </c>
      <c r="D90" s="3" t="s">
        <v>2866</v>
      </c>
      <c r="E90" s="3" t="s">
        <v>2966</v>
      </c>
      <c r="F90" s="3">
        <v>30</v>
      </c>
      <c r="G90" s="4">
        <v>40513.400694444441</v>
      </c>
      <c r="H90" s="3">
        <v>4</v>
      </c>
      <c r="I90" s="5">
        <v>26</v>
      </c>
      <c r="J90" t="s">
        <v>487</v>
      </c>
      <c r="K90" t="s">
        <v>4497</v>
      </c>
      <c r="L90">
        <v>536378</v>
      </c>
      <c r="M90" s="2">
        <v>21033</v>
      </c>
      <c r="N90">
        <v>2.95</v>
      </c>
      <c r="O90" s="6">
        <v>10</v>
      </c>
      <c r="P90" s="3">
        <v>0.05</v>
      </c>
      <c r="Q90" t="s">
        <v>7</v>
      </c>
      <c r="R90" s="7">
        <f t="shared" si="3"/>
        <v>29.5</v>
      </c>
      <c r="S90" s="7">
        <f t="shared" si="4"/>
        <v>1.4750000000000001</v>
      </c>
      <c r="T90">
        <f>Table1[[#This Row],[Total price]]-Table1[[#This Row],[Discount Amount]]</f>
        <v>28.024999999999999</v>
      </c>
      <c r="U90">
        <f t="shared" si="5"/>
        <v>280.25</v>
      </c>
    </row>
    <row r="91" spans="1:21">
      <c r="A91">
        <v>90</v>
      </c>
      <c r="B91" s="3" t="s">
        <v>2773</v>
      </c>
      <c r="C91" s="3" t="s">
        <v>2650</v>
      </c>
      <c r="D91" s="3" t="s">
        <v>2866</v>
      </c>
      <c r="E91" s="3" t="s">
        <v>2967</v>
      </c>
      <c r="F91" s="3">
        <v>30</v>
      </c>
      <c r="G91" s="4">
        <v>40513.400694444441</v>
      </c>
      <c r="H91" s="3">
        <v>4</v>
      </c>
      <c r="I91" s="5">
        <v>17</v>
      </c>
      <c r="J91" t="s">
        <v>494</v>
      </c>
      <c r="K91" t="s">
        <v>4497</v>
      </c>
      <c r="L91">
        <v>536378</v>
      </c>
      <c r="M91" s="2">
        <v>20723</v>
      </c>
      <c r="N91">
        <v>0.85</v>
      </c>
      <c r="O91" s="6">
        <v>10</v>
      </c>
      <c r="P91" s="3">
        <v>7.0000000000000007E-2</v>
      </c>
      <c r="Q91" t="s">
        <v>7</v>
      </c>
      <c r="R91" s="7">
        <f t="shared" si="3"/>
        <v>8.5</v>
      </c>
      <c r="S91" s="7">
        <f t="shared" si="4"/>
        <v>0.59500000000000008</v>
      </c>
      <c r="T91">
        <f>Table1[[#This Row],[Total price]]-Table1[[#This Row],[Discount Amount]]</f>
        <v>7.9050000000000002</v>
      </c>
      <c r="U91">
        <f t="shared" si="5"/>
        <v>79.05</v>
      </c>
    </row>
    <row r="92" spans="1:21">
      <c r="A92">
        <v>91</v>
      </c>
      <c r="B92" s="3" t="s">
        <v>2772</v>
      </c>
      <c r="C92" s="3" t="s">
        <v>2771</v>
      </c>
      <c r="D92" s="3" t="s">
        <v>2968</v>
      </c>
      <c r="E92" s="3" t="s">
        <v>2969</v>
      </c>
      <c r="F92" s="3">
        <v>30</v>
      </c>
      <c r="G92" s="4">
        <v>40513.400694444441</v>
      </c>
      <c r="H92" s="3">
        <v>4</v>
      </c>
      <c r="I92" s="5">
        <v>19</v>
      </c>
      <c r="J92" t="s">
        <v>212</v>
      </c>
      <c r="K92" t="s">
        <v>4497</v>
      </c>
      <c r="L92">
        <v>536378</v>
      </c>
      <c r="M92" s="2" t="s">
        <v>48</v>
      </c>
      <c r="N92">
        <v>3.75</v>
      </c>
      <c r="O92" s="6">
        <v>12</v>
      </c>
      <c r="P92" s="3">
        <v>0.1</v>
      </c>
      <c r="Q92" t="s">
        <v>7</v>
      </c>
      <c r="R92" s="7">
        <f t="shared" si="3"/>
        <v>45</v>
      </c>
      <c r="S92" s="7">
        <f t="shared" si="4"/>
        <v>4.5</v>
      </c>
      <c r="T92">
        <f>Table1[[#This Row],[Total price]]-Table1[[#This Row],[Discount Amount]]</f>
        <v>40.5</v>
      </c>
      <c r="U92">
        <f t="shared" si="5"/>
        <v>486</v>
      </c>
    </row>
    <row r="93" spans="1:21">
      <c r="A93">
        <v>92</v>
      </c>
      <c r="B93" s="3" t="s">
        <v>2278</v>
      </c>
      <c r="C93" s="3" t="s">
        <v>2770</v>
      </c>
      <c r="D93" s="3" t="s">
        <v>2866</v>
      </c>
      <c r="E93" s="3" t="s">
        <v>2970</v>
      </c>
      <c r="F93" s="3">
        <v>30</v>
      </c>
      <c r="G93" s="4">
        <v>40513.400694444441</v>
      </c>
      <c r="H93" s="3">
        <v>4</v>
      </c>
      <c r="I93" s="5">
        <v>4</v>
      </c>
      <c r="J93" t="s">
        <v>446</v>
      </c>
      <c r="K93" t="s">
        <v>4497</v>
      </c>
      <c r="L93">
        <v>536378</v>
      </c>
      <c r="M93" s="2" t="s">
        <v>49</v>
      </c>
      <c r="N93">
        <v>3.75</v>
      </c>
      <c r="O93" s="6">
        <v>6</v>
      </c>
      <c r="P93" s="3">
        <v>0.1</v>
      </c>
      <c r="Q93" t="s">
        <v>7</v>
      </c>
      <c r="R93" s="7">
        <f t="shared" si="3"/>
        <v>22.5</v>
      </c>
      <c r="S93" s="7">
        <f t="shared" si="4"/>
        <v>2.25</v>
      </c>
      <c r="T93">
        <f>Table1[[#This Row],[Total price]]-Table1[[#This Row],[Discount Amount]]</f>
        <v>20.25</v>
      </c>
      <c r="U93">
        <f t="shared" si="5"/>
        <v>121.5</v>
      </c>
    </row>
    <row r="94" spans="1:21">
      <c r="A94">
        <v>93</v>
      </c>
      <c r="B94" s="3" t="s">
        <v>2769</v>
      </c>
      <c r="C94" s="3" t="s">
        <v>1844</v>
      </c>
      <c r="D94" s="3" t="s">
        <v>2971</v>
      </c>
      <c r="E94" s="3" t="s">
        <v>2972</v>
      </c>
      <c r="F94" s="3">
        <v>30</v>
      </c>
      <c r="G94" s="4">
        <v>40513.400694444441</v>
      </c>
      <c r="H94" s="3">
        <v>4</v>
      </c>
      <c r="I94" s="5">
        <v>7</v>
      </c>
      <c r="J94" t="s">
        <v>412</v>
      </c>
      <c r="K94" t="s">
        <v>4497</v>
      </c>
      <c r="L94">
        <v>536378</v>
      </c>
      <c r="M94" s="2">
        <v>21094</v>
      </c>
      <c r="N94">
        <v>0.85</v>
      </c>
      <c r="O94" s="6">
        <v>12</v>
      </c>
      <c r="P94" s="3">
        <v>0.1</v>
      </c>
      <c r="Q94" t="s">
        <v>7</v>
      </c>
      <c r="R94" s="7">
        <f t="shared" si="3"/>
        <v>10.199999999999999</v>
      </c>
      <c r="S94" s="7">
        <f t="shared" si="4"/>
        <v>1.02</v>
      </c>
      <c r="T94">
        <f>Table1[[#This Row],[Total price]]-Table1[[#This Row],[Discount Amount]]</f>
        <v>9.18</v>
      </c>
      <c r="U94">
        <f t="shared" si="5"/>
        <v>110.16</v>
      </c>
    </row>
    <row r="95" spans="1:21">
      <c r="A95">
        <v>94</v>
      </c>
      <c r="B95" s="3" t="s">
        <v>1113</v>
      </c>
      <c r="C95" s="3" t="s">
        <v>1444</v>
      </c>
      <c r="D95" s="3" t="s">
        <v>2866</v>
      </c>
      <c r="E95" s="3" t="s">
        <v>2973</v>
      </c>
      <c r="F95" s="3">
        <v>31</v>
      </c>
      <c r="G95" s="4">
        <v>40513.400694444441</v>
      </c>
      <c r="H95" s="3">
        <v>4</v>
      </c>
      <c r="I95" s="5">
        <v>11</v>
      </c>
      <c r="J95" t="s">
        <v>272</v>
      </c>
      <c r="K95" t="s">
        <v>4497</v>
      </c>
      <c r="L95">
        <v>536378</v>
      </c>
      <c r="M95" s="2">
        <v>20725</v>
      </c>
      <c r="N95">
        <v>1.65</v>
      </c>
      <c r="O95" s="6">
        <v>10</v>
      </c>
      <c r="P95" s="3">
        <v>0.05</v>
      </c>
      <c r="Q95" t="s">
        <v>7</v>
      </c>
      <c r="R95" s="7">
        <f t="shared" si="3"/>
        <v>16.5</v>
      </c>
      <c r="S95" s="7">
        <f t="shared" si="4"/>
        <v>0.82500000000000007</v>
      </c>
      <c r="T95">
        <f>Table1[[#This Row],[Total price]]-Table1[[#This Row],[Discount Amount]]</f>
        <v>15.675000000000001</v>
      </c>
      <c r="U95">
        <f t="shared" si="5"/>
        <v>156.75</v>
      </c>
    </row>
    <row r="96" spans="1:21">
      <c r="A96">
        <v>95</v>
      </c>
      <c r="B96" s="3" t="s">
        <v>2768</v>
      </c>
      <c r="C96" s="3" t="s">
        <v>1662</v>
      </c>
      <c r="D96" s="3" t="s">
        <v>2866</v>
      </c>
      <c r="E96" s="3" t="s">
        <v>2974</v>
      </c>
      <c r="F96" s="3">
        <v>31</v>
      </c>
      <c r="G96" s="4">
        <v>40513.400694444441</v>
      </c>
      <c r="H96" s="3">
        <v>4</v>
      </c>
      <c r="I96" s="5">
        <v>9</v>
      </c>
      <c r="J96" t="s">
        <v>164</v>
      </c>
      <c r="K96" t="s">
        <v>4497</v>
      </c>
      <c r="L96">
        <v>536378</v>
      </c>
      <c r="M96" s="2">
        <v>21559</v>
      </c>
      <c r="N96">
        <v>2.5499999999999998</v>
      </c>
      <c r="O96" s="6">
        <v>6</v>
      </c>
      <c r="P96" s="3">
        <v>0.2</v>
      </c>
      <c r="Q96" t="s">
        <v>7</v>
      </c>
      <c r="R96" s="7">
        <f t="shared" si="3"/>
        <v>15.299999999999999</v>
      </c>
      <c r="S96" s="7">
        <f t="shared" si="4"/>
        <v>3.06</v>
      </c>
      <c r="T96">
        <f>Table1[[#This Row],[Total price]]-Table1[[#This Row],[Discount Amount]]</f>
        <v>12.239999999999998</v>
      </c>
      <c r="U96">
        <f t="shared" si="5"/>
        <v>73.44</v>
      </c>
    </row>
    <row r="97" spans="1:21">
      <c r="A97">
        <v>96</v>
      </c>
      <c r="B97" s="3" t="s">
        <v>2767</v>
      </c>
      <c r="C97" s="3" t="s">
        <v>1343</v>
      </c>
      <c r="D97" s="3" t="s">
        <v>2866</v>
      </c>
      <c r="E97" s="3" t="s">
        <v>2975</v>
      </c>
      <c r="F97" s="3">
        <v>32</v>
      </c>
      <c r="G97" s="4">
        <v>40513.400694444441</v>
      </c>
      <c r="H97" s="3">
        <v>4</v>
      </c>
      <c r="I97" s="5">
        <v>8</v>
      </c>
      <c r="J97" t="s">
        <v>165</v>
      </c>
      <c r="K97" t="s">
        <v>4497</v>
      </c>
      <c r="L97">
        <v>536378</v>
      </c>
      <c r="M97" s="2">
        <v>22352</v>
      </c>
      <c r="N97">
        <v>2.5499999999999998</v>
      </c>
      <c r="O97" s="6">
        <v>6</v>
      </c>
      <c r="P97" s="3">
        <v>7.0000000000000007E-2</v>
      </c>
      <c r="Q97" t="s">
        <v>7</v>
      </c>
      <c r="R97" s="7">
        <f t="shared" si="3"/>
        <v>15.299999999999999</v>
      </c>
      <c r="S97" s="7">
        <f t="shared" si="4"/>
        <v>1.071</v>
      </c>
      <c r="T97">
        <f>Table1[[#This Row],[Total price]]-Table1[[#This Row],[Discount Amount]]</f>
        <v>14.228999999999999</v>
      </c>
      <c r="U97">
        <f t="shared" si="5"/>
        <v>85.373999999999995</v>
      </c>
    </row>
    <row r="98" spans="1:21">
      <c r="A98">
        <v>97</v>
      </c>
      <c r="B98" s="3" t="s">
        <v>2766</v>
      </c>
      <c r="C98" s="3" t="s">
        <v>2547</v>
      </c>
      <c r="D98" s="3" t="s">
        <v>2866</v>
      </c>
      <c r="E98" s="3" t="s">
        <v>2976</v>
      </c>
      <c r="F98" s="3">
        <v>32</v>
      </c>
      <c r="G98" s="4">
        <v>40513.400694444441</v>
      </c>
      <c r="H98" s="3">
        <v>4</v>
      </c>
      <c r="I98" s="5">
        <v>12</v>
      </c>
      <c r="J98" t="s">
        <v>363</v>
      </c>
      <c r="K98" t="s">
        <v>4497</v>
      </c>
      <c r="L98">
        <v>536378</v>
      </c>
      <c r="M98" s="2">
        <v>21212</v>
      </c>
      <c r="N98">
        <v>0.42</v>
      </c>
      <c r="O98" s="6">
        <v>120</v>
      </c>
      <c r="P98" s="3">
        <v>7.0000000000000007E-2</v>
      </c>
      <c r="Q98" t="s">
        <v>7</v>
      </c>
      <c r="R98" s="7">
        <f t="shared" si="3"/>
        <v>50.4</v>
      </c>
      <c r="S98" s="7">
        <f t="shared" si="4"/>
        <v>3.528</v>
      </c>
      <c r="T98">
        <f>Table1[[#This Row],[Total price]]-Table1[[#This Row],[Discount Amount]]</f>
        <v>46.872</v>
      </c>
      <c r="U98">
        <f t="shared" si="5"/>
        <v>5624.64</v>
      </c>
    </row>
    <row r="99" spans="1:21">
      <c r="A99">
        <v>98</v>
      </c>
      <c r="B99" s="3" t="s">
        <v>2765</v>
      </c>
      <c r="C99" s="3" t="s">
        <v>2764</v>
      </c>
      <c r="D99" s="3" t="s">
        <v>2866</v>
      </c>
      <c r="E99" s="3" t="s">
        <v>2977</v>
      </c>
      <c r="F99" s="3">
        <v>32</v>
      </c>
      <c r="G99" s="4">
        <v>40513.400694444441</v>
      </c>
      <c r="H99" s="3">
        <v>4</v>
      </c>
      <c r="I99" s="5">
        <v>25</v>
      </c>
      <c r="J99" t="s">
        <v>194</v>
      </c>
      <c r="K99" t="s">
        <v>4497</v>
      </c>
      <c r="L99">
        <v>536378</v>
      </c>
      <c r="M99" s="2">
        <v>21975</v>
      </c>
      <c r="N99">
        <v>0.55000000000000004</v>
      </c>
      <c r="O99" s="6">
        <v>24</v>
      </c>
      <c r="P99" s="3">
        <v>0.1</v>
      </c>
      <c r="Q99" t="s">
        <v>7</v>
      </c>
      <c r="R99" s="7">
        <f t="shared" si="3"/>
        <v>13.200000000000001</v>
      </c>
      <c r="S99" s="7">
        <f t="shared" si="4"/>
        <v>1.3200000000000003</v>
      </c>
      <c r="T99">
        <f>Table1[[#This Row],[Total price]]-Table1[[#This Row],[Discount Amount]]</f>
        <v>11.88</v>
      </c>
      <c r="U99">
        <f t="shared" si="5"/>
        <v>285.12</v>
      </c>
    </row>
    <row r="100" spans="1:21">
      <c r="A100">
        <v>99</v>
      </c>
      <c r="B100" s="3" t="s">
        <v>2763</v>
      </c>
      <c r="C100" s="3" t="s">
        <v>2762</v>
      </c>
      <c r="D100" s="3" t="s">
        <v>2866</v>
      </c>
      <c r="E100" s="3" t="s">
        <v>2978</v>
      </c>
      <c r="F100" s="3">
        <v>33</v>
      </c>
      <c r="G100" s="4">
        <v>40513.400694444441</v>
      </c>
      <c r="H100" s="3">
        <v>4</v>
      </c>
      <c r="I100" s="5">
        <v>23</v>
      </c>
      <c r="J100" t="s">
        <v>420</v>
      </c>
      <c r="K100" t="s">
        <v>4497</v>
      </c>
      <c r="L100">
        <v>536378</v>
      </c>
      <c r="M100" s="2">
        <v>21977</v>
      </c>
      <c r="N100">
        <v>0.55000000000000004</v>
      </c>
      <c r="O100" s="6">
        <v>24</v>
      </c>
      <c r="P100" s="3">
        <v>7.0000000000000007E-2</v>
      </c>
      <c r="Q100" t="s">
        <v>7</v>
      </c>
      <c r="R100" s="7">
        <f t="shared" si="3"/>
        <v>13.200000000000001</v>
      </c>
      <c r="S100" s="7">
        <f t="shared" si="4"/>
        <v>0.92400000000000015</v>
      </c>
      <c r="T100">
        <f>Table1[[#This Row],[Total price]]-Table1[[#This Row],[Discount Amount]]</f>
        <v>12.276000000000002</v>
      </c>
      <c r="U100">
        <f t="shared" si="5"/>
        <v>294.62400000000002</v>
      </c>
    </row>
    <row r="101" spans="1:21">
      <c r="A101">
        <v>100</v>
      </c>
      <c r="B101" s="3" t="s">
        <v>2761</v>
      </c>
      <c r="C101" s="3" t="s">
        <v>1662</v>
      </c>
      <c r="D101" s="3" t="s">
        <v>2866</v>
      </c>
      <c r="E101" s="3" t="s">
        <v>2979</v>
      </c>
      <c r="F101" s="3">
        <v>33</v>
      </c>
      <c r="G101" s="4">
        <v>40513.400694444441</v>
      </c>
      <c r="H101" s="3">
        <v>4</v>
      </c>
      <c r="I101" s="5">
        <v>7</v>
      </c>
      <c r="J101" t="s">
        <v>44</v>
      </c>
      <c r="K101" t="s">
        <v>4497</v>
      </c>
      <c r="L101">
        <v>536378</v>
      </c>
      <c r="M101" s="2">
        <v>84991</v>
      </c>
      <c r="N101">
        <v>0.55000000000000004</v>
      </c>
      <c r="O101" s="6">
        <v>24</v>
      </c>
      <c r="P101" s="3">
        <v>0.1</v>
      </c>
      <c r="Q101" t="s">
        <v>7</v>
      </c>
      <c r="R101" s="7">
        <f t="shared" si="3"/>
        <v>13.200000000000001</v>
      </c>
      <c r="S101" s="7">
        <f t="shared" si="4"/>
        <v>1.3200000000000003</v>
      </c>
      <c r="T101">
        <f>Table1[[#This Row],[Total price]]-Table1[[#This Row],[Discount Amount]]</f>
        <v>11.88</v>
      </c>
      <c r="U101">
        <f t="shared" si="5"/>
        <v>285.12</v>
      </c>
    </row>
    <row r="102" spans="1:21">
      <c r="A102">
        <v>101</v>
      </c>
      <c r="B102" s="3" t="s">
        <v>1648</v>
      </c>
      <c r="C102" s="3" t="s">
        <v>1149</v>
      </c>
      <c r="D102" s="3" t="s">
        <v>2866</v>
      </c>
      <c r="E102" s="3" t="s">
        <v>2980</v>
      </c>
      <c r="F102" s="3">
        <v>34</v>
      </c>
      <c r="G102" s="4">
        <v>40513.400694444441</v>
      </c>
      <c r="H102" s="3">
        <v>4</v>
      </c>
      <c r="I102" s="5">
        <v>8</v>
      </c>
      <c r="J102" t="s">
        <v>772</v>
      </c>
      <c r="K102" t="s">
        <v>4497</v>
      </c>
      <c r="L102">
        <v>536378</v>
      </c>
      <c r="M102" s="2" t="s">
        <v>771</v>
      </c>
      <c r="N102">
        <v>2.95</v>
      </c>
      <c r="O102" s="6">
        <v>6</v>
      </c>
      <c r="P102" s="3">
        <v>7.0000000000000007E-2</v>
      </c>
      <c r="Q102" t="s">
        <v>7</v>
      </c>
      <c r="R102" s="7">
        <f t="shared" si="3"/>
        <v>17.700000000000003</v>
      </c>
      <c r="S102" s="7">
        <f t="shared" si="4"/>
        <v>1.2390000000000003</v>
      </c>
      <c r="T102">
        <f>Table1[[#This Row],[Total price]]-Table1[[#This Row],[Discount Amount]]</f>
        <v>16.461000000000002</v>
      </c>
      <c r="U102">
        <f t="shared" si="5"/>
        <v>98.76600000000002</v>
      </c>
    </row>
    <row r="103" spans="1:21">
      <c r="A103">
        <v>102</v>
      </c>
      <c r="B103" s="3" t="s">
        <v>2760</v>
      </c>
      <c r="C103" s="3" t="s">
        <v>1056</v>
      </c>
      <c r="D103" s="3" t="s">
        <v>2866</v>
      </c>
      <c r="E103" s="3" t="s">
        <v>2981</v>
      </c>
      <c r="F103" s="3">
        <v>34</v>
      </c>
      <c r="G103" s="4">
        <v>40513.400694444441</v>
      </c>
      <c r="H103" s="3">
        <v>4</v>
      </c>
      <c r="I103" s="5">
        <v>10</v>
      </c>
      <c r="J103" t="s">
        <v>735</v>
      </c>
      <c r="K103" t="s">
        <v>4497</v>
      </c>
      <c r="L103">
        <v>536378</v>
      </c>
      <c r="M103" s="2" t="s">
        <v>734</v>
      </c>
      <c r="N103">
        <v>1.25</v>
      </c>
      <c r="O103" s="6">
        <v>48</v>
      </c>
      <c r="P103" s="3">
        <v>0.1</v>
      </c>
      <c r="Q103" t="s">
        <v>7</v>
      </c>
      <c r="R103" s="7">
        <f t="shared" si="3"/>
        <v>60</v>
      </c>
      <c r="S103" s="7">
        <f t="shared" si="4"/>
        <v>6</v>
      </c>
      <c r="T103">
        <f>Table1[[#This Row],[Total price]]-Table1[[#This Row],[Discount Amount]]</f>
        <v>54</v>
      </c>
      <c r="U103">
        <f t="shared" si="5"/>
        <v>2592</v>
      </c>
    </row>
    <row r="104" spans="1:21">
      <c r="A104">
        <v>103</v>
      </c>
      <c r="B104" s="3" t="s">
        <v>2759</v>
      </c>
      <c r="C104" s="3" t="s">
        <v>928</v>
      </c>
      <c r="D104" s="3" t="s">
        <v>2866</v>
      </c>
      <c r="E104" s="3" t="s">
        <v>2982</v>
      </c>
      <c r="F104" s="3">
        <v>34</v>
      </c>
      <c r="G104" s="4">
        <v>40513.400694444441</v>
      </c>
      <c r="H104" s="3">
        <v>4</v>
      </c>
      <c r="I104" s="5">
        <v>17</v>
      </c>
      <c r="J104" t="s">
        <v>786</v>
      </c>
      <c r="K104" t="s">
        <v>4497</v>
      </c>
      <c r="L104">
        <v>536378</v>
      </c>
      <c r="M104" s="2" t="s">
        <v>785</v>
      </c>
      <c r="N104">
        <v>0.38</v>
      </c>
      <c r="O104" s="6">
        <v>96</v>
      </c>
      <c r="P104" s="3">
        <v>0.2</v>
      </c>
      <c r="Q104" t="s">
        <v>7</v>
      </c>
      <c r="R104" s="7">
        <f t="shared" si="3"/>
        <v>36.480000000000004</v>
      </c>
      <c r="S104" s="7">
        <f t="shared" si="4"/>
        <v>7.2960000000000012</v>
      </c>
      <c r="T104">
        <f>Table1[[#This Row],[Total price]]-Table1[[#This Row],[Discount Amount]]</f>
        <v>29.184000000000005</v>
      </c>
      <c r="U104">
        <f t="shared" si="5"/>
        <v>2801.6640000000007</v>
      </c>
    </row>
    <row r="105" spans="1:21">
      <c r="A105">
        <v>104</v>
      </c>
      <c r="B105" s="3" t="s">
        <v>2758</v>
      </c>
      <c r="C105" s="3" t="s">
        <v>1181</v>
      </c>
      <c r="D105" s="3" t="s">
        <v>2866</v>
      </c>
      <c r="E105" s="3" t="s">
        <v>2983</v>
      </c>
      <c r="F105" s="3">
        <v>35</v>
      </c>
      <c r="G105" s="4">
        <v>40513.400694444441</v>
      </c>
      <c r="H105" s="3">
        <v>4</v>
      </c>
      <c r="I105" s="5">
        <v>18</v>
      </c>
      <c r="J105" t="s">
        <v>342</v>
      </c>
      <c r="K105" t="s">
        <v>4497</v>
      </c>
      <c r="L105">
        <v>536378</v>
      </c>
      <c r="M105" s="2">
        <v>21931</v>
      </c>
      <c r="N105">
        <v>1.95</v>
      </c>
      <c r="O105" s="6">
        <v>10</v>
      </c>
      <c r="P105" s="3">
        <v>0.05</v>
      </c>
      <c r="Q105" t="s">
        <v>7</v>
      </c>
      <c r="R105" s="7">
        <f t="shared" si="3"/>
        <v>19.5</v>
      </c>
      <c r="S105" s="7">
        <f t="shared" si="4"/>
        <v>0.97500000000000009</v>
      </c>
      <c r="T105">
        <f>Table1[[#This Row],[Total price]]-Table1[[#This Row],[Discount Amount]]</f>
        <v>18.524999999999999</v>
      </c>
      <c r="U105">
        <f t="shared" si="5"/>
        <v>185.25</v>
      </c>
    </row>
    <row r="106" spans="1:21">
      <c r="A106">
        <v>105</v>
      </c>
      <c r="B106" s="3" t="s">
        <v>2757</v>
      </c>
      <c r="C106" s="3" t="s">
        <v>2756</v>
      </c>
      <c r="D106" s="3" t="s">
        <v>2866</v>
      </c>
      <c r="E106" s="3" t="s">
        <v>2984</v>
      </c>
      <c r="F106" s="3">
        <v>35</v>
      </c>
      <c r="G106" s="4">
        <v>40513.400694444441</v>
      </c>
      <c r="H106" s="3">
        <v>4</v>
      </c>
      <c r="I106" s="5">
        <v>20</v>
      </c>
      <c r="J106" t="s">
        <v>449</v>
      </c>
      <c r="K106" t="s">
        <v>4497</v>
      </c>
      <c r="L106">
        <v>536378</v>
      </c>
      <c r="M106" s="2">
        <v>21929</v>
      </c>
      <c r="N106">
        <v>1.95</v>
      </c>
      <c r="O106" s="6">
        <v>10</v>
      </c>
      <c r="P106" s="3">
        <v>0.05</v>
      </c>
      <c r="Q106" t="s">
        <v>7</v>
      </c>
      <c r="R106" s="7">
        <f t="shared" si="3"/>
        <v>19.5</v>
      </c>
      <c r="S106" s="7">
        <f t="shared" si="4"/>
        <v>0.97500000000000009</v>
      </c>
      <c r="T106">
        <f>Table1[[#This Row],[Total price]]-Table1[[#This Row],[Discount Amount]]</f>
        <v>18.524999999999999</v>
      </c>
      <c r="U106">
        <f t="shared" si="5"/>
        <v>185.25</v>
      </c>
    </row>
    <row r="107" spans="1:21">
      <c r="A107">
        <v>106</v>
      </c>
      <c r="B107" s="3" t="s">
        <v>2755</v>
      </c>
      <c r="C107" s="3" t="s">
        <v>2754</v>
      </c>
      <c r="D107" s="3" t="s">
        <v>2866</v>
      </c>
      <c r="E107" s="3" t="s">
        <v>2985</v>
      </c>
      <c r="F107" s="3">
        <v>35</v>
      </c>
      <c r="G107" s="4">
        <v>40513.40347222222</v>
      </c>
      <c r="H107" s="3">
        <v>4</v>
      </c>
      <c r="I107" s="5">
        <v>5</v>
      </c>
      <c r="J107" t="s">
        <v>876</v>
      </c>
      <c r="K107" t="s">
        <v>4497</v>
      </c>
      <c r="L107">
        <v>536380</v>
      </c>
      <c r="M107" s="2">
        <v>22961</v>
      </c>
      <c r="N107">
        <v>1.45</v>
      </c>
      <c r="O107" s="6">
        <v>24</v>
      </c>
      <c r="P107" s="3">
        <v>0.2</v>
      </c>
      <c r="Q107" t="s">
        <v>7</v>
      </c>
      <c r="R107" s="7">
        <f t="shared" si="3"/>
        <v>34.799999999999997</v>
      </c>
      <c r="S107" s="7">
        <f t="shared" si="4"/>
        <v>6.96</v>
      </c>
      <c r="T107">
        <f>Table1[[#This Row],[Total price]]-Table1[[#This Row],[Discount Amount]]</f>
        <v>27.839999999999996</v>
      </c>
      <c r="U107">
        <f t="shared" si="5"/>
        <v>668.15999999999985</v>
      </c>
    </row>
    <row r="108" spans="1:21">
      <c r="A108">
        <v>107</v>
      </c>
      <c r="B108" s="3" t="s">
        <v>2753</v>
      </c>
      <c r="C108" s="3" t="s">
        <v>2752</v>
      </c>
      <c r="D108" s="3" t="s">
        <v>2866</v>
      </c>
      <c r="E108" s="3" t="s">
        <v>2986</v>
      </c>
      <c r="F108" s="3">
        <v>35</v>
      </c>
      <c r="G108" s="4">
        <v>40513.40347222222</v>
      </c>
      <c r="H108" s="3">
        <v>4</v>
      </c>
      <c r="I108" s="5">
        <v>21</v>
      </c>
      <c r="J108" t="s">
        <v>283</v>
      </c>
      <c r="K108" t="s">
        <v>4497</v>
      </c>
      <c r="L108">
        <v>536381</v>
      </c>
      <c r="M108" s="2">
        <v>22139</v>
      </c>
      <c r="N108">
        <v>4.25</v>
      </c>
      <c r="O108" s="6">
        <v>23</v>
      </c>
      <c r="P108" s="3">
        <v>7.0000000000000007E-2</v>
      </c>
      <c r="Q108" t="s">
        <v>7</v>
      </c>
      <c r="R108" s="7">
        <f t="shared" si="3"/>
        <v>97.75</v>
      </c>
      <c r="S108" s="7">
        <f t="shared" si="4"/>
        <v>6.8425000000000002</v>
      </c>
      <c r="T108">
        <f>Table1[[#This Row],[Total price]]-Table1[[#This Row],[Discount Amount]]</f>
        <v>90.907499999999999</v>
      </c>
      <c r="U108">
        <f t="shared" si="5"/>
        <v>2090.8724999999999</v>
      </c>
    </row>
    <row r="109" spans="1:21">
      <c r="A109">
        <v>108</v>
      </c>
      <c r="B109" s="3" t="s">
        <v>2751</v>
      </c>
      <c r="C109" s="3" t="s">
        <v>2750</v>
      </c>
      <c r="D109" s="3" t="s">
        <v>2866</v>
      </c>
      <c r="E109" s="3" t="s">
        <v>2987</v>
      </c>
      <c r="F109" s="3">
        <v>35</v>
      </c>
      <c r="G109" s="4">
        <v>40513.40347222222</v>
      </c>
      <c r="H109" s="3">
        <v>4</v>
      </c>
      <c r="I109" s="5">
        <v>22</v>
      </c>
      <c r="J109" t="s">
        <v>728</v>
      </c>
      <c r="K109" t="s">
        <v>4497</v>
      </c>
      <c r="L109">
        <v>536381</v>
      </c>
      <c r="M109" s="2">
        <v>84854</v>
      </c>
      <c r="N109">
        <v>4.95</v>
      </c>
      <c r="O109" s="6">
        <v>5</v>
      </c>
      <c r="P109" s="3">
        <v>7.0000000000000007E-2</v>
      </c>
      <c r="Q109" t="s">
        <v>7</v>
      </c>
      <c r="R109" s="7">
        <f t="shared" si="3"/>
        <v>24.75</v>
      </c>
      <c r="S109" s="7">
        <f t="shared" si="4"/>
        <v>1.7325000000000002</v>
      </c>
      <c r="T109">
        <f>Table1[[#This Row],[Total price]]-Table1[[#This Row],[Discount Amount]]</f>
        <v>23.017499999999998</v>
      </c>
      <c r="U109">
        <f t="shared" si="5"/>
        <v>115.08749999999999</v>
      </c>
    </row>
    <row r="110" spans="1:21">
      <c r="A110">
        <v>109</v>
      </c>
      <c r="B110" s="3" t="s">
        <v>2749</v>
      </c>
      <c r="C110" s="3" t="s">
        <v>2678</v>
      </c>
      <c r="D110" s="3" t="s">
        <v>2988</v>
      </c>
      <c r="E110" s="3" t="s">
        <v>2989</v>
      </c>
      <c r="F110" s="3">
        <v>36</v>
      </c>
      <c r="G110" s="4">
        <v>40513.40347222222</v>
      </c>
      <c r="H110" s="3">
        <v>4</v>
      </c>
      <c r="I110" s="5">
        <v>9</v>
      </c>
      <c r="J110" t="s">
        <v>34</v>
      </c>
      <c r="K110" t="s">
        <v>4497</v>
      </c>
      <c r="L110">
        <v>536381</v>
      </c>
      <c r="M110" s="2">
        <v>22411</v>
      </c>
      <c r="N110">
        <v>1.95</v>
      </c>
      <c r="O110" s="6">
        <v>10</v>
      </c>
      <c r="P110" s="3">
        <v>7.0000000000000007E-2</v>
      </c>
      <c r="Q110" t="s">
        <v>7</v>
      </c>
      <c r="R110" s="7">
        <f t="shared" si="3"/>
        <v>19.5</v>
      </c>
      <c r="S110" s="7">
        <f t="shared" si="4"/>
        <v>1.3650000000000002</v>
      </c>
      <c r="T110">
        <f>Table1[[#This Row],[Total price]]-Table1[[#This Row],[Discount Amount]]</f>
        <v>18.134999999999998</v>
      </c>
      <c r="U110">
        <f t="shared" si="5"/>
        <v>181.34999999999997</v>
      </c>
    </row>
    <row r="111" spans="1:21">
      <c r="A111">
        <v>110</v>
      </c>
      <c r="B111" s="3" t="s">
        <v>2748</v>
      </c>
      <c r="C111" s="3" t="s">
        <v>2747</v>
      </c>
      <c r="D111" s="3" t="s">
        <v>2990</v>
      </c>
      <c r="E111" s="3" t="s">
        <v>2991</v>
      </c>
      <c r="F111" s="3">
        <v>36</v>
      </c>
      <c r="G111" s="4">
        <v>40513.40347222222</v>
      </c>
      <c r="H111" s="3">
        <v>4</v>
      </c>
      <c r="I111" s="5">
        <v>5</v>
      </c>
      <c r="J111" t="s">
        <v>673</v>
      </c>
      <c r="K111" t="s">
        <v>4497</v>
      </c>
      <c r="L111">
        <v>536381</v>
      </c>
      <c r="M111" s="2">
        <v>82567</v>
      </c>
      <c r="N111">
        <v>2.1</v>
      </c>
      <c r="O111" s="6">
        <v>2</v>
      </c>
      <c r="P111" s="3">
        <v>0.05</v>
      </c>
      <c r="Q111" t="s">
        <v>7</v>
      </c>
      <c r="R111" s="7">
        <f t="shared" si="3"/>
        <v>4.2</v>
      </c>
      <c r="S111" s="7">
        <f t="shared" si="4"/>
        <v>0.21000000000000002</v>
      </c>
      <c r="T111">
        <f>Table1[[#This Row],[Total price]]-Table1[[#This Row],[Discount Amount]]</f>
        <v>3.99</v>
      </c>
      <c r="U111">
        <f t="shared" si="5"/>
        <v>7.98</v>
      </c>
    </row>
    <row r="112" spans="1:21">
      <c r="A112">
        <v>111</v>
      </c>
      <c r="B112" s="3" t="s">
        <v>2746</v>
      </c>
      <c r="C112" s="3" t="s">
        <v>2745</v>
      </c>
      <c r="D112" s="3" t="s">
        <v>2866</v>
      </c>
      <c r="E112" s="3" t="s">
        <v>2992</v>
      </c>
      <c r="F112" s="3">
        <v>36</v>
      </c>
      <c r="G112" s="4">
        <v>40513.40347222222</v>
      </c>
      <c r="H112" s="3">
        <v>4</v>
      </c>
      <c r="I112" s="5">
        <v>3</v>
      </c>
      <c r="J112" t="s">
        <v>378</v>
      </c>
      <c r="K112" t="s">
        <v>4497</v>
      </c>
      <c r="L112">
        <v>536381</v>
      </c>
      <c r="M112" s="2">
        <v>21672</v>
      </c>
      <c r="N112">
        <v>1.25</v>
      </c>
      <c r="O112" s="6">
        <v>6</v>
      </c>
      <c r="P112" s="3">
        <v>0.2</v>
      </c>
      <c r="Q112" t="s">
        <v>7</v>
      </c>
      <c r="R112" s="7">
        <f t="shared" si="3"/>
        <v>7.5</v>
      </c>
      <c r="S112" s="7">
        <f t="shared" si="4"/>
        <v>1.5</v>
      </c>
      <c r="T112">
        <f>Table1[[#This Row],[Total price]]-Table1[[#This Row],[Discount Amount]]</f>
        <v>6</v>
      </c>
      <c r="U112">
        <f t="shared" si="5"/>
        <v>36</v>
      </c>
    </row>
    <row r="113" spans="1:21">
      <c r="A113">
        <v>112</v>
      </c>
      <c r="B113" s="3" t="s">
        <v>2744</v>
      </c>
      <c r="C113" s="3" t="s">
        <v>1291</v>
      </c>
      <c r="D113" s="3" t="s">
        <v>2866</v>
      </c>
      <c r="E113" s="3" t="s">
        <v>2993</v>
      </c>
      <c r="F113" s="3">
        <v>37</v>
      </c>
      <c r="G113" s="4">
        <v>40513.40347222222</v>
      </c>
      <c r="H113" s="3">
        <v>4</v>
      </c>
      <c r="I113" s="5">
        <v>16</v>
      </c>
      <c r="J113" t="s">
        <v>96</v>
      </c>
      <c r="K113" t="s">
        <v>4497</v>
      </c>
      <c r="L113">
        <v>536381</v>
      </c>
      <c r="M113" s="2">
        <v>22774</v>
      </c>
      <c r="N113">
        <v>1.25</v>
      </c>
      <c r="O113" s="6">
        <v>24</v>
      </c>
      <c r="P113" s="3">
        <v>0.05</v>
      </c>
      <c r="Q113" t="s">
        <v>7</v>
      </c>
      <c r="R113" s="7">
        <f t="shared" si="3"/>
        <v>30</v>
      </c>
      <c r="S113" s="7">
        <f t="shared" si="4"/>
        <v>1.5</v>
      </c>
      <c r="T113">
        <f>Table1[[#This Row],[Total price]]-Table1[[#This Row],[Discount Amount]]</f>
        <v>28.5</v>
      </c>
      <c r="U113">
        <f t="shared" si="5"/>
        <v>684</v>
      </c>
    </row>
    <row r="114" spans="1:21">
      <c r="A114">
        <v>113</v>
      </c>
      <c r="B114" s="3" t="s">
        <v>2199</v>
      </c>
      <c r="C114" s="3" t="s">
        <v>2070</v>
      </c>
      <c r="D114" s="3" t="s">
        <v>2866</v>
      </c>
      <c r="E114" s="3" t="s">
        <v>2994</v>
      </c>
      <c r="F114" s="3">
        <v>38</v>
      </c>
      <c r="G114" s="4">
        <v>40513.40347222222</v>
      </c>
      <c r="H114" s="3">
        <v>4</v>
      </c>
      <c r="I114" s="5">
        <v>7</v>
      </c>
      <c r="J114" t="s">
        <v>97</v>
      </c>
      <c r="K114" t="s">
        <v>4497</v>
      </c>
      <c r="L114">
        <v>536381</v>
      </c>
      <c r="M114" s="2">
        <v>22771</v>
      </c>
      <c r="N114">
        <v>1.25</v>
      </c>
      <c r="O114" s="6">
        <v>24</v>
      </c>
      <c r="P114" s="3">
        <v>0.05</v>
      </c>
      <c r="Q114" t="s">
        <v>7</v>
      </c>
      <c r="R114" s="7">
        <f t="shared" si="3"/>
        <v>30</v>
      </c>
      <c r="S114" s="7">
        <f t="shared" si="4"/>
        <v>1.5</v>
      </c>
      <c r="T114">
        <f>Table1[[#This Row],[Total price]]-Table1[[#This Row],[Discount Amount]]</f>
        <v>28.5</v>
      </c>
      <c r="U114">
        <f t="shared" si="5"/>
        <v>684</v>
      </c>
    </row>
    <row r="115" spans="1:21">
      <c r="A115">
        <v>114</v>
      </c>
      <c r="B115" s="3" t="s">
        <v>2739</v>
      </c>
      <c r="C115" s="3" t="s">
        <v>2473</v>
      </c>
      <c r="D115" s="3" t="s">
        <v>2866</v>
      </c>
      <c r="E115" s="3" t="s">
        <v>2995</v>
      </c>
      <c r="F115" s="3">
        <v>38</v>
      </c>
      <c r="G115" s="4">
        <v>40513.40347222222</v>
      </c>
      <c r="H115" s="3">
        <v>4</v>
      </c>
      <c r="I115" s="5">
        <v>23</v>
      </c>
      <c r="J115" t="s">
        <v>788</v>
      </c>
      <c r="K115" t="s">
        <v>4497</v>
      </c>
      <c r="L115">
        <v>536381</v>
      </c>
      <c r="M115" s="2">
        <v>71270</v>
      </c>
      <c r="N115">
        <v>1.25</v>
      </c>
      <c r="O115" s="6">
        <v>1</v>
      </c>
      <c r="P115" s="3">
        <v>7.0000000000000007E-2</v>
      </c>
      <c r="Q115" t="s">
        <v>7</v>
      </c>
      <c r="R115" s="7">
        <f t="shared" si="3"/>
        <v>1.25</v>
      </c>
      <c r="S115" s="7">
        <f t="shared" si="4"/>
        <v>8.7500000000000008E-2</v>
      </c>
      <c r="T115">
        <f>Table1[[#This Row],[Total price]]-Table1[[#This Row],[Discount Amount]]</f>
        <v>1.1625000000000001</v>
      </c>
      <c r="U115">
        <f t="shared" si="5"/>
        <v>1.1625000000000001</v>
      </c>
    </row>
    <row r="116" spans="1:21">
      <c r="A116">
        <v>115</v>
      </c>
      <c r="B116" s="3" t="s">
        <v>2743</v>
      </c>
      <c r="C116" s="3" t="s">
        <v>1686</v>
      </c>
      <c r="D116" s="3" t="s">
        <v>2866</v>
      </c>
      <c r="E116" s="3" t="s">
        <v>2996</v>
      </c>
      <c r="F116" s="3">
        <v>38</v>
      </c>
      <c r="G116" s="4">
        <v>40513.40347222222</v>
      </c>
      <c r="H116" s="3">
        <v>4</v>
      </c>
      <c r="I116" s="5">
        <v>25</v>
      </c>
      <c r="J116" t="s">
        <v>667</v>
      </c>
      <c r="K116" t="s">
        <v>4497</v>
      </c>
      <c r="L116">
        <v>536381</v>
      </c>
      <c r="M116" s="2">
        <v>22262</v>
      </c>
      <c r="N116">
        <v>0.85</v>
      </c>
      <c r="O116" s="6">
        <v>1</v>
      </c>
      <c r="P116" s="3">
        <v>0.2</v>
      </c>
      <c r="Q116" t="s">
        <v>7</v>
      </c>
      <c r="R116" s="7">
        <f t="shared" si="3"/>
        <v>0.85</v>
      </c>
      <c r="S116" s="7">
        <f t="shared" si="4"/>
        <v>0.17</v>
      </c>
      <c r="T116">
        <f>Table1[[#This Row],[Total price]]-Table1[[#This Row],[Discount Amount]]</f>
        <v>0.67999999999999994</v>
      </c>
      <c r="U116">
        <f t="shared" si="5"/>
        <v>0.67999999999999994</v>
      </c>
    </row>
    <row r="117" spans="1:21">
      <c r="A117">
        <v>116</v>
      </c>
      <c r="B117" s="3" t="s">
        <v>2742</v>
      </c>
      <c r="C117" s="3" t="s">
        <v>2253</v>
      </c>
      <c r="D117" s="3" t="s">
        <v>2866</v>
      </c>
      <c r="E117" s="3" t="s">
        <v>2997</v>
      </c>
      <c r="F117" s="3">
        <v>38</v>
      </c>
      <c r="G117" s="4">
        <v>40513.40347222222</v>
      </c>
      <c r="H117" s="3">
        <v>4</v>
      </c>
      <c r="I117" s="5">
        <v>10</v>
      </c>
      <c r="J117" t="s">
        <v>608</v>
      </c>
      <c r="K117" t="s">
        <v>4497</v>
      </c>
      <c r="L117">
        <v>536381</v>
      </c>
      <c r="M117" s="2">
        <v>22637</v>
      </c>
      <c r="N117">
        <v>2.5499999999999998</v>
      </c>
      <c r="O117" s="6">
        <v>1</v>
      </c>
      <c r="P117" s="3">
        <v>0.1</v>
      </c>
      <c r="Q117" t="s">
        <v>7</v>
      </c>
      <c r="R117" s="7">
        <f t="shared" si="3"/>
        <v>2.5499999999999998</v>
      </c>
      <c r="S117" s="7">
        <f t="shared" si="4"/>
        <v>0.255</v>
      </c>
      <c r="T117">
        <f>Table1[[#This Row],[Total price]]-Table1[[#This Row],[Discount Amount]]</f>
        <v>2.2949999999999999</v>
      </c>
      <c r="U117">
        <f t="shared" si="5"/>
        <v>2.2949999999999999</v>
      </c>
    </row>
    <row r="118" spans="1:21">
      <c r="A118">
        <v>117</v>
      </c>
      <c r="B118" s="3" t="s">
        <v>2741</v>
      </c>
      <c r="C118" s="3" t="s">
        <v>1791</v>
      </c>
      <c r="D118" s="3" t="s">
        <v>2866</v>
      </c>
      <c r="E118" s="3" t="s">
        <v>2998</v>
      </c>
      <c r="F118" s="3">
        <v>38</v>
      </c>
      <c r="G118" s="4">
        <v>40513.40347222222</v>
      </c>
      <c r="H118" s="3">
        <v>4</v>
      </c>
      <c r="I118" s="5">
        <v>24</v>
      </c>
      <c r="J118" t="s">
        <v>562</v>
      </c>
      <c r="K118" t="s">
        <v>4497</v>
      </c>
      <c r="L118">
        <v>536381</v>
      </c>
      <c r="M118" s="2">
        <v>21934</v>
      </c>
      <c r="N118">
        <v>1.65</v>
      </c>
      <c r="O118" s="6">
        <v>10</v>
      </c>
      <c r="P118" s="3">
        <v>7.0000000000000007E-2</v>
      </c>
      <c r="Q118" t="s">
        <v>7</v>
      </c>
      <c r="R118" s="7">
        <f t="shared" si="3"/>
        <v>16.5</v>
      </c>
      <c r="S118" s="7">
        <f t="shared" si="4"/>
        <v>1.155</v>
      </c>
      <c r="T118">
        <f>Table1[[#This Row],[Total price]]-Table1[[#This Row],[Discount Amount]]</f>
        <v>15.345000000000001</v>
      </c>
      <c r="U118">
        <f t="shared" si="5"/>
        <v>153.45000000000002</v>
      </c>
    </row>
    <row r="119" spans="1:21">
      <c r="A119">
        <v>118</v>
      </c>
      <c r="B119" s="3" t="s">
        <v>2622</v>
      </c>
      <c r="C119" s="3" t="s">
        <v>2740</v>
      </c>
      <c r="D119" s="3" t="s">
        <v>2866</v>
      </c>
      <c r="E119" s="3" t="s">
        <v>2999</v>
      </c>
      <c r="F119" s="3">
        <v>39</v>
      </c>
      <c r="G119" s="4">
        <v>40513.40347222222</v>
      </c>
      <c r="H119" s="3">
        <v>4</v>
      </c>
      <c r="I119" s="5">
        <v>22</v>
      </c>
      <c r="J119" t="s">
        <v>247</v>
      </c>
      <c r="K119" t="s">
        <v>4497</v>
      </c>
      <c r="L119">
        <v>536381</v>
      </c>
      <c r="M119" s="2">
        <v>21169</v>
      </c>
      <c r="N119">
        <v>1.69</v>
      </c>
      <c r="O119" s="6">
        <v>3</v>
      </c>
      <c r="P119" s="3">
        <v>0.2</v>
      </c>
      <c r="Q119" t="s">
        <v>7</v>
      </c>
      <c r="R119" s="7">
        <f t="shared" si="3"/>
        <v>5.07</v>
      </c>
      <c r="S119" s="7">
        <f t="shared" si="4"/>
        <v>1.014</v>
      </c>
      <c r="T119">
        <f>Table1[[#This Row],[Total price]]-Table1[[#This Row],[Discount Amount]]</f>
        <v>4.056</v>
      </c>
      <c r="U119">
        <f t="shared" si="5"/>
        <v>12.167999999999999</v>
      </c>
    </row>
    <row r="120" spans="1:21">
      <c r="A120">
        <v>119</v>
      </c>
      <c r="B120" s="3" t="s">
        <v>2739</v>
      </c>
      <c r="C120" s="3" t="s">
        <v>1031</v>
      </c>
      <c r="D120" s="3" t="s">
        <v>2866</v>
      </c>
      <c r="E120" s="3" t="s">
        <v>3000</v>
      </c>
      <c r="F120" s="3">
        <v>39</v>
      </c>
      <c r="G120" s="4">
        <v>40513.40347222222</v>
      </c>
      <c r="H120" s="3">
        <v>4</v>
      </c>
      <c r="I120" s="5">
        <v>16</v>
      </c>
      <c r="J120" t="s">
        <v>445</v>
      </c>
      <c r="K120" t="s">
        <v>4497</v>
      </c>
      <c r="L120">
        <v>536381</v>
      </c>
      <c r="M120" s="2">
        <v>21166</v>
      </c>
      <c r="N120">
        <v>1.95</v>
      </c>
      <c r="O120" s="6">
        <v>1</v>
      </c>
      <c r="P120" s="3">
        <v>0.2</v>
      </c>
      <c r="Q120" t="s">
        <v>7</v>
      </c>
      <c r="R120" s="7">
        <f t="shared" si="3"/>
        <v>1.95</v>
      </c>
      <c r="S120" s="7">
        <f t="shared" si="4"/>
        <v>0.39</v>
      </c>
      <c r="T120">
        <f>Table1[[#This Row],[Total price]]-Table1[[#This Row],[Discount Amount]]</f>
        <v>1.56</v>
      </c>
      <c r="U120">
        <f t="shared" si="5"/>
        <v>1.56</v>
      </c>
    </row>
    <row r="121" spans="1:21">
      <c r="A121">
        <v>120</v>
      </c>
      <c r="B121" s="3" t="s">
        <v>2738</v>
      </c>
      <c r="C121" s="3" t="s">
        <v>2737</v>
      </c>
      <c r="D121" s="3" t="s">
        <v>3001</v>
      </c>
      <c r="E121" s="3" t="s">
        <v>3002</v>
      </c>
      <c r="F121" s="3">
        <v>39</v>
      </c>
      <c r="G121" s="4">
        <v>40513.40347222222</v>
      </c>
      <c r="H121" s="3">
        <v>4</v>
      </c>
      <c r="I121" s="5">
        <v>3</v>
      </c>
      <c r="J121" t="s">
        <v>307</v>
      </c>
      <c r="K121" t="s">
        <v>4497</v>
      </c>
      <c r="L121">
        <v>536381</v>
      </c>
      <c r="M121" s="2">
        <v>21175</v>
      </c>
      <c r="N121">
        <v>2.1</v>
      </c>
      <c r="O121" s="6">
        <v>2</v>
      </c>
      <c r="P121" s="3">
        <v>0.05</v>
      </c>
      <c r="Q121" t="s">
        <v>7</v>
      </c>
      <c r="R121" s="7">
        <f t="shared" si="3"/>
        <v>4.2</v>
      </c>
      <c r="S121" s="7">
        <f t="shared" si="4"/>
        <v>0.21000000000000002</v>
      </c>
      <c r="T121">
        <f>Table1[[#This Row],[Total price]]-Table1[[#This Row],[Discount Amount]]</f>
        <v>3.99</v>
      </c>
      <c r="U121">
        <f t="shared" si="5"/>
        <v>7.98</v>
      </c>
    </row>
    <row r="122" spans="1:21">
      <c r="A122">
        <v>121</v>
      </c>
      <c r="B122" s="3" t="s">
        <v>2736</v>
      </c>
      <c r="C122" s="3" t="s">
        <v>1580</v>
      </c>
      <c r="D122" s="3" t="s">
        <v>2866</v>
      </c>
      <c r="E122" s="3" t="s">
        <v>3003</v>
      </c>
      <c r="F122" s="3">
        <v>39</v>
      </c>
      <c r="G122" s="4">
        <v>40513.40347222222</v>
      </c>
      <c r="H122" s="3">
        <v>4</v>
      </c>
      <c r="I122" s="5">
        <v>15</v>
      </c>
      <c r="J122" t="s">
        <v>709</v>
      </c>
      <c r="K122" t="s">
        <v>4497</v>
      </c>
      <c r="L122">
        <v>536381</v>
      </c>
      <c r="M122" s="2" t="s">
        <v>708</v>
      </c>
      <c r="N122">
        <v>2.95</v>
      </c>
      <c r="O122" s="6">
        <v>1</v>
      </c>
      <c r="P122" s="3">
        <v>0.1</v>
      </c>
      <c r="Q122" t="s">
        <v>4</v>
      </c>
      <c r="R122" s="7">
        <f t="shared" si="3"/>
        <v>2.95</v>
      </c>
      <c r="S122" s="7">
        <f t="shared" si="4"/>
        <v>0.29500000000000004</v>
      </c>
      <c r="T122">
        <f>Table1[[#This Row],[Total price]]-Table1[[#This Row],[Discount Amount]]</f>
        <v>2.6550000000000002</v>
      </c>
      <c r="U122">
        <f t="shared" si="5"/>
        <v>2.6550000000000002</v>
      </c>
    </row>
    <row r="123" spans="1:21">
      <c r="A123">
        <v>122</v>
      </c>
      <c r="B123" s="3" t="s">
        <v>2735</v>
      </c>
      <c r="C123" s="3" t="s">
        <v>1407</v>
      </c>
      <c r="D123" s="3" t="s">
        <v>2866</v>
      </c>
      <c r="E123" s="3" t="s">
        <v>3004</v>
      </c>
      <c r="F123" s="3">
        <v>40</v>
      </c>
      <c r="G123" s="4">
        <v>40513.40347222222</v>
      </c>
      <c r="H123" s="3">
        <v>4</v>
      </c>
      <c r="I123" s="5">
        <v>17</v>
      </c>
      <c r="J123" t="s">
        <v>754</v>
      </c>
      <c r="K123" t="s">
        <v>4497</v>
      </c>
      <c r="L123">
        <v>536381</v>
      </c>
      <c r="M123" s="2" t="s">
        <v>753</v>
      </c>
      <c r="N123">
        <v>2.95</v>
      </c>
      <c r="O123" s="6">
        <v>1</v>
      </c>
      <c r="P123" s="3">
        <v>0.2</v>
      </c>
      <c r="Q123" t="s">
        <v>3</v>
      </c>
      <c r="R123" s="7">
        <f t="shared" si="3"/>
        <v>2.95</v>
      </c>
      <c r="S123" s="7">
        <f t="shared" si="4"/>
        <v>0.59000000000000008</v>
      </c>
      <c r="T123">
        <f>Table1[[#This Row],[Total price]]-Table1[[#This Row],[Discount Amount]]</f>
        <v>2.3600000000000003</v>
      </c>
      <c r="U123">
        <f t="shared" si="5"/>
        <v>2.3600000000000003</v>
      </c>
    </row>
    <row r="124" spans="1:21">
      <c r="A124">
        <v>123</v>
      </c>
      <c r="B124" s="3" t="s">
        <v>2734</v>
      </c>
      <c r="C124" s="3" t="s">
        <v>1486</v>
      </c>
      <c r="D124" s="3" t="s">
        <v>3005</v>
      </c>
      <c r="E124" s="3" t="s">
        <v>3006</v>
      </c>
      <c r="F124" s="3">
        <v>40</v>
      </c>
      <c r="G124" s="4">
        <v>40513.40347222222</v>
      </c>
      <c r="H124" s="3">
        <v>4</v>
      </c>
      <c r="I124" s="5">
        <v>8</v>
      </c>
      <c r="J124" t="s">
        <v>411</v>
      </c>
      <c r="K124" t="s">
        <v>4497</v>
      </c>
      <c r="L124">
        <v>536381</v>
      </c>
      <c r="M124" s="2">
        <v>22086</v>
      </c>
      <c r="N124">
        <v>2.95</v>
      </c>
      <c r="O124" s="6">
        <v>4</v>
      </c>
      <c r="P124" s="3">
        <v>0.2</v>
      </c>
      <c r="Q124" t="s">
        <v>3</v>
      </c>
      <c r="R124" s="7">
        <f t="shared" si="3"/>
        <v>11.8</v>
      </c>
      <c r="S124" s="7">
        <f t="shared" si="4"/>
        <v>2.3600000000000003</v>
      </c>
      <c r="T124">
        <f>Table1[[#This Row],[Total price]]-Table1[[#This Row],[Discount Amount]]</f>
        <v>9.4400000000000013</v>
      </c>
      <c r="U124">
        <f t="shared" si="5"/>
        <v>37.760000000000005</v>
      </c>
    </row>
    <row r="125" spans="1:21">
      <c r="A125">
        <v>124</v>
      </c>
      <c r="B125" s="3" t="s">
        <v>2381</v>
      </c>
      <c r="C125" s="3" t="s">
        <v>2733</v>
      </c>
      <c r="D125" s="3" t="s">
        <v>2866</v>
      </c>
      <c r="E125" s="3" t="s">
        <v>3007</v>
      </c>
      <c r="F125" s="3">
        <v>41</v>
      </c>
      <c r="G125" s="4">
        <v>40513.40347222222</v>
      </c>
      <c r="H125" s="3">
        <v>4</v>
      </c>
      <c r="I125" s="5">
        <v>5</v>
      </c>
      <c r="J125" t="s">
        <v>32</v>
      </c>
      <c r="K125" t="s">
        <v>4497</v>
      </c>
      <c r="L125">
        <v>536381</v>
      </c>
      <c r="M125" s="2">
        <v>22083</v>
      </c>
      <c r="N125">
        <v>2.95</v>
      </c>
      <c r="O125" s="6">
        <v>1</v>
      </c>
      <c r="P125" s="3">
        <v>0.1</v>
      </c>
      <c r="Q125" t="s">
        <v>3</v>
      </c>
      <c r="R125" s="7">
        <f t="shared" si="3"/>
        <v>2.95</v>
      </c>
      <c r="S125" s="7">
        <f t="shared" si="4"/>
        <v>0.29500000000000004</v>
      </c>
      <c r="T125">
        <f>Table1[[#This Row],[Total price]]-Table1[[#This Row],[Discount Amount]]</f>
        <v>2.6550000000000002</v>
      </c>
      <c r="U125">
        <f t="shared" si="5"/>
        <v>2.6550000000000002</v>
      </c>
    </row>
    <row r="126" spans="1:21">
      <c r="A126">
        <v>125</v>
      </c>
      <c r="B126" s="3" t="s">
        <v>2732</v>
      </c>
      <c r="C126" s="3" t="s">
        <v>1250</v>
      </c>
      <c r="D126" s="3" t="s">
        <v>2866</v>
      </c>
      <c r="E126" s="3" t="s">
        <v>3008</v>
      </c>
      <c r="F126" s="3">
        <v>41</v>
      </c>
      <c r="G126" s="4">
        <v>40513.40347222222</v>
      </c>
      <c r="H126" s="3">
        <v>4</v>
      </c>
      <c r="I126" s="5">
        <v>19</v>
      </c>
      <c r="J126" t="s">
        <v>385</v>
      </c>
      <c r="K126" t="s">
        <v>4497</v>
      </c>
      <c r="L126">
        <v>536381</v>
      </c>
      <c r="M126" s="2" t="s">
        <v>384</v>
      </c>
      <c r="N126">
        <v>0.85</v>
      </c>
      <c r="O126" s="6">
        <v>6</v>
      </c>
      <c r="P126" s="3">
        <v>0.2</v>
      </c>
      <c r="Q126" t="s">
        <v>3</v>
      </c>
      <c r="R126" s="7">
        <f t="shared" si="3"/>
        <v>5.0999999999999996</v>
      </c>
      <c r="S126" s="7">
        <f t="shared" si="4"/>
        <v>1.02</v>
      </c>
      <c r="T126">
        <f>Table1[[#This Row],[Total price]]-Table1[[#This Row],[Discount Amount]]</f>
        <v>4.08</v>
      </c>
      <c r="U126">
        <f t="shared" si="5"/>
        <v>24.48</v>
      </c>
    </row>
    <row r="127" spans="1:21">
      <c r="A127">
        <v>126</v>
      </c>
      <c r="B127" s="3" t="s">
        <v>2731</v>
      </c>
      <c r="C127" s="3" t="s">
        <v>1805</v>
      </c>
      <c r="D127" s="3" t="s">
        <v>2866</v>
      </c>
      <c r="E127" s="3" t="s">
        <v>3009</v>
      </c>
      <c r="F127" s="3">
        <v>41</v>
      </c>
      <c r="G127" s="4">
        <v>40513.40347222222</v>
      </c>
      <c r="H127" s="3">
        <v>4</v>
      </c>
      <c r="I127" s="5">
        <v>26</v>
      </c>
      <c r="J127" t="s">
        <v>788</v>
      </c>
      <c r="K127" t="s">
        <v>4497</v>
      </c>
      <c r="L127">
        <v>536381</v>
      </c>
      <c r="M127" s="2">
        <v>71270</v>
      </c>
      <c r="N127">
        <v>1.25</v>
      </c>
      <c r="O127" s="6">
        <v>3</v>
      </c>
      <c r="P127" s="3">
        <v>0.2</v>
      </c>
      <c r="Q127" t="s">
        <v>3</v>
      </c>
      <c r="R127" s="7">
        <f t="shared" si="3"/>
        <v>3.75</v>
      </c>
      <c r="S127" s="7">
        <f t="shared" si="4"/>
        <v>0.75</v>
      </c>
      <c r="T127">
        <f>Table1[[#This Row],[Total price]]-Table1[[#This Row],[Discount Amount]]</f>
        <v>3</v>
      </c>
      <c r="U127">
        <f t="shared" si="5"/>
        <v>9</v>
      </c>
    </row>
    <row r="128" spans="1:21">
      <c r="A128">
        <v>127</v>
      </c>
      <c r="B128" s="3" t="s">
        <v>1851</v>
      </c>
      <c r="C128" s="3" t="s">
        <v>2730</v>
      </c>
      <c r="D128" s="3" t="s">
        <v>2866</v>
      </c>
      <c r="E128" s="3" t="s">
        <v>3010</v>
      </c>
      <c r="F128" s="3">
        <v>42</v>
      </c>
      <c r="G128" s="4">
        <v>40513.40347222222</v>
      </c>
      <c r="H128" s="3">
        <v>4</v>
      </c>
      <c r="I128" s="5">
        <v>19</v>
      </c>
      <c r="J128" t="s">
        <v>182</v>
      </c>
      <c r="K128" t="s">
        <v>4497</v>
      </c>
      <c r="L128">
        <v>536381</v>
      </c>
      <c r="M128" s="2">
        <v>47580</v>
      </c>
      <c r="N128">
        <v>2.5499999999999998</v>
      </c>
      <c r="O128" s="6">
        <v>2</v>
      </c>
      <c r="P128" s="3">
        <v>0.05</v>
      </c>
      <c r="Q128" t="s">
        <v>3</v>
      </c>
      <c r="R128" s="7">
        <f t="shared" si="3"/>
        <v>5.0999999999999996</v>
      </c>
      <c r="S128" s="7">
        <f t="shared" si="4"/>
        <v>0.255</v>
      </c>
      <c r="T128">
        <f>Table1[[#This Row],[Total price]]-Table1[[#This Row],[Discount Amount]]</f>
        <v>4.8449999999999998</v>
      </c>
      <c r="U128">
        <f t="shared" si="5"/>
        <v>9.69</v>
      </c>
    </row>
    <row r="129" spans="1:21">
      <c r="A129">
        <v>128</v>
      </c>
      <c r="B129" s="3" t="s">
        <v>2729</v>
      </c>
      <c r="C129" s="3" t="s">
        <v>1744</v>
      </c>
      <c r="D129" s="3" t="s">
        <v>2866</v>
      </c>
      <c r="E129" s="3" t="s">
        <v>3011</v>
      </c>
      <c r="F129" s="3">
        <v>43</v>
      </c>
      <c r="G129" s="4">
        <v>40513.40347222222</v>
      </c>
      <c r="H129" s="3">
        <v>4</v>
      </c>
      <c r="I129" s="5">
        <v>13</v>
      </c>
      <c r="J129" t="s">
        <v>666</v>
      </c>
      <c r="K129" t="s">
        <v>4497</v>
      </c>
      <c r="L129">
        <v>536381</v>
      </c>
      <c r="M129" s="2">
        <v>22261</v>
      </c>
      <c r="N129">
        <v>0.85</v>
      </c>
      <c r="O129" s="6">
        <v>1</v>
      </c>
      <c r="P129" s="3">
        <v>0.1</v>
      </c>
      <c r="Q129" t="s">
        <v>3</v>
      </c>
      <c r="R129" s="7">
        <f t="shared" si="3"/>
        <v>0.85</v>
      </c>
      <c r="S129" s="7">
        <f t="shared" si="4"/>
        <v>8.5000000000000006E-2</v>
      </c>
      <c r="T129">
        <f>Table1[[#This Row],[Total price]]-Table1[[#This Row],[Discount Amount]]</f>
        <v>0.76500000000000001</v>
      </c>
      <c r="U129">
        <f t="shared" si="5"/>
        <v>0.76500000000000001</v>
      </c>
    </row>
    <row r="130" spans="1:21">
      <c r="A130">
        <v>129</v>
      </c>
      <c r="B130" s="3" t="s">
        <v>2728</v>
      </c>
      <c r="C130" s="3" t="s">
        <v>1805</v>
      </c>
      <c r="D130" s="3" t="s">
        <v>2866</v>
      </c>
      <c r="E130" s="3" t="s">
        <v>3012</v>
      </c>
      <c r="F130" s="3">
        <v>43</v>
      </c>
      <c r="G130" s="4">
        <v>40513.40347222222</v>
      </c>
      <c r="H130" s="3">
        <v>4</v>
      </c>
      <c r="I130" s="5">
        <v>12</v>
      </c>
      <c r="J130" t="s">
        <v>635</v>
      </c>
      <c r="K130" t="s">
        <v>4497</v>
      </c>
      <c r="L130">
        <v>536381</v>
      </c>
      <c r="M130" s="2">
        <v>84832</v>
      </c>
      <c r="N130">
        <v>0.85</v>
      </c>
      <c r="O130" s="6">
        <v>1</v>
      </c>
      <c r="P130" s="3">
        <v>0.05</v>
      </c>
      <c r="Q130" t="s">
        <v>3</v>
      </c>
      <c r="R130" s="7">
        <f t="shared" si="3"/>
        <v>0.85</v>
      </c>
      <c r="S130" s="7">
        <f t="shared" si="4"/>
        <v>4.2500000000000003E-2</v>
      </c>
      <c r="T130">
        <f>Table1[[#This Row],[Total price]]-Table1[[#This Row],[Discount Amount]]</f>
        <v>0.8075</v>
      </c>
      <c r="U130">
        <f t="shared" si="5"/>
        <v>0.8075</v>
      </c>
    </row>
    <row r="131" spans="1:21">
      <c r="A131">
        <v>130</v>
      </c>
      <c r="B131" s="3" t="s">
        <v>2727</v>
      </c>
      <c r="C131" s="3" t="s">
        <v>2128</v>
      </c>
      <c r="D131" s="3" t="s">
        <v>3013</v>
      </c>
      <c r="E131" s="3" t="s">
        <v>3014</v>
      </c>
      <c r="F131" s="3">
        <v>44</v>
      </c>
      <c r="G131" s="4">
        <v>40513.40347222222</v>
      </c>
      <c r="H131" s="3">
        <v>4</v>
      </c>
      <c r="I131" s="5">
        <v>7</v>
      </c>
      <c r="J131" t="s">
        <v>55</v>
      </c>
      <c r="K131" t="s">
        <v>4497</v>
      </c>
      <c r="L131">
        <v>536381</v>
      </c>
      <c r="M131" s="2">
        <v>22644</v>
      </c>
      <c r="N131">
        <v>1.45</v>
      </c>
      <c r="O131" s="6">
        <v>1</v>
      </c>
      <c r="P131" s="3">
        <v>0.1</v>
      </c>
      <c r="Q131" t="s">
        <v>3</v>
      </c>
      <c r="R131" s="7">
        <f t="shared" ref="R131:R194" si="6">N131*O131</f>
        <v>1.45</v>
      </c>
      <c r="S131" s="7">
        <f t="shared" ref="S131:S194" si="7">R131*P131</f>
        <v>0.14499999999999999</v>
      </c>
      <c r="T131">
        <f>Table1[[#This Row],[Total price]]-Table1[[#This Row],[Discount Amount]]</f>
        <v>1.3049999999999999</v>
      </c>
      <c r="U131">
        <f t="shared" ref="U131:U194" si="8">T131*O131</f>
        <v>1.3049999999999999</v>
      </c>
    </row>
    <row r="132" spans="1:21">
      <c r="A132">
        <v>131</v>
      </c>
      <c r="B132" s="3" t="s">
        <v>1845</v>
      </c>
      <c r="C132" s="3" t="s">
        <v>2726</v>
      </c>
      <c r="D132" s="3" t="s">
        <v>2866</v>
      </c>
      <c r="E132" s="3" t="s">
        <v>3015</v>
      </c>
      <c r="F132" s="3">
        <v>44</v>
      </c>
      <c r="G132" s="4">
        <v>40513.40347222222</v>
      </c>
      <c r="H132" s="3">
        <v>4</v>
      </c>
      <c r="I132" s="5">
        <v>16</v>
      </c>
      <c r="J132" t="s">
        <v>13</v>
      </c>
      <c r="K132" t="s">
        <v>4497</v>
      </c>
      <c r="L132">
        <v>536381</v>
      </c>
      <c r="M132" s="2">
        <v>21533</v>
      </c>
      <c r="N132">
        <v>4.95</v>
      </c>
      <c r="O132" s="6">
        <v>1</v>
      </c>
      <c r="P132" s="3">
        <v>0.05</v>
      </c>
      <c r="Q132" t="s">
        <v>3</v>
      </c>
      <c r="R132" s="7">
        <f t="shared" si="6"/>
        <v>4.95</v>
      </c>
      <c r="S132" s="7">
        <f t="shared" si="7"/>
        <v>0.24750000000000003</v>
      </c>
      <c r="T132">
        <f>Table1[[#This Row],[Total price]]-Table1[[#This Row],[Discount Amount]]</f>
        <v>4.7025000000000006</v>
      </c>
      <c r="U132">
        <f t="shared" si="8"/>
        <v>4.7025000000000006</v>
      </c>
    </row>
    <row r="133" spans="1:21">
      <c r="A133">
        <v>132</v>
      </c>
      <c r="B133" s="3" t="s">
        <v>1634</v>
      </c>
      <c r="C133" s="3" t="s">
        <v>1208</v>
      </c>
      <c r="D133" s="3" t="s">
        <v>2866</v>
      </c>
      <c r="E133" s="3" t="s">
        <v>3016</v>
      </c>
      <c r="F133" s="3">
        <v>45</v>
      </c>
      <c r="G133" s="4">
        <v>40513.40347222222</v>
      </c>
      <c r="H133" s="3">
        <v>4</v>
      </c>
      <c r="I133" s="5">
        <v>4</v>
      </c>
      <c r="J133" t="s">
        <v>261</v>
      </c>
      <c r="K133" t="s">
        <v>4497</v>
      </c>
      <c r="L133">
        <v>536381</v>
      </c>
      <c r="M133" s="2">
        <v>21557</v>
      </c>
      <c r="N133">
        <v>2.95</v>
      </c>
      <c r="O133" s="6">
        <v>2</v>
      </c>
      <c r="P133" s="3">
        <v>0.2</v>
      </c>
      <c r="Q133" t="s">
        <v>3</v>
      </c>
      <c r="R133" s="7">
        <f t="shared" si="6"/>
        <v>5.9</v>
      </c>
      <c r="S133" s="7">
        <f t="shared" si="7"/>
        <v>1.1800000000000002</v>
      </c>
      <c r="T133">
        <f>Table1[[#This Row],[Total price]]-Table1[[#This Row],[Discount Amount]]</f>
        <v>4.7200000000000006</v>
      </c>
      <c r="U133">
        <f t="shared" si="8"/>
        <v>9.4400000000000013</v>
      </c>
    </row>
    <row r="134" spans="1:21">
      <c r="A134">
        <v>133</v>
      </c>
      <c r="B134" s="3" t="s">
        <v>2725</v>
      </c>
      <c r="C134" s="3" t="s">
        <v>1008</v>
      </c>
      <c r="D134" s="3" t="s">
        <v>2866</v>
      </c>
      <c r="E134" s="3" t="s">
        <v>3017</v>
      </c>
      <c r="F134" s="3">
        <v>45</v>
      </c>
      <c r="G134" s="4">
        <v>40513.40347222222</v>
      </c>
      <c r="H134" s="3">
        <v>4</v>
      </c>
      <c r="I134" s="5">
        <v>22</v>
      </c>
      <c r="J134" t="s">
        <v>219</v>
      </c>
      <c r="K134" t="s">
        <v>4497</v>
      </c>
      <c r="L134">
        <v>536381</v>
      </c>
      <c r="M134" s="2" t="s">
        <v>218</v>
      </c>
      <c r="N134">
        <v>5.95</v>
      </c>
      <c r="O134" s="6">
        <v>2</v>
      </c>
      <c r="P134" s="3">
        <v>7.0000000000000007E-2</v>
      </c>
      <c r="Q134" t="s">
        <v>3</v>
      </c>
      <c r="R134" s="7">
        <f t="shared" si="6"/>
        <v>11.9</v>
      </c>
      <c r="S134" s="7">
        <f t="shared" si="7"/>
        <v>0.83300000000000007</v>
      </c>
      <c r="T134">
        <f>Table1[[#This Row],[Total price]]-Table1[[#This Row],[Discount Amount]]</f>
        <v>11.067</v>
      </c>
      <c r="U134">
        <f t="shared" si="8"/>
        <v>22.134</v>
      </c>
    </row>
    <row r="135" spans="1:21">
      <c r="A135">
        <v>134</v>
      </c>
      <c r="B135" s="3" t="s">
        <v>2724</v>
      </c>
      <c r="C135" s="3" t="s">
        <v>2723</v>
      </c>
      <c r="D135" s="3" t="s">
        <v>3018</v>
      </c>
      <c r="E135" s="3" t="s">
        <v>3019</v>
      </c>
      <c r="F135" s="3">
        <v>45</v>
      </c>
      <c r="G135" s="4">
        <v>40513.40347222222</v>
      </c>
      <c r="H135" s="3">
        <v>4</v>
      </c>
      <c r="I135" s="5">
        <v>21</v>
      </c>
      <c r="J135" t="s">
        <v>204</v>
      </c>
      <c r="K135" t="s">
        <v>4497</v>
      </c>
      <c r="L135">
        <v>536381</v>
      </c>
      <c r="M135" s="2" t="s">
        <v>203</v>
      </c>
      <c r="N135">
        <v>5.95</v>
      </c>
      <c r="O135" s="6">
        <v>2</v>
      </c>
      <c r="P135" s="3">
        <v>0.05</v>
      </c>
      <c r="Q135" t="s">
        <v>3</v>
      </c>
      <c r="R135" s="7">
        <f t="shared" si="6"/>
        <v>11.9</v>
      </c>
      <c r="S135" s="7">
        <f t="shared" si="7"/>
        <v>0.59500000000000008</v>
      </c>
      <c r="T135">
        <f>Table1[[#This Row],[Total price]]-Table1[[#This Row],[Discount Amount]]</f>
        <v>11.305</v>
      </c>
      <c r="U135">
        <f t="shared" si="8"/>
        <v>22.61</v>
      </c>
    </row>
    <row r="136" spans="1:21">
      <c r="A136">
        <v>135</v>
      </c>
      <c r="B136" s="3" t="s">
        <v>2722</v>
      </c>
      <c r="C136" s="3" t="s">
        <v>1300</v>
      </c>
      <c r="D136" s="3" t="s">
        <v>3020</v>
      </c>
      <c r="E136" s="3" t="s">
        <v>3021</v>
      </c>
      <c r="F136" s="3">
        <v>46</v>
      </c>
      <c r="G136" s="4">
        <v>40513.40347222222</v>
      </c>
      <c r="H136" s="3">
        <v>4</v>
      </c>
      <c r="I136" s="5">
        <v>17</v>
      </c>
      <c r="J136" t="s">
        <v>53</v>
      </c>
      <c r="K136" t="s">
        <v>4497</v>
      </c>
      <c r="L136">
        <v>536381</v>
      </c>
      <c r="M136" s="2">
        <v>22646</v>
      </c>
      <c r="N136">
        <v>1.45</v>
      </c>
      <c r="O136" s="6">
        <v>4</v>
      </c>
      <c r="P136" s="3">
        <v>0.1</v>
      </c>
      <c r="Q136" t="s">
        <v>3</v>
      </c>
      <c r="R136" s="7">
        <f t="shared" si="6"/>
        <v>5.8</v>
      </c>
      <c r="S136" s="7">
        <f t="shared" si="7"/>
        <v>0.57999999999999996</v>
      </c>
      <c r="T136">
        <f>Table1[[#This Row],[Total price]]-Table1[[#This Row],[Discount Amount]]</f>
        <v>5.22</v>
      </c>
      <c r="U136">
        <f t="shared" si="8"/>
        <v>20.88</v>
      </c>
    </row>
    <row r="137" spans="1:21">
      <c r="A137">
        <v>136</v>
      </c>
      <c r="B137" s="3" t="s">
        <v>2721</v>
      </c>
      <c r="C137" s="3" t="s">
        <v>2720</v>
      </c>
      <c r="D137" s="3" t="s">
        <v>2866</v>
      </c>
      <c r="E137" s="3" t="s">
        <v>3022</v>
      </c>
      <c r="F137" s="3">
        <v>47</v>
      </c>
      <c r="G137" s="4">
        <v>40513.40347222222</v>
      </c>
      <c r="H137" s="3">
        <v>4</v>
      </c>
      <c r="I137" s="5">
        <v>6</v>
      </c>
      <c r="J137" t="s">
        <v>484</v>
      </c>
      <c r="K137" t="s">
        <v>4497</v>
      </c>
      <c r="L137">
        <v>536381</v>
      </c>
      <c r="M137" s="2">
        <v>22176</v>
      </c>
      <c r="N137">
        <v>2.95</v>
      </c>
      <c r="O137" s="6">
        <v>1</v>
      </c>
      <c r="P137" s="3">
        <v>0.05</v>
      </c>
      <c r="Q137" t="s">
        <v>3</v>
      </c>
      <c r="R137" s="7">
        <f t="shared" si="6"/>
        <v>2.95</v>
      </c>
      <c r="S137" s="7">
        <f t="shared" si="7"/>
        <v>0.14750000000000002</v>
      </c>
      <c r="T137">
        <f>Table1[[#This Row],[Total price]]-Table1[[#This Row],[Discount Amount]]</f>
        <v>2.8025000000000002</v>
      </c>
      <c r="U137">
        <f t="shared" si="8"/>
        <v>2.8025000000000002</v>
      </c>
    </row>
    <row r="138" spans="1:21">
      <c r="A138">
        <v>137</v>
      </c>
      <c r="B138" s="3" t="s">
        <v>1863</v>
      </c>
      <c r="C138" s="3" t="s">
        <v>1551</v>
      </c>
      <c r="D138" s="3" t="s">
        <v>2866</v>
      </c>
      <c r="E138" s="3" t="s">
        <v>3023</v>
      </c>
      <c r="F138" s="3">
        <v>47</v>
      </c>
      <c r="G138" s="4">
        <v>40513.40347222222</v>
      </c>
      <c r="H138" s="3">
        <v>4</v>
      </c>
      <c r="I138" s="5">
        <v>15</v>
      </c>
      <c r="J138" t="s">
        <v>611</v>
      </c>
      <c r="K138" t="s">
        <v>4497</v>
      </c>
      <c r="L138">
        <v>536381</v>
      </c>
      <c r="M138" s="2">
        <v>22438</v>
      </c>
      <c r="N138">
        <v>1.95</v>
      </c>
      <c r="O138" s="6">
        <v>1</v>
      </c>
      <c r="P138" s="3">
        <v>0.1</v>
      </c>
      <c r="Q138" t="s">
        <v>3</v>
      </c>
      <c r="R138" s="7">
        <f t="shared" si="6"/>
        <v>1.95</v>
      </c>
      <c r="S138" s="7">
        <f t="shared" si="7"/>
        <v>0.19500000000000001</v>
      </c>
      <c r="T138">
        <f>Table1[[#This Row],[Total price]]-Table1[[#This Row],[Discount Amount]]</f>
        <v>1.7549999999999999</v>
      </c>
      <c r="U138">
        <f t="shared" si="8"/>
        <v>1.7549999999999999</v>
      </c>
    </row>
    <row r="139" spans="1:21">
      <c r="A139">
        <v>138</v>
      </c>
      <c r="B139" s="3" t="s">
        <v>2719</v>
      </c>
      <c r="C139" s="3" t="s">
        <v>2718</v>
      </c>
      <c r="D139" s="3" t="s">
        <v>3024</v>
      </c>
      <c r="E139" s="3" t="s">
        <v>3025</v>
      </c>
      <c r="F139" s="3">
        <v>47</v>
      </c>
      <c r="G139" s="4">
        <v>40513.40347222222</v>
      </c>
      <c r="H139" s="3">
        <v>4</v>
      </c>
      <c r="I139" s="5">
        <v>25</v>
      </c>
      <c r="J139" t="s">
        <v>87</v>
      </c>
      <c r="K139" t="s">
        <v>4497</v>
      </c>
      <c r="L139">
        <v>536381</v>
      </c>
      <c r="M139" s="2">
        <v>21731</v>
      </c>
      <c r="N139">
        <v>1.65</v>
      </c>
      <c r="O139" s="6">
        <v>2</v>
      </c>
      <c r="P139" s="3">
        <v>7.0000000000000007E-2</v>
      </c>
      <c r="Q139" t="s">
        <v>3</v>
      </c>
      <c r="R139" s="7">
        <f t="shared" si="6"/>
        <v>3.3</v>
      </c>
      <c r="S139" s="7">
        <f t="shared" si="7"/>
        <v>0.23100000000000001</v>
      </c>
      <c r="T139">
        <f>Table1[[#This Row],[Total price]]-Table1[[#This Row],[Discount Amount]]</f>
        <v>3.069</v>
      </c>
      <c r="U139">
        <f t="shared" si="8"/>
        <v>6.1379999999999999</v>
      </c>
    </row>
    <row r="140" spans="1:21">
      <c r="A140">
        <v>139</v>
      </c>
      <c r="B140" s="3" t="s">
        <v>2717</v>
      </c>
      <c r="C140" s="3" t="s">
        <v>1175</v>
      </c>
      <c r="D140" s="3" t="s">
        <v>2866</v>
      </c>
      <c r="E140" s="3" t="s">
        <v>3026</v>
      </c>
      <c r="F140" s="3">
        <v>47</v>
      </c>
      <c r="G140" s="4">
        <v>40513.40347222222</v>
      </c>
      <c r="H140" s="3">
        <v>4</v>
      </c>
      <c r="I140" s="5">
        <v>13</v>
      </c>
      <c r="J140" t="s">
        <v>838</v>
      </c>
      <c r="K140" t="s">
        <v>4497</v>
      </c>
      <c r="L140">
        <v>536381</v>
      </c>
      <c r="M140" s="2">
        <v>22778</v>
      </c>
      <c r="N140">
        <v>3.95</v>
      </c>
      <c r="O140" s="6">
        <v>3</v>
      </c>
      <c r="P140" s="3">
        <v>0.2</v>
      </c>
      <c r="Q140" t="s">
        <v>3</v>
      </c>
      <c r="R140" s="7">
        <f t="shared" si="6"/>
        <v>11.850000000000001</v>
      </c>
      <c r="S140" s="7">
        <f t="shared" si="7"/>
        <v>2.3700000000000006</v>
      </c>
      <c r="T140">
        <f>Table1[[#This Row],[Total price]]-Table1[[#This Row],[Discount Amount]]</f>
        <v>9.48</v>
      </c>
      <c r="U140">
        <f t="shared" si="8"/>
        <v>28.44</v>
      </c>
    </row>
    <row r="141" spans="1:21">
      <c r="A141">
        <v>140</v>
      </c>
      <c r="B141" s="3" t="s">
        <v>2716</v>
      </c>
      <c r="C141" s="3" t="s">
        <v>1848</v>
      </c>
      <c r="D141" s="3" t="s">
        <v>2866</v>
      </c>
      <c r="E141" s="3" t="s">
        <v>3027</v>
      </c>
      <c r="F141" s="3">
        <v>48</v>
      </c>
      <c r="G141" s="4">
        <v>40513.40347222222</v>
      </c>
      <c r="H141" s="3">
        <v>4</v>
      </c>
      <c r="I141" s="5">
        <v>11</v>
      </c>
      <c r="J141" t="s">
        <v>676</v>
      </c>
      <c r="K141" t="s">
        <v>4497</v>
      </c>
      <c r="L141">
        <v>536381</v>
      </c>
      <c r="M141" s="2">
        <v>22719</v>
      </c>
      <c r="N141">
        <v>1.06</v>
      </c>
      <c r="O141" s="6">
        <v>36</v>
      </c>
      <c r="P141" s="3">
        <v>0.1</v>
      </c>
      <c r="Q141" t="s">
        <v>3</v>
      </c>
      <c r="R141" s="7">
        <f t="shared" si="6"/>
        <v>38.160000000000004</v>
      </c>
      <c r="S141" s="7">
        <f t="shared" si="7"/>
        <v>3.8160000000000007</v>
      </c>
      <c r="T141">
        <f>Table1[[#This Row],[Total price]]-Table1[[#This Row],[Discount Amount]]</f>
        <v>34.344000000000001</v>
      </c>
      <c r="U141">
        <f t="shared" si="8"/>
        <v>1236.384</v>
      </c>
    </row>
    <row r="142" spans="1:21">
      <c r="A142">
        <v>141</v>
      </c>
      <c r="B142" s="3" t="s">
        <v>2715</v>
      </c>
      <c r="C142" s="3" t="s">
        <v>1680</v>
      </c>
      <c r="D142" s="3" t="s">
        <v>2866</v>
      </c>
      <c r="E142" s="3" t="s">
        <v>3028</v>
      </c>
      <c r="F142" s="3">
        <v>48</v>
      </c>
      <c r="G142" s="4">
        <v>40513.40347222222</v>
      </c>
      <c r="H142" s="3">
        <v>4</v>
      </c>
      <c r="I142" s="5">
        <v>4</v>
      </c>
      <c r="J142" t="s">
        <v>553</v>
      </c>
      <c r="K142" t="s">
        <v>4497</v>
      </c>
      <c r="L142">
        <v>536381</v>
      </c>
      <c r="M142" s="2">
        <v>21523</v>
      </c>
      <c r="N142">
        <v>6.75</v>
      </c>
      <c r="O142" s="6">
        <v>10</v>
      </c>
      <c r="P142" s="3">
        <v>0.2</v>
      </c>
      <c r="Q142" t="s">
        <v>3</v>
      </c>
      <c r="R142" s="7">
        <f t="shared" si="6"/>
        <v>67.5</v>
      </c>
      <c r="S142" s="7">
        <f t="shared" si="7"/>
        <v>13.5</v>
      </c>
      <c r="T142">
        <f>Table1[[#This Row],[Total price]]-Table1[[#This Row],[Discount Amount]]</f>
        <v>54</v>
      </c>
      <c r="U142">
        <f t="shared" si="8"/>
        <v>540</v>
      </c>
    </row>
    <row r="143" spans="1:21">
      <c r="A143">
        <v>142</v>
      </c>
      <c r="B143" s="3" t="s">
        <v>2714</v>
      </c>
      <c r="C143" s="3" t="s">
        <v>1431</v>
      </c>
      <c r="D143" s="3" t="s">
        <v>2866</v>
      </c>
      <c r="E143" s="3" t="s">
        <v>3029</v>
      </c>
      <c r="F143" s="3">
        <v>48</v>
      </c>
      <c r="G143" s="4">
        <v>40513.40347222222</v>
      </c>
      <c r="H143" s="3">
        <v>4</v>
      </c>
      <c r="I143" s="5">
        <v>5</v>
      </c>
      <c r="J143" t="s">
        <v>151</v>
      </c>
      <c r="K143" t="s">
        <v>4497</v>
      </c>
      <c r="L143" t="s">
        <v>880</v>
      </c>
      <c r="M143" s="2" t="s">
        <v>150</v>
      </c>
      <c r="N143">
        <v>27.5</v>
      </c>
      <c r="O143" s="6">
        <v>-1</v>
      </c>
      <c r="P143" s="3">
        <v>0.1</v>
      </c>
      <c r="Q143" t="s">
        <v>3</v>
      </c>
      <c r="R143" s="7">
        <f t="shared" si="6"/>
        <v>-27.5</v>
      </c>
      <c r="S143" s="7">
        <f t="shared" si="7"/>
        <v>-2.75</v>
      </c>
      <c r="T143">
        <f>Table1[[#This Row],[Total price]]-Table1[[#This Row],[Discount Amount]]</f>
        <v>-24.75</v>
      </c>
      <c r="U143">
        <f t="shared" si="8"/>
        <v>24.75</v>
      </c>
    </row>
    <row r="144" spans="1:21">
      <c r="A144">
        <v>143</v>
      </c>
      <c r="B144" s="3" t="s">
        <v>2713</v>
      </c>
      <c r="C144" s="3" t="s">
        <v>2712</v>
      </c>
      <c r="D144" s="3" t="s">
        <v>2866</v>
      </c>
      <c r="E144" s="3" t="s">
        <v>3030</v>
      </c>
      <c r="F144" s="3">
        <v>48</v>
      </c>
      <c r="G144" s="4">
        <v>40513.40625</v>
      </c>
      <c r="H144" s="3">
        <v>4</v>
      </c>
      <c r="I144" s="5">
        <v>14</v>
      </c>
      <c r="J144" t="s">
        <v>224</v>
      </c>
      <c r="K144" t="s">
        <v>4497</v>
      </c>
      <c r="L144">
        <v>536382</v>
      </c>
      <c r="M144" s="2">
        <v>10002</v>
      </c>
      <c r="N144">
        <v>0.85</v>
      </c>
      <c r="O144" s="6">
        <v>12</v>
      </c>
      <c r="P144" s="3">
        <v>7.0000000000000007E-2</v>
      </c>
      <c r="Q144" t="s">
        <v>3</v>
      </c>
      <c r="R144" s="7">
        <f t="shared" si="6"/>
        <v>10.199999999999999</v>
      </c>
      <c r="S144" s="7">
        <f t="shared" si="7"/>
        <v>0.71399999999999997</v>
      </c>
      <c r="T144">
        <f>Table1[[#This Row],[Total price]]-Table1[[#This Row],[Discount Amount]]</f>
        <v>9.4859999999999989</v>
      </c>
      <c r="U144">
        <f t="shared" si="8"/>
        <v>113.83199999999999</v>
      </c>
    </row>
    <row r="145" spans="1:21">
      <c r="A145">
        <v>144</v>
      </c>
      <c r="B145" s="3" t="s">
        <v>2711</v>
      </c>
      <c r="C145" s="3" t="s">
        <v>1</v>
      </c>
      <c r="D145" s="3" t="s">
        <v>2866</v>
      </c>
      <c r="E145" s="3" t="s">
        <v>3031</v>
      </c>
      <c r="F145" s="3">
        <v>49</v>
      </c>
      <c r="G145" s="4">
        <v>40513.40625</v>
      </c>
      <c r="H145" s="3">
        <v>4</v>
      </c>
      <c r="I145" s="5">
        <v>13</v>
      </c>
      <c r="J145" t="s">
        <v>95</v>
      </c>
      <c r="K145" t="s">
        <v>4497</v>
      </c>
      <c r="L145">
        <v>536382</v>
      </c>
      <c r="M145" s="2">
        <v>21912</v>
      </c>
      <c r="N145">
        <v>3.75</v>
      </c>
      <c r="O145" s="6">
        <v>8</v>
      </c>
      <c r="P145" s="3">
        <v>7.0000000000000007E-2</v>
      </c>
      <c r="Q145" t="s">
        <v>3</v>
      </c>
      <c r="R145" s="7">
        <f t="shared" si="6"/>
        <v>30</v>
      </c>
      <c r="S145" s="7">
        <f t="shared" si="7"/>
        <v>2.1</v>
      </c>
      <c r="T145">
        <f>Table1[[#This Row],[Total price]]-Table1[[#This Row],[Discount Amount]]</f>
        <v>27.9</v>
      </c>
      <c r="U145">
        <f t="shared" si="8"/>
        <v>223.2</v>
      </c>
    </row>
    <row r="146" spans="1:21">
      <c r="A146">
        <v>145</v>
      </c>
      <c r="B146" s="3" t="s">
        <v>2710</v>
      </c>
      <c r="C146" s="3" t="s">
        <v>2371</v>
      </c>
      <c r="D146" s="3" t="s">
        <v>2866</v>
      </c>
      <c r="E146" s="3" t="s">
        <v>3032</v>
      </c>
      <c r="F146" s="3">
        <v>50</v>
      </c>
      <c r="G146" s="4">
        <v>40513.40625</v>
      </c>
      <c r="H146" s="3">
        <v>4</v>
      </c>
      <c r="I146" s="5">
        <v>3</v>
      </c>
      <c r="J146" t="s">
        <v>223</v>
      </c>
      <c r="K146" t="s">
        <v>4497</v>
      </c>
      <c r="L146">
        <v>536382</v>
      </c>
      <c r="M146" s="2">
        <v>21832</v>
      </c>
      <c r="N146">
        <v>1.65</v>
      </c>
      <c r="O146" s="6">
        <v>12</v>
      </c>
      <c r="P146" s="3">
        <v>0.05</v>
      </c>
      <c r="Q146" t="s">
        <v>3</v>
      </c>
      <c r="R146" s="7">
        <f t="shared" si="6"/>
        <v>19.799999999999997</v>
      </c>
      <c r="S146" s="7">
        <f t="shared" si="7"/>
        <v>0.98999999999999988</v>
      </c>
      <c r="T146">
        <f>Table1[[#This Row],[Total price]]-Table1[[#This Row],[Discount Amount]]</f>
        <v>18.809999999999999</v>
      </c>
      <c r="U146">
        <f t="shared" si="8"/>
        <v>225.71999999999997</v>
      </c>
    </row>
    <row r="147" spans="1:21">
      <c r="A147">
        <v>146</v>
      </c>
      <c r="B147" s="3" t="s">
        <v>2709</v>
      </c>
      <c r="C147" s="3" t="s">
        <v>2708</v>
      </c>
      <c r="D147" s="3" t="s">
        <v>2866</v>
      </c>
      <c r="E147" s="3" t="s">
        <v>3033</v>
      </c>
      <c r="F147" s="3">
        <v>50</v>
      </c>
      <c r="G147" s="4">
        <v>40513.40625</v>
      </c>
      <c r="H147" s="3">
        <v>4</v>
      </c>
      <c r="I147" s="5">
        <v>26</v>
      </c>
      <c r="J147" t="s">
        <v>34</v>
      </c>
      <c r="K147" t="s">
        <v>4497</v>
      </c>
      <c r="L147">
        <v>536382</v>
      </c>
      <c r="M147" s="2">
        <v>22411</v>
      </c>
      <c r="N147">
        <v>1.95</v>
      </c>
      <c r="O147" s="6">
        <v>10</v>
      </c>
      <c r="P147" s="3">
        <v>7.0000000000000007E-2</v>
      </c>
      <c r="Q147" t="s">
        <v>3</v>
      </c>
      <c r="R147" s="7">
        <f t="shared" si="6"/>
        <v>19.5</v>
      </c>
      <c r="S147" s="7">
        <f t="shared" si="7"/>
        <v>1.3650000000000002</v>
      </c>
      <c r="T147">
        <f>Table1[[#This Row],[Total price]]-Table1[[#This Row],[Discount Amount]]</f>
        <v>18.134999999999998</v>
      </c>
      <c r="U147">
        <f t="shared" si="8"/>
        <v>181.34999999999997</v>
      </c>
    </row>
    <row r="148" spans="1:21">
      <c r="A148">
        <v>147</v>
      </c>
      <c r="B148" s="3" t="s">
        <v>1101</v>
      </c>
      <c r="C148" s="3" t="s">
        <v>1732</v>
      </c>
      <c r="D148" s="3" t="s">
        <v>2866</v>
      </c>
      <c r="E148" s="3" t="s">
        <v>3034</v>
      </c>
      <c r="F148" s="3">
        <v>50</v>
      </c>
      <c r="G148" s="4">
        <v>40513.40625</v>
      </c>
      <c r="H148" s="3">
        <v>4</v>
      </c>
      <c r="I148" s="5">
        <v>13</v>
      </c>
      <c r="J148" t="s">
        <v>461</v>
      </c>
      <c r="K148" t="s">
        <v>4497</v>
      </c>
      <c r="L148">
        <v>536382</v>
      </c>
      <c r="M148" s="2">
        <v>22379</v>
      </c>
      <c r="N148">
        <v>2.1</v>
      </c>
      <c r="O148" s="6">
        <v>10</v>
      </c>
      <c r="P148" s="3">
        <v>0.2</v>
      </c>
      <c r="Q148" t="s">
        <v>3</v>
      </c>
      <c r="R148" s="7">
        <f t="shared" si="6"/>
        <v>21</v>
      </c>
      <c r="S148" s="7">
        <f t="shared" si="7"/>
        <v>4.2</v>
      </c>
      <c r="T148">
        <f>Table1[[#This Row],[Total price]]-Table1[[#This Row],[Discount Amount]]</f>
        <v>16.8</v>
      </c>
      <c r="U148">
        <f t="shared" si="8"/>
        <v>168</v>
      </c>
    </row>
    <row r="149" spans="1:21">
      <c r="A149">
        <v>148</v>
      </c>
      <c r="B149" s="3" t="s">
        <v>2707</v>
      </c>
      <c r="C149" s="3" t="s">
        <v>2706</v>
      </c>
      <c r="D149" s="3" t="s">
        <v>2866</v>
      </c>
      <c r="E149" s="3" t="s">
        <v>3035</v>
      </c>
      <c r="F149" s="3">
        <v>51</v>
      </c>
      <c r="G149" s="4">
        <v>40513.40625</v>
      </c>
      <c r="H149" s="3">
        <v>4</v>
      </c>
      <c r="I149" s="5">
        <v>13</v>
      </c>
      <c r="J149" t="s">
        <v>273</v>
      </c>
      <c r="K149" t="s">
        <v>4497</v>
      </c>
      <c r="L149">
        <v>536382</v>
      </c>
      <c r="M149" s="2">
        <v>22381</v>
      </c>
      <c r="N149">
        <v>1.85</v>
      </c>
      <c r="O149" s="6">
        <v>50</v>
      </c>
      <c r="P149" s="3">
        <v>0.05</v>
      </c>
      <c r="Q149" t="s">
        <v>3</v>
      </c>
      <c r="R149" s="7">
        <f t="shared" si="6"/>
        <v>92.5</v>
      </c>
      <c r="S149" s="7">
        <f t="shared" si="7"/>
        <v>4.625</v>
      </c>
      <c r="T149">
        <f>Table1[[#This Row],[Total price]]-Table1[[#This Row],[Discount Amount]]</f>
        <v>87.875</v>
      </c>
      <c r="U149">
        <f t="shared" si="8"/>
        <v>4393.75</v>
      </c>
    </row>
    <row r="150" spans="1:21">
      <c r="A150">
        <v>149</v>
      </c>
      <c r="B150" s="3" t="s">
        <v>2705</v>
      </c>
      <c r="C150" s="3" t="s">
        <v>1646</v>
      </c>
      <c r="D150" s="3" t="s">
        <v>2866</v>
      </c>
      <c r="E150" s="3" t="s">
        <v>3036</v>
      </c>
      <c r="F150" s="3">
        <v>51</v>
      </c>
      <c r="G150" s="4">
        <v>40513.40625</v>
      </c>
      <c r="H150" s="3">
        <v>4</v>
      </c>
      <c r="I150" s="5">
        <v>20</v>
      </c>
      <c r="J150" t="s">
        <v>297</v>
      </c>
      <c r="K150" t="s">
        <v>4497</v>
      </c>
      <c r="L150">
        <v>536382</v>
      </c>
      <c r="M150" s="2">
        <v>22798</v>
      </c>
      <c r="N150">
        <v>2.95</v>
      </c>
      <c r="O150" s="6">
        <v>8</v>
      </c>
      <c r="P150" s="3">
        <v>0.05</v>
      </c>
      <c r="Q150" t="s">
        <v>3</v>
      </c>
      <c r="R150" s="7">
        <f t="shared" si="6"/>
        <v>23.6</v>
      </c>
      <c r="S150" s="7">
        <f t="shared" si="7"/>
        <v>1.1800000000000002</v>
      </c>
      <c r="T150">
        <f>Table1[[#This Row],[Total price]]-Table1[[#This Row],[Discount Amount]]</f>
        <v>22.42</v>
      </c>
      <c r="U150">
        <f t="shared" si="8"/>
        <v>179.36</v>
      </c>
    </row>
    <row r="151" spans="1:21">
      <c r="A151">
        <v>150</v>
      </c>
      <c r="B151" s="3" t="s">
        <v>2704</v>
      </c>
      <c r="C151" s="3" t="s">
        <v>2389</v>
      </c>
      <c r="D151" s="3" t="s">
        <v>2866</v>
      </c>
      <c r="E151" s="3" t="s">
        <v>3037</v>
      </c>
      <c r="F151" s="3">
        <v>51</v>
      </c>
      <c r="G151" s="4">
        <v>40513.40625</v>
      </c>
      <c r="H151" s="3">
        <v>4</v>
      </c>
      <c r="I151" s="5">
        <v>26</v>
      </c>
      <c r="J151" t="s">
        <v>113</v>
      </c>
      <c r="K151" t="s">
        <v>4497</v>
      </c>
      <c r="L151">
        <v>536382</v>
      </c>
      <c r="M151" s="2">
        <v>22726</v>
      </c>
      <c r="N151">
        <v>3.75</v>
      </c>
      <c r="O151" s="6">
        <v>4</v>
      </c>
      <c r="P151" s="3">
        <v>0.2</v>
      </c>
      <c r="Q151" t="s">
        <v>3</v>
      </c>
      <c r="R151" s="7">
        <f t="shared" si="6"/>
        <v>15</v>
      </c>
      <c r="S151" s="7">
        <f t="shared" si="7"/>
        <v>3</v>
      </c>
      <c r="T151">
        <f>Table1[[#This Row],[Total price]]-Table1[[#This Row],[Discount Amount]]</f>
        <v>12</v>
      </c>
      <c r="U151">
        <f t="shared" si="8"/>
        <v>48</v>
      </c>
    </row>
    <row r="152" spans="1:21">
      <c r="A152">
        <v>151</v>
      </c>
      <c r="B152" s="3" t="s">
        <v>2703</v>
      </c>
      <c r="C152" s="3" t="s">
        <v>2319</v>
      </c>
      <c r="D152" s="3" t="s">
        <v>2866</v>
      </c>
      <c r="E152" s="3" t="s">
        <v>3038</v>
      </c>
      <c r="F152" s="3">
        <v>52</v>
      </c>
      <c r="G152" s="4">
        <v>40513.40625</v>
      </c>
      <c r="H152" s="3">
        <v>4</v>
      </c>
      <c r="I152" s="5">
        <v>25</v>
      </c>
      <c r="J152" t="s">
        <v>857</v>
      </c>
      <c r="K152" t="s">
        <v>4497</v>
      </c>
      <c r="L152">
        <v>536382</v>
      </c>
      <c r="M152" s="2">
        <v>22926</v>
      </c>
      <c r="N152">
        <v>5.95</v>
      </c>
      <c r="O152" s="6">
        <v>12</v>
      </c>
      <c r="P152" s="3">
        <v>7.0000000000000007E-2</v>
      </c>
      <c r="Q152" t="s">
        <v>3</v>
      </c>
      <c r="R152" s="7">
        <f t="shared" si="6"/>
        <v>71.400000000000006</v>
      </c>
      <c r="S152" s="7">
        <f t="shared" si="7"/>
        <v>4.9980000000000011</v>
      </c>
      <c r="T152">
        <f>Table1[[#This Row],[Total price]]-Table1[[#This Row],[Discount Amount]]</f>
        <v>66.402000000000001</v>
      </c>
      <c r="U152">
        <f t="shared" si="8"/>
        <v>796.82400000000007</v>
      </c>
    </row>
    <row r="153" spans="1:21">
      <c r="A153">
        <v>152</v>
      </c>
      <c r="B153" s="3" t="s">
        <v>2702</v>
      </c>
      <c r="C153" s="3" t="s">
        <v>1539</v>
      </c>
      <c r="D153" s="3" t="s">
        <v>2866</v>
      </c>
      <c r="E153" s="3" t="s">
        <v>3039</v>
      </c>
      <c r="F153" s="3">
        <v>53</v>
      </c>
      <c r="G153" s="4">
        <v>40513.40625</v>
      </c>
      <c r="H153" s="3">
        <v>4</v>
      </c>
      <c r="I153" s="5">
        <v>8</v>
      </c>
      <c r="J153" t="s">
        <v>432</v>
      </c>
      <c r="K153" t="s">
        <v>4497</v>
      </c>
      <c r="L153">
        <v>536382</v>
      </c>
      <c r="M153" s="2">
        <v>22839</v>
      </c>
      <c r="N153">
        <v>14.95</v>
      </c>
      <c r="O153" s="6">
        <v>2</v>
      </c>
      <c r="P153" s="3">
        <v>0.2</v>
      </c>
      <c r="Q153" t="s">
        <v>3</v>
      </c>
      <c r="R153" s="7">
        <f t="shared" si="6"/>
        <v>29.9</v>
      </c>
      <c r="S153" s="7">
        <f t="shared" si="7"/>
        <v>5.98</v>
      </c>
      <c r="T153">
        <f>Table1[[#This Row],[Total price]]-Table1[[#This Row],[Discount Amount]]</f>
        <v>23.919999999999998</v>
      </c>
      <c r="U153">
        <f t="shared" si="8"/>
        <v>47.839999999999996</v>
      </c>
    </row>
    <row r="154" spans="1:21">
      <c r="A154">
        <v>153</v>
      </c>
      <c r="B154" s="3" t="s">
        <v>2701</v>
      </c>
      <c r="C154" s="3" t="s">
        <v>1033</v>
      </c>
      <c r="D154" s="3" t="s">
        <v>2866</v>
      </c>
      <c r="E154" s="3" t="s">
        <v>3040</v>
      </c>
      <c r="F154" s="3">
        <v>53</v>
      </c>
      <c r="G154" s="4">
        <v>40513.40625</v>
      </c>
      <c r="H154" s="3">
        <v>4</v>
      </c>
      <c r="I154" s="5">
        <v>23</v>
      </c>
      <c r="J154" t="s">
        <v>285</v>
      </c>
      <c r="K154" t="s">
        <v>4497</v>
      </c>
      <c r="L154">
        <v>536382</v>
      </c>
      <c r="M154" s="2">
        <v>22838</v>
      </c>
      <c r="N154">
        <v>14.95</v>
      </c>
      <c r="O154" s="6">
        <v>2</v>
      </c>
      <c r="P154" s="3">
        <v>0.05</v>
      </c>
      <c r="Q154" t="s">
        <v>3</v>
      </c>
      <c r="R154" s="7">
        <f t="shared" si="6"/>
        <v>29.9</v>
      </c>
      <c r="S154" s="7">
        <f t="shared" si="7"/>
        <v>1.4950000000000001</v>
      </c>
      <c r="T154">
        <f>Table1[[#This Row],[Total price]]-Table1[[#This Row],[Discount Amount]]</f>
        <v>28.404999999999998</v>
      </c>
      <c r="U154">
        <f t="shared" si="8"/>
        <v>56.809999999999995</v>
      </c>
    </row>
    <row r="155" spans="1:21">
      <c r="A155">
        <v>154</v>
      </c>
      <c r="B155" s="3" t="s">
        <v>2700</v>
      </c>
      <c r="C155" s="3" t="s">
        <v>1862</v>
      </c>
      <c r="D155" s="3" t="s">
        <v>2866</v>
      </c>
      <c r="E155" s="3" t="s">
        <v>3041</v>
      </c>
      <c r="F155" s="3">
        <v>53</v>
      </c>
      <c r="G155" s="4">
        <v>40513.40625</v>
      </c>
      <c r="H155" s="3">
        <v>4</v>
      </c>
      <c r="I155" s="5">
        <v>14</v>
      </c>
      <c r="J155" t="s">
        <v>475</v>
      </c>
      <c r="K155" t="s">
        <v>4497</v>
      </c>
      <c r="L155">
        <v>536382</v>
      </c>
      <c r="M155" s="2">
        <v>22783</v>
      </c>
      <c r="N155">
        <v>16.95</v>
      </c>
      <c r="O155" s="6">
        <v>4</v>
      </c>
      <c r="P155" s="3">
        <v>0.2</v>
      </c>
      <c r="Q155" t="s">
        <v>3</v>
      </c>
      <c r="R155" s="7">
        <f t="shared" si="6"/>
        <v>67.8</v>
      </c>
      <c r="S155" s="7">
        <f t="shared" si="7"/>
        <v>13.56</v>
      </c>
      <c r="T155">
        <f>Table1[[#This Row],[Total price]]-Table1[[#This Row],[Discount Amount]]</f>
        <v>54.239999999999995</v>
      </c>
      <c r="U155">
        <f t="shared" si="8"/>
        <v>216.95999999999998</v>
      </c>
    </row>
    <row r="156" spans="1:21">
      <c r="A156">
        <v>155</v>
      </c>
      <c r="B156" s="3" t="s">
        <v>1908</v>
      </c>
      <c r="C156" s="3" t="s">
        <v>2441</v>
      </c>
      <c r="D156" s="3" t="s">
        <v>2866</v>
      </c>
      <c r="E156" s="3" t="s">
        <v>3042</v>
      </c>
      <c r="F156" s="3">
        <v>53</v>
      </c>
      <c r="G156" s="4">
        <v>40513.40902777778</v>
      </c>
      <c r="H156" s="3">
        <v>4</v>
      </c>
      <c r="I156" s="5">
        <v>25</v>
      </c>
      <c r="J156" t="s">
        <v>222</v>
      </c>
      <c r="K156" t="s">
        <v>4497</v>
      </c>
      <c r="L156" t="s">
        <v>881</v>
      </c>
      <c r="M156" s="2" t="s">
        <v>221</v>
      </c>
      <c r="N156">
        <v>4.6500000000000004</v>
      </c>
      <c r="O156" s="6">
        <v>-1</v>
      </c>
      <c r="P156" s="3">
        <v>0.1</v>
      </c>
      <c r="Q156" t="s">
        <v>3</v>
      </c>
      <c r="R156" s="7">
        <f t="shared" si="6"/>
        <v>-4.6500000000000004</v>
      </c>
      <c r="S156" s="7">
        <f t="shared" si="7"/>
        <v>-0.46500000000000008</v>
      </c>
      <c r="T156">
        <f>Table1[[#This Row],[Total price]]-Table1[[#This Row],[Discount Amount]]</f>
        <v>-4.1850000000000005</v>
      </c>
      <c r="U156">
        <f t="shared" si="8"/>
        <v>4.1850000000000005</v>
      </c>
    </row>
    <row r="157" spans="1:21">
      <c r="A157">
        <v>156</v>
      </c>
      <c r="B157" s="3" t="s">
        <v>2699</v>
      </c>
      <c r="C157" s="3" t="s">
        <v>1316</v>
      </c>
      <c r="D157" s="3" t="s">
        <v>2866</v>
      </c>
      <c r="E157" s="3" t="s">
        <v>3043</v>
      </c>
      <c r="F157" s="3">
        <v>54</v>
      </c>
      <c r="G157" s="4">
        <v>40513.411805555559</v>
      </c>
      <c r="H157" s="3">
        <v>4</v>
      </c>
      <c r="I157" s="5">
        <v>26</v>
      </c>
      <c r="J157" t="s">
        <v>19</v>
      </c>
      <c r="K157" t="s">
        <v>4497</v>
      </c>
      <c r="L157">
        <v>536384</v>
      </c>
      <c r="M157" s="2">
        <v>82484</v>
      </c>
      <c r="N157">
        <v>6.45</v>
      </c>
      <c r="O157" s="6">
        <v>3</v>
      </c>
      <c r="P157" s="3">
        <v>0.2</v>
      </c>
      <c r="Q157" t="s">
        <v>3</v>
      </c>
      <c r="R157" s="7">
        <f t="shared" si="6"/>
        <v>19.350000000000001</v>
      </c>
      <c r="S157" s="7">
        <f t="shared" si="7"/>
        <v>3.8700000000000006</v>
      </c>
      <c r="T157">
        <f>Table1[[#This Row],[Total price]]-Table1[[#This Row],[Discount Amount]]</f>
        <v>15.48</v>
      </c>
      <c r="U157">
        <f t="shared" si="8"/>
        <v>46.44</v>
      </c>
    </row>
    <row r="158" spans="1:21">
      <c r="A158">
        <v>157</v>
      </c>
      <c r="B158" s="3" t="s">
        <v>927</v>
      </c>
      <c r="C158" s="3" t="s">
        <v>1088</v>
      </c>
      <c r="D158" s="3" t="s">
        <v>2866</v>
      </c>
      <c r="E158" s="3" t="s">
        <v>3044</v>
      </c>
      <c r="F158" s="3">
        <v>54</v>
      </c>
      <c r="G158" s="4">
        <v>40513.411805555559</v>
      </c>
      <c r="H158" s="3">
        <v>4</v>
      </c>
      <c r="I158" s="5">
        <v>3</v>
      </c>
      <c r="J158" t="s">
        <v>436</v>
      </c>
      <c r="K158" t="s">
        <v>4497</v>
      </c>
      <c r="L158">
        <v>536384</v>
      </c>
      <c r="M158" s="2">
        <v>84755</v>
      </c>
      <c r="N158">
        <v>0.65</v>
      </c>
      <c r="O158" s="6">
        <v>48</v>
      </c>
      <c r="P158" s="3">
        <v>0.2</v>
      </c>
      <c r="Q158" t="s">
        <v>3</v>
      </c>
      <c r="R158" s="7">
        <f t="shared" si="6"/>
        <v>31.200000000000003</v>
      </c>
      <c r="S158" s="7">
        <f t="shared" si="7"/>
        <v>6.2400000000000011</v>
      </c>
      <c r="T158">
        <f>Table1[[#This Row],[Total price]]-Table1[[#This Row],[Discount Amount]]</f>
        <v>24.96</v>
      </c>
      <c r="U158">
        <f t="shared" si="8"/>
        <v>1198.08</v>
      </c>
    </row>
    <row r="159" spans="1:21">
      <c r="A159">
        <v>158</v>
      </c>
      <c r="B159" s="3" t="s">
        <v>2088</v>
      </c>
      <c r="C159" s="3" t="s">
        <v>950</v>
      </c>
      <c r="D159" s="3" t="s">
        <v>2866</v>
      </c>
      <c r="E159" s="3" t="s">
        <v>3045</v>
      </c>
      <c r="F159" s="3">
        <v>55</v>
      </c>
      <c r="G159" s="4">
        <v>40513.411805555559</v>
      </c>
      <c r="H159" s="3">
        <v>3</v>
      </c>
      <c r="I159" s="5">
        <v>21</v>
      </c>
      <c r="J159" t="s">
        <v>564</v>
      </c>
      <c r="K159" t="s">
        <v>4497</v>
      </c>
      <c r="L159">
        <v>536384</v>
      </c>
      <c r="M159" s="2">
        <v>22464</v>
      </c>
      <c r="N159">
        <v>1.65</v>
      </c>
      <c r="O159" s="6">
        <v>12</v>
      </c>
      <c r="P159" s="3">
        <v>0.05</v>
      </c>
      <c r="Q159" t="s">
        <v>3</v>
      </c>
      <c r="R159" s="7">
        <f t="shared" si="6"/>
        <v>19.799999999999997</v>
      </c>
      <c r="S159" s="7">
        <f t="shared" si="7"/>
        <v>0.98999999999999988</v>
      </c>
      <c r="T159">
        <f>Table1[[#This Row],[Total price]]-Table1[[#This Row],[Discount Amount]]</f>
        <v>18.809999999999999</v>
      </c>
      <c r="U159">
        <f t="shared" si="8"/>
        <v>225.71999999999997</v>
      </c>
    </row>
    <row r="160" spans="1:21">
      <c r="A160">
        <v>159</v>
      </c>
      <c r="B160" s="3" t="s">
        <v>2698</v>
      </c>
      <c r="C160" s="3" t="s">
        <v>2697</v>
      </c>
      <c r="D160" s="3" t="s">
        <v>2866</v>
      </c>
      <c r="E160" s="3" t="s">
        <v>3046</v>
      </c>
      <c r="F160" s="3">
        <v>55</v>
      </c>
      <c r="G160" s="4">
        <v>40513.411805555559</v>
      </c>
      <c r="H160" s="3">
        <v>4</v>
      </c>
      <c r="I160" s="5">
        <v>25</v>
      </c>
      <c r="J160" t="s">
        <v>18</v>
      </c>
      <c r="K160" t="s">
        <v>4497</v>
      </c>
      <c r="L160">
        <v>536384</v>
      </c>
      <c r="M160" s="2">
        <v>21324</v>
      </c>
      <c r="N160">
        <v>2.95</v>
      </c>
      <c r="O160" s="6">
        <v>6</v>
      </c>
      <c r="P160" s="3">
        <v>0.2</v>
      </c>
      <c r="Q160" t="s">
        <v>3</v>
      </c>
      <c r="R160" s="7">
        <f t="shared" si="6"/>
        <v>17.700000000000003</v>
      </c>
      <c r="S160" s="7">
        <f t="shared" si="7"/>
        <v>3.5400000000000009</v>
      </c>
      <c r="T160">
        <f>Table1[[#This Row],[Total price]]-Table1[[#This Row],[Discount Amount]]</f>
        <v>14.160000000000002</v>
      </c>
      <c r="U160">
        <f t="shared" si="8"/>
        <v>84.960000000000008</v>
      </c>
    </row>
    <row r="161" spans="1:21">
      <c r="A161">
        <v>160</v>
      </c>
      <c r="B161" s="3" t="s">
        <v>2696</v>
      </c>
      <c r="C161" s="3" t="s">
        <v>2695</v>
      </c>
      <c r="D161" s="3" t="s">
        <v>2866</v>
      </c>
      <c r="E161" s="3" t="s">
        <v>3047</v>
      </c>
      <c r="F161" s="3">
        <v>55</v>
      </c>
      <c r="G161" s="4">
        <v>40513.411805555559</v>
      </c>
      <c r="H161" s="3">
        <v>4</v>
      </c>
      <c r="I161" s="5">
        <v>15</v>
      </c>
      <c r="J161" t="s">
        <v>147</v>
      </c>
      <c r="K161" t="s">
        <v>4497</v>
      </c>
      <c r="L161">
        <v>536384</v>
      </c>
      <c r="M161" s="2">
        <v>22457</v>
      </c>
      <c r="N161">
        <v>2.95</v>
      </c>
      <c r="O161" s="6">
        <v>12</v>
      </c>
      <c r="P161" s="3">
        <v>0.2</v>
      </c>
      <c r="Q161" t="s">
        <v>3</v>
      </c>
      <c r="R161" s="7">
        <f t="shared" si="6"/>
        <v>35.400000000000006</v>
      </c>
      <c r="S161" s="7">
        <f t="shared" si="7"/>
        <v>7.0800000000000018</v>
      </c>
      <c r="T161">
        <f>Table1[[#This Row],[Total price]]-Table1[[#This Row],[Discount Amount]]</f>
        <v>28.320000000000004</v>
      </c>
      <c r="U161">
        <f t="shared" si="8"/>
        <v>339.84000000000003</v>
      </c>
    </row>
    <row r="162" spans="1:21">
      <c r="A162">
        <v>161</v>
      </c>
      <c r="B162" s="3" t="s">
        <v>2694</v>
      </c>
      <c r="C162" s="3" t="s">
        <v>1066</v>
      </c>
      <c r="D162" s="3" t="s">
        <v>2866</v>
      </c>
      <c r="E162" s="3" t="s">
        <v>3048</v>
      </c>
      <c r="F162" s="3">
        <v>56</v>
      </c>
      <c r="G162" s="4">
        <v>40513.411805555559</v>
      </c>
      <c r="H162" s="3">
        <v>4</v>
      </c>
      <c r="I162" s="5">
        <v>20</v>
      </c>
      <c r="J162" t="s">
        <v>498</v>
      </c>
      <c r="K162" t="s">
        <v>4497</v>
      </c>
      <c r="L162">
        <v>536384</v>
      </c>
      <c r="M162" s="2">
        <v>22469</v>
      </c>
      <c r="N162">
        <v>1.45</v>
      </c>
      <c r="O162" s="6">
        <v>40</v>
      </c>
      <c r="P162" s="3">
        <v>7.0000000000000007E-2</v>
      </c>
      <c r="Q162" t="s">
        <v>3</v>
      </c>
      <c r="R162" s="7">
        <f t="shared" si="6"/>
        <v>58</v>
      </c>
      <c r="S162" s="7">
        <f t="shared" si="7"/>
        <v>4.0600000000000005</v>
      </c>
      <c r="T162">
        <f>Table1[[#This Row],[Total price]]-Table1[[#This Row],[Discount Amount]]</f>
        <v>53.94</v>
      </c>
      <c r="U162">
        <f t="shared" si="8"/>
        <v>2157.6</v>
      </c>
    </row>
    <row r="163" spans="1:21">
      <c r="A163">
        <v>162</v>
      </c>
      <c r="B163" s="3" t="s">
        <v>2693</v>
      </c>
      <c r="C163" s="3" t="s">
        <v>2009</v>
      </c>
      <c r="D163" s="3" t="s">
        <v>2866</v>
      </c>
      <c r="E163" s="3" t="s">
        <v>3049</v>
      </c>
      <c r="F163" s="3">
        <v>57</v>
      </c>
      <c r="G163" s="4">
        <v>40513.411805555559</v>
      </c>
      <c r="H163" s="3">
        <v>4</v>
      </c>
      <c r="I163" s="5">
        <v>23</v>
      </c>
      <c r="J163" t="s">
        <v>20</v>
      </c>
      <c r="K163" t="s">
        <v>4497</v>
      </c>
      <c r="L163">
        <v>536384</v>
      </c>
      <c r="M163" s="2">
        <v>22470</v>
      </c>
      <c r="N163">
        <v>2.5499999999999998</v>
      </c>
      <c r="O163" s="6">
        <v>40</v>
      </c>
      <c r="P163" s="3">
        <v>0.1</v>
      </c>
      <c r="Q163" t="s">
        <v>3</v>
      </c>
      <c r="R163" s="7">
        <f t="shared" si="6"/>
        <v>102</v>
      </c>
      <c r="S163" s="7">
        <f t="shared" si="7"/>
        <v>10.200000000000001</v>
      </c>
      <c r="T163">
        <f>Table1[[#This Row],[Total price]]-Table1[[#This Row],[Discount Amount]]</f>
        <v>91.8</v>
      </c>
      <c r="U163">
        <f t="shared" si="8"/>
        <v>3672</v>
      </c>
    </row>
    <row r="164" spans="1:21">
      <c r="A164">
        <v>163</v>
      </c>
      <c r="B164" s="3" t="s">
        <v>2692</v>
      </c>
      <c r="C164" s="3" t="s">
        <v>2691</v>
      </c>
      <c r="D164" s="3" t="s">
        <v>2866</v>
      </c>
      <c r="E164" s="3" t="s">
        <v>3050</v>
      </c>
      <c r="F164" s="3">
        <v>57</v>
      </c>
      <c r="G164" s="4">
        <v>40513.411805555559</v>
      </c>
      <c r="H164" s="3">
        <v>4</v>
      </c>
      <c r="I164" s="5">
        <v>19</v>
      </c>
      <c r="J164" t="s">
        <v>661</v>
      </c>
      <c r="K164" t="s">
        <v>4497</v>
      </c>
      <c r="L164">
        <v>536384</v>
      </c>
      <c r="M164" s="2">
        <v>22224</v>
      </c>
      <c r="N164">
        <v>2.95</v>
      </c>
      <c r="O164" s="6">
        <v>6</v>
      </c>
      <c r="P164" s="3">
        <v>0.2</v>
      </c>
      <c r="Q164" t="s">
        <v>3</v>
      </c>
      <c r="R164" s="7">
        <f t="shared" si="6"/>
        <v>17.700000000000003</v>
      </c>
      <c r="S164" s="7">
        <f t="shared" si="7"/>
        <v>3.5400000000000009</v>
      </c>
      <c r="T164">
        <f>Table1[[#This Row],[Total price]]-Table1[[#This Row],[Discount Amount]]</f>
        <v>14.160000000000002</v>
      </c>
      <c r="U164">
        <f t="shared" si="8"/>
        <v>84.960000000000008</v>
      </c>
    </row>
    <row r="165" spans="1:21">
      <c r="A165">
        <v>164</v>
      </c>
      <c r="B165" s="3" t="s">
        <v>2010</v>
      </c>
      <c r="C165" s="3" t="s">
        <v>1418</v>
      </c>
      <c r="D165" s="3" t="s">
        <v>2866</v>
      </c>
      <c r="E165" s="3" t="s">
        <v>3051</v>
      </c>
      <c r="F165" s="3">
        <v>57</v>
      </c>
      <c r="G165" s="4">
        <v>40513.411805555559</v>
      </c>
      <c r="H165" s="3">
        <v>4</v>
      </c>
      <c r="I165" s="5">
        <v>13</v>
      </c>
      <c r="J165" t="s">
        <v>647</v>
      </c>
      <c r="K165" t="s">
        <v>4497</v>
      </c>
      <c r="L165">
        <v>536384</v>
      </c>
      <c r="M165" s="2">
        <v>21340</v>
      </c>
      <c r="N165">
        <v>12.75</v>
      </c>
      <c r="O165" s="6">
        <v>2</v>
      </c>
      <c r="P165" s="3">
        <v>7.0000000000000007E-2</v>
      </c>
      <c r="Q165" t="s">
        <v>3</v>
      </c>
      <c r="R165" s="7">
        <f t="shared" si="6"/>
        <v>25.5</v>
      </c>
      <c r="S165" s="7">
        <f t="shared" si="7"/>
        <v>1.7850000000000001</v>
      </c>
      <c r="T165">
        <f>Table1[[#This Row],[Total price]]-Table1[[#This Row],[Discount Amount]]</f>
        <v>23.715</v>
      </c>
      <c r="U165">
        <f t="shared" si="8"/>
        <v>47.43</v>
      </c>
    </row>
    <row r="166" spans="1:21">
      <c r="A166">
        <v>165</v>
      </c>
      <c r="B166" s="3" t="s">
        <v>2627</v>
      </c>
      <c r="C166" s="3" t="s">
        <v>1293</v>
      </c>
      <c r="D166" s="3" t="s">
        <v>3052</v>
      </c>
      <c r="E166" s="3" t="s">
        <v>3053</v>
      </c>
      <c r="F166" s="3">
        <v>58</v>
      </c>
      <c r="G166" s="4">
        <v>40513.411805555559</v>
      </c>
      <c r="H166" s="3">
        <v>4</v>
      </c>
      <c r="I166" s="5">
        <v>14</v>
      </c>
      <c r="J166" t="s">
        <v>269</v>
      </c>
      <c r="K166" t="s">
        <v>4497</v>
      </c>
      <c r="L166">
        <v>536384</v>
      </c>
      <c r="M166" s="2">
        <v>22189</v>
      </c>
      <c r="N166">
        <v>3.95</v>
      </c>
      <c r="O166" s="6">
        <v>4</v>
      </c>
      <c r="P166" s="3">
        <v>0.05</v>
      </c>
      <c r="Q166" t="s">
        <v>3</v>
      </c>
      <c r="R166" s="7">
        <f t="shared" si="6"/>
        <v>15.8</v>
      </c>
      <c r="S166" s="7">
        <f t="shared" si="7"/>
        <v>0.79</v>
      </c>
      <c r="T166">
        <f>Table1[[#This Row],[Total price]]-Table1[[#This Row],[Discount Amount]]</f>
        <v>15.010000000000002</v>
      </c>
      <c r="U166">
        <f t="shared" si="8"/>
        <v>60.040000000000006</v>
      </c>
    </row>
    <row r="167" spans="1:21">
      <c r="A167">
        <v>166</v>
      </c>
      <c r="B167" s="3" t="s">
        <v>2690</v>
      </c>
      <c r="C167" s="3" t="s">
        <v>1705</v>
      </c>
      <c r="D167" s="3" t="s">
        <v>2866</v>
      </c>
      <c r="E167" s="3" t="s">
        <v>3054</v>
      </c>
      <c r="F167" s="3">
        <v>58</v>
      </c>
      <c r="G167" s="4">
        <v>40513.411805555559</v>
      </c>
      <c r="H167" s="3">
        <v>4</v>
      </c>
      <c r="I167" s="5">
        <v>18</v>
      </c>
      <c r="J167" t="s">
        <v>159</v>
      </c>
      <c r="K167" t="s">
        <v>4497</v>
      </c>
      <c r="L167">
        <v>536384</v>
      </c>
      <c r="M167" s="2">
        <v>22427</v>
      </c>
      <c r="N167">
        <v>5.95</v>
      </c>
      <c r="O167" s="6">
        <v>3</v>
      </c>
      <c r="P167" s="3">
        <v>7.0000000000000007E-2</v>
      </c>
      <c r="Q167" t="s">
        <v>3</v>
      </c>
      <c r="R167" s="7">
        <f t="shared" si="6"/>
        <v>17.850000000000001</v>
      </c>
      <c r="S167" s="7">
        <f t="shared" si="7"/>
        <v>1.2495000000000003</v>
      </c>
      <c r="T167">
        <f>Table1[[#This Row],[Total price]]-Table1[[#This Row],[Discount Amount]]</f>
        <v>16.6005</v>
      </c>
      <c r="U167">
        <f t="shared" si="8"/>
        <v>49.801500000000004</v>
      </c>
    </row>
    <row r="168" spans="1:21">
      <c r="A168">
        <v>167</v>
      </c>
      <c r="B168" s="3" t="s">
        <v>2689</v>
      </c>
      <c r="C168" s="3" t="s">
        <v>1137</v>
      </c>
      <c r="D168" s="3" t="s">
        <v>2866</v>
      </c>
      <c r="E168" s="3" t="s">
        <v>3055</v>
      </c>
      <c r="F168" s="3">
        <v>58</v>
      </c>
      <c r="G168" s="4">
        <v>40513.411805555559</v>
      </c>
      <c r="H168" s="3">
        <v>4</v>
      </c>
      <c r="I168" s="5">
        <v>23</v>
      </c>
      <c r="J168" t="s">
        <v>655</v>
      </c>
      <c r="K168" t="s">
        <v>4497</v>
      </c>
      <c r="L168">
        <v>536384</v>
      </c>
      <c r="M168" s="2">
        <v>22428</v>
      </c>
      <c r="N168">
        <v>6.95</v>
      </c>
      <c r="O168" s="6">
        <v>6</v>
      </c>
      <c r="P168" s="3">
        <v>0.1</v>
      </c>
      <c r="Q168" t="s">
        <v>3</v>
      </c>
      <c r="R168" s="7">
        <f t="shared" si="6"/>
        <v>41.7</v>
      </c>
      <c r="S168" s="7">
        <f t="shared" si="7"/>
        <v>4.1700000000000008</v>
      </c>
      <c r="T168">
        <f>Table1[[#This Row],[Total price]]-Table1[[#This Row],[Discount Amount]]</f>
        <v>37.53</v>
      </c>
      <c r="U168">
        <f t="shared" si="8"/>
        <v>225.18</v>
      </c>
    </row>
    <row r="169" spans="1:21">
      <c r="A169">
        <v>168</v>
      </c>
      <c r="B169" s="3" t="s">
        <v>2688</v>
      </c>
      <c r="C169" s="3" t="s">
        <v>1599</v>
      </c>
      <c r="D169" s="3" t="s">
        <v>2866</v>
      </c>
      <c r="E169" s="3" t="s">
        <v>3056</v>
      </c>
      <c r="F169" s="3">
        <v>59</v>
      </c>
      <c r="G169" s="4">
        <v>40513.411805555559</v>
      </c>
      <c r="H169" s="3">
        <v>4</v>
      </c>
      <c r="I169" s="5">
        <v>21</v>
      </c>
      <c r="J169" t="s">
        <v>629</v>
      </c>
      <c r="K169" t="s">
        <v>4497</v>
      </c>
      <c r="L169">
        <v>536384</v>
      </c>
      <c r="M169" s="2">
        <v>22424</v>
      </c>
      <c r="N169">
        <v>10.95</v>
      </c>
      <c r="O169" s="6">
        <v>8</v>
      </c>
      <c r="P169" s="3">
        <v>0.05</v>
      </c>
      <c r="Q169" t="s">
        <v>3</v>
      </c>
      <c r="R169" s="7">
        <f t="shared" si="6"/>
        <v>87.6</v>
      </c>
      <c r="S169" s="7">
        <f t="shared" si="7"/>
        <v>4.38</v>
      </c>
      <c r="T169">
        <f>Table1[[#This Row],[Total price]]-Table1[[#This Row],[Discount Amount]]</f>
        <v>83.22</v>
      </c>
      <c r="U169">
        <f t="shared" si="8"/>
        <v>665.76</v>
      </c>
    </row>
    <row r="170" spans="1:21">
      <c r="A170">
        <v>169</v>
      </c>
      <c r="B170" s="3" t="s">
        <v>2687</v>
      </c>
      <c r="C170" s="3" t="s">
        <v>2686</v>
      </c>
      <c r="D170" s="3" t="s">
        <v>2866</v>
      </c>
      <c r="E170" s="3" t="s">
        <v>3057</v>
      </c>
      <c r="F170" s="3">
        <v>59</v>
      </c>
      <c r="G170" s="4">
        <v>40513.413888888892</v>
      </c>
      <c r="H170" s="3">
        <v>4</v>
      </c>
      <c r="I170" s="5">
        <v>2</v>
      </c>
      <c r="J170" t="s">
        <v>475</v>
      </c>
      <c r="K170" t="s">
        <v>4497</v>
      </c>
      <c r="L170">
        <v>536385</v>
      </c>
      <c r="M170" s="2">
        <v>22783</v>
      </c>
      <c r="N170">
        <v>19.95</v>
      </c>
      <c r="O170" s="6">
        <v>1</v>
      </c>
      <c r="P170" s="3">
        <v>0.1</v>
      </c>
      <c r="Q170" t="s">
        <v>3</v>
      </c>
      <c r="R170" s="7">
        <f t="shared" si="6"/>
        <v>19.95</v>
      </c>
      <c r="S170" s="7">
        <f t="shared" si="7"/>
        <v>1.9950000000000001</v>
      </c>
      <c r="T170">
        <f>Table1[[#This Row],[Total price]]-Table1[[#This Row],[Discount Amount]]</f>
        <v>17.954999999999998</v>
      </c>
      <c r="U170">
        <f t="shared" si="8"/>
        <v>17.954999999999998</v>
      </c>
    </row>
    <row r="171" spans="1:21">
      <c r="A171">
        <v>170</v>
      </c>
      <c r="B171" s="3" t="s">
        <v>1540</v>
      </c>
      <c r="C171" s="3" t="s">
        <v>1284</v>
      </c>
      <c r="D171" s="3" t="s">
        <v>3058</v>
      </c>
      <c r="E171" s="3" t="s">
        <v>3059</v>
      </c>
      <c r="F171" s="3">
        <v>59</v>
      </c>
      <c r="G171" s="4">
        <v>40513.413888888892</v>
      </c>
      <c r="H171" s="3">
        <v>4</v>
      </c>
      <c r="I171" s="5">
        <v>17</v>
      </c>
      <c r="J171" t="s">
        <v>876</v>
      </c>
      <c r="K171" t="s">
        <v>4497</v>
      </c>
      <c r="L171">
        <v>536385</v>
      </c>
      <c r="M171" s="2">
        <v>22961</v>
      </c>
      <c r="N171">
        <v>1.45</v>
      </c>
      <c r="O171" s="6">
        <v>12</v>
      </c>
      <c r="P171" s="3">
        <v>0.1</v>
      </c>
      <c r="Q171" t="s">
        <v>3</v>
      </c>
      <c r="R171" s="7">
        <f t="shared" si="6"/>
        <v>17.399999999999999</v>
      </c>
      <c r="S171" s="7">
        <f t="shared" si="7"/>
        <v>1.74</v>
      </c>
      <c r="T171">
        <f>Table1[[#This Row],[Total price]]-Table1[[#This Row],[Discount Amount]]</f>
        <v>15.659999999999998</v>
      </c>
      <c r="U171">
        <f t="shared" si="8"/>
        <v>187.92</v>
      </c>
    </row>
    <row r="172" spans="1:21">
      <c r="A172">
        <v>171</v>
      </c>
      <c r="B172" s="3" t="s">
        <v>2685</v>
      </c>
      <c r="C172" s="3" t="s">
        <v>1598</v>
      </c>
      <c r="D172" s="3" t="s">
        <v>2866</v>
      </c>
      <c r="E172" s="3" t="s">
        <v>3060</v>
      </c>
      <c r="F172" s="3">
        <v>60</v>
      </c>
      <c r="G172" s="4">
        <v>40513.413888888892</v>
      </c>
      <c r="H172" s="3">
        <v>4</v>
      </c>
      <c r="I172" s="5">
        <v>14</v>
      </c>
      <c r="J172" t="s">
        <v>879</v>
      </c>
      <c r="K172" t="s">
        <v>4497</v>
      </c>
      <c r="L172">
        <v>536385</v>
      </c>
      <c r="M172" s="2">
        <v>22960</v>
      </c>
      <c r="N172">
        <v>4.25</v>
      </c>
      <c r="O172" s="6">
        <v>6</v>
      </c>
      <c r="P172" s="3">
        <v>0.05</v>
      </c>
      <c r="Q172" t="s">
        <v>3</v>
      </c>
      <c r="R172" s="7">
        <f t="shared" si="6"/>
        <v>25.5</v>
      </c>
      <c r="S172" s="7">
        <f t="shared" si="7"/>
        <v>1.2750000000000001</v>
      </c>
      <c r="T172">
        <f>Table1[[#This Row],[Total price]]-Table1[[#This Row],[Discount Amount]]</f>
        <v>24.225000000000001</v>
      </c>
      <c r="U172">
        <f t="shared" si="8"/>
        <v>145.35000000000002</v>
      </c>
    </row>
    <row r="173" spans="1:21">
      <c r="A173">
        <v>172</v>
      </c>
      <c r="B173" s="3" t="s">
        <v>2684</v>
      </c>
      <c r="C173" s="3" t="s">
        <v>2203</v>
      </c>
      <c r="D173" s="3" t="s">
        <v>2866</v>
      </c>
      <c r="E173" s="3" t="s">
        <v>3061</v>
      </c>
      <c r="F173" s="3">
        <v>60</v>
      </c>
      <c r="G173" s="4">
        <v>40513.413888888892</v>
      </c>
      <c r="H173" s="3">
        <v>4</v>
      </c>
      <c r="I173" s="5">
        <v>4</v>
      </c>
      <c r="J173" t="s">
        <v>610</v>
      </c>
      <c r="K173" t="s">
        <v>4497</v>
      </c>
      <c r="L173">
        <v>536385</v>
      </c>
      <c r="M173" s="2">
        <v>22663</v>
      </c>
      <c r="N173">
        <v>1.95</v>
      </c>
      <c r="O173" s="6">
        <v>10</v>
      </c>
      <c r="P173" s="3">
        <v>0.1</v>
      </c>
      <c r="Q173" t="s">
        <v>3</v>
      </c>
      <c r="R173" s="7">
        <f t="shared" si="6"/>
        <v>19.5</v>
      </c>
      <c r="S173" s="7">
        <f t="shared" si="7"/>
        <v>1.9500000000000002</v>
      </c>
      <c r="T173">
        <f>Table1[[#This Row],[Total price]]-Table1[[#This Row],[Discount Amount]]</f>
        <v>17.55</v>
      </c>
      <c r="U173">
        <f t="shared" si="8"/>
        <v>175.5</v>
      </c>
    </row>
    <row r="174" spans="1:21">
      <c r="A174">
        <v>173</v>
      </c>
      <c r="B174" s="3" t="s">
        <v>2683</v>
      </c>
      <c r="C174" s="3" t="s">
        <v>1200</v>
      </c>
      <c r="D174" s="3" t="s">
        <v>2866</v>
      </c>
      <c r="E174" s="3" t="s">
        <v>3062</v>
      </c>
      <c r="F174" s="3">
        <v>60</v>
      </c>
      <c r="G174" s="4">
        <v>40513.413888888892</v>
      </c>
      <c r="H174" s="3">
        <v>4</v>
      </c>
      <c r="I174" s="5">
        <v>15</v>
      </c>
      <c r="J174" t="s">
        <v>415</v>
      </c>
      <c r="K174" t="s">
        <v>4497</v>
      </c>
      <c r="L174">
        <v>536385</v>
      </c>
      <c r="M174" s="2" t="s">
        <v>414</v>
      </c>
      <c r="N174">
        <v>1.25</v>
      </c>
      <c r="O174" s="6">
        <v>12</v>
      </c>
      <c r="P174" s="3">
        <v>7.0000000000000007E-2</v>
      </c>
      <c r="Q174" t="s">
        <v>3</v>
      </c>
      <c r="R174" s="7">
        <f t="shared" si="6"/>
        <v>15</v>
      </c>
      <c r="S174" s="7">
        <f t="shared" si="7"/>
        <v>1.05</v>
      </c>
      <c r="T174">
        <f>Table1[[#This Row],[Total price]]-Table1[[#This Row],[Discount Amount]]</f>
        <v>13.95</v>
      </c>
      <c r="U174">
        <f t="shared" si="8"/>
        <v>167.39999999999998</v>
      </c>
    </row>
    <row r="175" spans="1:21">
      <c r="A175">
        <v>174</v>
      </c>
      <c r="B175" s="3" t="s">
        <v>2682</v>
      </c>
      <c r="C175" s="3" t="s">
        <v>1741</v>
      </c>
      <c r="D175" s="3" t="s">
        <v>2866</v>
      </c>
      <c r="E175" s="3" t="s">
        <v>3063</v>
      </c>
      <c r="F175" s="3">
        <v>60</v>
      </c>
      <c r="G175" s="4">
        <v>40513.413888888892</v>
      </c>
      <c r="H175" s="3">
        <v>4</v>
      </c>
      <c r="I175" s="5">
        <v>22</v>
      </c>
      <c r="J175" t="s">
        <v>535</v>
      </c>
      <c r="K175" t="s">
        <v>4497</v>
      </c>
      <c r="L175">
        <v>536385</v>
      </c>
      <c r="M175" s="2">
        <v>22168</v>
      </c>
      <c r="N175">
        <v>8.5</v>
      </c>
      <c r="O175" s="6">
        <v>2</v>
      </c>
      <c r="P175" s="3">
        <v>0.2</v>
      </c>
      <c r="Q175" t="s">
        <v>3</v>
      </c>
      <c r="R175" s="7">
        <f t="shared" si="6"/>
        <v>17</v>
      </c>
      <c r="S175" s="7">
        <f t="shared" si="7"/>
        <v>3.4000000000000004</v>
      </c>
      <c r="T175">
        <f>Table1[[#This Row],[Total price]]-Table1[[#This Row],[Discount Amount]]</f>
        <v>13.6</v>
      </c>
      <c r="U175">
        <f t="shared" si="8"/>
        <v>27.2</v>
      </c>
    </row>
    <row r="176" spans="1:21">
      <c r="A176">
        <v>175</v>
      </c>
      <c r="B176" s="3" t="s">
        <v>2681</v>
      </c>
      <c r="C176" s="3" t="s">
        <v>2447</v>
      </c>
      <c r="D176" s="3" t="s">
        <v>2866</v>
      </c>
      <c r="E176" s="3" t="s">
        <v>3064</v>
      </c>
      <c r="F176" s="3">
        <v>61</v>
      </c>
      <c r="G176" s="4">
        <v>40513.413888888892</v>
      </c>
      <c r="H176" s="3">
        <v>4</v>
      </c>
      <c r="I176" s="5">
        <v>25</v>
      </c>
      <c r="J176" t="s">
        <v>582</v>
      </c>
      <c r="K176" t="s">
        <v>4497</v>
      </c>
      <c r="L176">
        <v>536385</v>
      </c>
      <c r="M176" s="2">
        <v>22662</v>
      </c>
      <c r="N176">
        <v>1.65</v>
      </c>
      <c r="O176" s="6">
        <v>10</v>
      </c>
      <c r="P176" s="3">
        <v>0.1</v>
      </c>
      <c r="Q176" t="s">
        <v>3</v>
      </c>
      <c r="R176" s="7">
        <f t="shared" si="6"/>
        <v>16.5</v>
      </c>
      <c r="S176" s="7">
        <f t="shared" si="7"/>
        <v>1.6500000000000001</v>
      </c>
      <c r="T176">
        <f>Table1[[#This Row],[Total price]]-Table1[[#This Row],[Discount Amount]]</f>
        <v>14.85</v>
      </c>
      <c r="U176">
        <f t="shared" si="8"/>
        <v>148.5</v>
      </c>
    </row>
    <row r="177" spans="1:21">
      <c r="A177">
        <v>176</v>
      </c>
      <c r="B177" s="3" t="s">
        <v>2680</v>
      </c>
      <c r="C177" s="3" t="s">
        <v>1027</v>
      </c>
      <c r="D177" s="3" t="s">
        <v>2866</v>
      </c>
      <c r="E177" s="3" t="s">
        <v>3065</v>
      </c>
      <c r="F177" s="3">
        <v>61</v>
      </c>
      <c r="G177" s="4">
        <v>40513.414583333331</v>
      </c>
      <c r="H177" s="3">
        <v>4</v>
      </c>
      <c r="I177" s="5">
        <v>15</v>
      </c>
      <c r="J177" t="s">
        <v>134</v>
      </c>
      <c r="K177" t="s">
        <v>4497</v>
      </c>
      <c r="L177">
        <v>536386</v>
      </c>
      <c r="M177" s="2">
        <v>84880</v>
      </c>
      <c r="N177">
        <v>4.95</v>
      </c>
      <c r="O177" s="6">
        <v>36</v>
      </c>
      <c r="P177" s="3">
        <v>0.05</v>
      </c>
      <c r="Q177" t="s">
        <v>3</v>
      </c>
      <c r="R177" s="7">
        <f t="shared" si="6"/>
        <v>178.20000000000002</v>
      </c>
      <c r="S177" s="7">
        <f t="shared" si="7"/>
        <v>8.9100000000000019</v>
      </c>
      <c r="T177">
        <f>Table1[[#This Row],[Total price]]-Table1[[#This Row],[Discount Amount]]</f>
        <v>169.29000000000002</v>
      </c>
      <c r="U177">
        <f t="shared" si="8"/>
        <v>6094.4400000000005</v>
      </c>
    </row>
    <row r="178" spans="1:21">
      <c r="A178">
        <v>177</v>
      </c>
      <c r="B178" s="3" t="s">
        <v>1313</v>
      </c>
      <c r="C178" s="3" t="s">
        <v>2093</v>
      </c>
      <c r="D178" s="3" t="s">
        <v>2866</v>
      </c>
      <c r="E178" s="3" t="s">
        <v>3066</v>
      </c>
      <c r="F178" s="3">
        <v>61</v>
      </c>
      <c r="G178" s="4">
        <v>40513.414583333331</v>
      </c>
      <c r="H178" s="3">
        <v>4</v>
      </c>
      <c r="I178" s="5">
        <v>5</v>
      </c>
      <c r="J178" t="s">
        <v>341</v>
      </c>
      <c r="K178" t="s">
        <v>4497</v>
      </c>
      <c r="L178">
        <v>536386</v>
      </c>
      <c r="M178" s="2" t="s">
        <v>340</v>
      </c>
      <c r="N178">
        <v>1.65</v>
      </c>
      <c r="O178" s="6">
        <v>100</v>
      </c>
      <c r="P178" s="3">
        <v>0.2</v>
      </c>
      <c r="Q178" t="s">
        <v>3</v>
      </c>
      <c r="R178" s="7">
        <f t="shared" si="6"/>
        <v>165</v>
      </c>
      <c r="S178" s="7">
        <f t="shared" si="7"/>
        <v>33</v>
      </c>
      <c r="T178">
        <f>Table1[[#This Row],[Total price]]-Table1[[#This Row],[Discount Amount]]</f>
        <v>132</v>
      </c>
      <c r="U178">
        <f t="shared" si="8"/>
        <v>13200</v>
      </c>
    </row>
    <row r="179" spans="1:21">
      <c r="A179">
        <v>178</v>
      </c>
      <c r="B179" s="3" t="s">
        <v>1001</v>
      </c>
      <c r="C179" s="3" t="s">
        <v>2661</v>
      </c>
      <c r="D179" s="3" t="s">
        <v>3067</v>
      </c>
      <c r="E179" s="3" t="s">
        <v>3068</v>
      </c>
      <c r="F179" s="3">
        <v>62</v>
      </c>
      <c r="G179" s="4">
        <v>40513.414583333331</v>
      </c>
      <c r="H179" s="3">
        <v>4</v>
      </c>
      <c r="I179" s="5">
        <v>14</v>
      </c>
      <c r="J179" t="s">
        <v>38</v>
      </c>
      <c r="K179" t="s">
        <v>4497</v>
      </c>
      <c r="L179">
        <v>536386</v>
      </c>
      <c r="M179" s="2" t="s">
        <v>37</v>
      </c>
      <c r="N179">
        <v>1.65</v>
      </c>
      <c r="O179" s="6">
        <v>100</v>
      </c>
      <c r="P179" s="3">
        <v>7.0000000000000007E-2</v>
      </c>
      <c r="Q179" t="s">
        <v>3</v>
      </c>
      <c r="R179" s="7">
        <f t="shared" si="6"/>
        <v>165</v>
      </c>
      <c r="S179" s="7">
        <f t="shared" si="7"/>
        <v>11.55</v>
      </c>
      <c r="T179">
        <f>Table1[[#This Row],[Total price]]-Table1[[#This Row],[Discount Amount]]</f>
        <v>153.44999999999999</v>
      </c>
      <c r="U179">
        <f t="shared" si="8"/>
        <v>15344.999999999998</v>
      </c>
    </row>
    <row r="180" spans="1:21">
      <c r="A180">
        <v>179</v>
      </c>
      <c r="B180" s="3" t="s">
        <v>2679</v>
      </c>
      <c r="C180" s="3" t="s">
        <v>2678</v>
      </c>
      <c r="D180" s="3" t="s">
        <v>2866</v>
      </c>
      <c r="E180" s="3" t="s">
        <v>3069</v>
      </c>
      <c r="F180" s="3">
        <v>62</v>
      </c>
      <c r="G180" s="4">
        <v>40513.415277777778</v>
      </c>
      <c r="H180" s="3">
        <v>4</v>
      </c>
      <c r="I180" s="5">
        <v>8</v>
      </c>
      <c r="J180" t="s">
        <v>372</v>
      </c>
      <c r="K180" t="s">
        <v>4497</v>
      </c>
      <c r="L180">
        <v>536387</v>
      </c>
      <c r="M180" s="2">
        <v>79321</v>
      </c>
      <c r="N180">
        <v>3.82</v>
      </c>
      <c r="O180" s="6">
        <v>192</v>
      </c>
      <c r="P180" s="3">
        <v>0.1</v>
      </c>
      <c r="Q180" t="s">
        <v>3</v>
      </c>
      <c r="R180" s="7">
        <f t="shared" si="6"/>
        <v>733.43999999999994</v>
      </c>
      <c r="S180" s="7">
        <f t="shared" si="7"/>
        <v>73.343999999999994</v>
      </c>
      <c r="T180">
        <f>Table1[[#This Row],[Total price]]-Table1[[#This Row],[Discount Amount]]</f>
        <v>660.096</v>
      </c>
      <c r="U180">
        <f t="shared" si="8"/>
        <v>126738.432</v>
      </c>
    </row>
    <row r="181" spans="1:21">
      <c r="A181">
        <v>180</v>
      </c>
      <c r="B181" s="3" t="s">
        <v>2677</v>
      </c>
      <c r="C181" s="3" t="s">
        <v>1368</v>
      </c>
      <c r="D181" s="3" t="s">
        <v>2866</v>
      </c>
      <c r="E181" s="3" t="s">
        <v>3070</v>
      </c>
      <c r="F181" s="3">
        <v>62</v>
      </c>
      <c r="G181" s="4">
        <v>40513.415277777778</v>
      </c>
      <c r="H181" s="3">
        <v>4</v>
      </c>
      <c r="I181" s="5">
        <v>22</v>
      </c>
      <c r="J181" t="s">
        <v>601</v>
      </c>
      <c r="K181" t="s">
        <v>4497</v>
      </c>
      <c r="L181">
        <v>536387</v>
      </c>
      <c r="M181" s="2">
        <v>22780</v>
      </c>
      <c r="N181">
        <v>3.37</v>
      </c>
      <c r="O181" s="6">
        <v>192</v>
      </c>
      <c r="P181" s="3">
        <v>0.1</v>
      </c>
      <c r="Q181" t="s">
        <v>3</v>
      </c>
      <c r="R181" s="7">
        <f t="shared" si="6"/>
        <v>647.04</v>
      </c>
      <c r="S181" s="7">
        <f t="shared" si="7"/>
        <v>64.703999999999994</v>
      </c>
      <c r="T181">
        <f>Table1[[#This Row],[Total price]]-Table1[[#This Row],[Discount Amount]]</f>
        <v>582.33600000000001</v>
      </c>
      <c r="U181">
        <f t="shared" si="8"/>
        <v>111808.512</v>
      </c>
    </row>
    <row r="182" spans="1:21">
      <c r="A182">
        <v>181</v>
      </c>
      <c r="B182" s="3" t="s">
        <v>2497</v>
      </c>
      <c r="C182" s="3" t="s">
        <v>1772</v>
      </c>
      <c r="D182" s="3" t="s">
        <v>2866</v>
      </c>
      <c r="E182" s="3" t="s">
        <v>3071</v>
      </c>
      <c r="F182" s="3">
        <v>63</v>
      </c>
      <c r="G182" s="4">
        <v>40513.415277777778</v>
      </c>
      <c r="H182" s="3">
        <v>4</v>
      </c>
      <c r="I182" s="5">
        <v>25</v>
      </c>
      <c r="J182" t="s">
        <v>600</v>
      </c>
      <c r="K182" t="s">
        <v>4497</v>
      </c>
      <c r="L182">
        <v>536387</v>
      </c>
      <c r="M182" s="2">
        <v>22779</v>
      </c>
      <c r="N182">
        <v>3.37</v>
      </c>
      <c r="O182" s="6">
        <v>192</v>
      </c>
      <c r="P182" s="3">
        <v>0.1</v>
      </c>
      <c r="Q182" t="s">
        <v>3</v>
      </c>
      <c r="R182" s="7">
        <f t="shared" si="6"/>
        <v>647.04</v>
      </c>
      <c r="S182" s="7">
        <f t="shared" si="7"/>
        <v>64.703999999999994</v>
      </c>
      <c r="T182">
        <f>Table1[[#This Row],[Total price]]-Table1[[#This Row],[Discount Amount]]</f>
        <v>582.33600000000001</v>
      </c>
      <c r="U182">
        <f t="shared" si="8"/>
        <v>111808.512</v>
      </c>
    </row>
    <row r="183" spans="1:21">
      <c r="A183">
        <v>182</v>
      </c>
      <c r="B183" s="3" t="s">
        <v>2676</v>
      </c>
      <c r="C183" s="3" t="s">
        <v>1778</v>
      </c>
      <c r="D183" s="3" t="s">
        <v>2866</v>
      </c>
      <c r="E183" s="3" t="s">
        <v>3072</v>
      </c>
      <c r="F183" s="3">
        <v>63</v>
      </c>
      <c r="G183" s="4">
        <v>40513.415277777778</v>
      </c>
      <c r="H183" s="3">
        <v>4</v>
      </c>
      <c r="I183" s="5">
        <v>19</v>
      </c>
      <c r="J183" t="s">
        <v>85</v>
      </c>
      <c r="K183" t="s">
        <v>4497</v>
      </c>
      <c r="L183">
        <v>536387</v>
      </c>
      <c r="M183" s="2">
        <v>22466</v>
      </c>
      <c r="N183">
        <v>1.45</v>
      </c>
      <c r="O183" s="6">
        <v>432</v>
      </c>
      <c r="P183" s="3">
        <v>0.05</v>
      </c>
      <c r="Q183" t="s">
        <v>3</v>
      </c>
      <c r="R183" s="7">
        <f t="shared" si="6"/>
        <v>626.4</v>
      </c>
      <c r="S183" s="7">
        <f t="shared" si="7"/>
        <v>31.32</v>
      </c>
      <c r="T183">
        <f>Table1[[#This Row],[Total price]]-Table1[[#This Row],[Discount Amount]]</f>
        <v>595.07999999999993</v>
      </c>
      <c r="U183">
        <f t="shared" si="8"/>
        <v>257074.55999999997</v>
      </c>
    </row>
    <row r="184" spans="1:21">
      <c r="A184">
        <v>183</v>
      </c>
      <c r="B184" s="3" t="s">
        <v>2537</v>
      </c>
      <c r="C184" s="3" t="s">
        <v>2675</v>
      </c>
      <c r="D184" s="3" t="s">
        <v>2866</v>
      </c>
      <c r="E184" s="3" t="s">
        <v>3073</v>
      </c>
      <c r="F184" s="3">
        <v>63</v>
      </c>
      <c r="G184" s="4">
        <v>40513.415277777778</v>
      </c>
      <c r="H184" s="3">
        <v>4</v>
      </c>
      <c r="I184" s="5">
        <v>3</v>
      </c>
      <c r="J184" t="s">
        <v>87</v>
      </c>
      <c r="K184" t="s">
        <v>4497</v>
      </c>
      <c r="L184">
        <v>536387</v>
      </c>
      <c r="M184" s="2">
        <v>21731</v>
      </c>
      <c r="N184">
        <v>1.25</v>
      </c>
      <c r="O184" s="6">
        <v>432</v>
      </c>
      <c r="P184" s="3">
        <v>0.1</v>
      </c>
      <c r="Q184" t="s">
        <v>3</v>
      </c>
      <c r="R184" s="7">
        <f t="shared" si="6"/>
        <v>540</v>
      </c>
      <c r="S184" s="7">
        <f t="shared" si="7"/>
        <v>54</v>
      </c>
      <c r="T184">
        <f>Table1[[#This Row],[Total price]]-Table1[[#This Row],[Discount Amount]]</f>
        <v>486</v>
      </c>
      <c r="U184">
        <f t="shared" si="8"/>
        <v>209952</v>
      </c>
    </row>
    <row r="185" spans="1:21">
      <c r="A185">
        <v>184</v>
      </c>
      <c r="B185" s="3" t="s">
        <v>1871</v>
      </c>
      <c r="C185" s="3" t="s">
        <v>2243</v>
      </c>
      <c r="D185" s="3" t="s">
        <v>2866</v>
      </c>
      <c r="E185" s="3" t="s">
        <v>3074</v>
      </c>
      <c r="F185" s="3">
        <v>64</v>
      </c>
      <c r="G185" s="4">
        <v>40513.415972222225</v>
      </c>
      <c r="H185" s="3">
        <v>4</v>
      </c>
      <c r="I185" s="5">
        <v>25</v>
      </c>
      <c r="J185" t="s">
        <v>396</v>
      </c>
      <c r="K185" t="s">
        <v>4497</v>
      </c>
      <c r="L185">
        <v>536388</v>
      </c>
      <c r="M185" s="2">
        <v>21754</v>
      </c>
      <c r="N185">
        <v>5.95</v>
      </c>
      <c r="O185" s="6">
        <v>3</v>
      </c>
      <c r="P185" s="3">
        <v>0.1</v>
      </c>
      <c r="Q185" t="s">
        <v>3</v>
      </c>
      <c r="R185" s="7">
        <f t="shared" si="6"/>
        <v>17.850000000000001</v>
      </c>
      <c r="S185" s="7">
        <f t="shared" si="7"/>
        <v>1.7850000000000001</v>
      </c>
      <c r="T185">
        <f>Table1[[#This Row],[Total price]]-Table1[[#This Row],[Discount Amount]]</f>
        <v>16.065000000000001</v>
      </c>
      <c r="U185">
        <f t="shared" si="8"/>
        <v>48.195000000000007</v>
      </c>
    </row>
    <row r="186" spans="1:21">
      <c r="A186">
        <v>185</v>
      </c>
      <c r="B186" s="3" t="s">
        <v>1913</v>
      </c>
      <c r="C186" s="3" t="s">
        <v>907</v>
      </c>
      <c r="D186" s="3" t="s">
        <v>2866</v>
      </c>
      <c r="E186" s="3" t="s">
        <v>3075</v>
      </c>
      <c r="F186" s="3">
        <v>64</v>
      </c>
      <c r="G186" s="4">
        <v>40513.415972222225</v>
      </c>
      <c r="H186" s="3">
        <v>3</v>
      </c>
      <c r="I186" s="5">
        <v>22</v>
      </c>
      <c r="J186" t="s">
        <v>332</v>
      </c>
      <c r="K186" t="s">
        <v>4497</v>
      </c>
      <c r="L186">
        <v>536388</v>
      </c>
      <c r="M186" s="2">
        <v>21755</v>
      </c>
      <c r="N186">
        <v>5.95</v>
      </c>
      <c r="O186" s="6">
        <v>3</v>
      </c>
      <c r="P186" s="3">
        <v>0.2</v>
      </c>
      <c r="Q186" t="s">
        <v>3</v>
      </c>
      <c r="R186" s="7">
        <f t="shared" si="6"/>
        <v>17.850000000000001</v>
      </c>
      <c r="S186" s="7">
        <f t="shared" si="7"/>
        <v>3.5700000000000003</v>
      </c>
      <c r="T186">
        <f>Table1[[#This Row],[Total price]]-Table1[[#This Row],[Discount Amount]]</f>
        <v>14.280000000000001</v>
      </c>
      <c r="U186">
        <f t="shared" si="8"/>
        <v>42.84</v>
      </c>
    </row>
    <row r="187" spans="1:21">
      <c r="A187">
        <v>186</v>
      </c>
      <c r="B187" s="3" t="s">
        <v>2674</v>
      </c>
      <c r="C187" s="3" t="s">
        <v>2306</v>
      </c>
      <c r="D187" s="3" t="s">
        <v>2866</v>
      </c>
      <c r="E187" s="3" t="s">
        <v>3076</v>
      </c>
      <c r="F187" s="3">
        <v>64</v>
      </c>
      <c r="G187" s="4">
        <v>40513.415972222225</v>
      </c>
      <c r="H187" s="3">
        <v>4</v>
      </c>
      <c r="I187" s="5">
        <v>23</v>
      </c>
      <c r="J187" t="s">
        <v>553</v>
      </c>
      <c r="K187" t="s">
        <v>4497</v>
      </c>
      <c r="L187">
        <v>536388</v>
      </c>
      <c r="M187" s="2">
        <v>21523</v>
      </c>
      <c r="N187">
        <v>7.95</v>
      </c>
      <c r="O187" s="6">
        <v>2</v>
      </c>
      <c r="P187" s="3">
        <v>0.2</v>
      </c>
      <c r="Q187" t="s">
        <v>3</v>
      </c>
      <c r="R187" s="7">
        <f t="shared" si="6"/>
        <v>15.9</v>
      </c>
      <c r="S187" s="7">
        <f t="shared" si="7"/>
        <v>3.18</v>
      </c>
      <c r="T187">
        <f>Table1[[#This Row],[Total price]]-Table1[[#This Row],[Discount Amount]]</f>
        <v>12.72</v>
      </c>
      <c r="U187">
        <f t="shared" si="8"/>
        <v>25.44</v>
      </c>
    </row>
    <row r="188" spans="1:21">
      <c r="A188">
        <v>187</v>
      </c>
      <c r="B188" s="3" t="s">
        <v>2673</v>
      </c>
      <c r="C188" s="3" t="s">
        <v>2202</v>
      </c>
      <c r="D188" s="3" t="s">
        <v>2866</v>
      </c>
      <c r="E188" s="3" t="s">
        <v>3077</v>
      </c>
      <c r="F188" s="3">
        <v>64</v>
      </c>
      <c r="G188" s="4">
        <v>40513.415972222225</v>
      </c>
      <c r="H188" s="3">
        <v>4</v>
      </c>
      <c r="I188" s="5">
        <v>24</v>
      </c>
      <c r="J188" t="s">
        <v>438</v>
      </c>
      <c r="K188" t="s">
        <v>4497</v>
      </c>
      <c r="L188">
        <v>536388</v>
      </c>
      <c r="M188" s="2">
        <v>21363</v>
      </c>
      <c r="N188">
        <v>4.95</v>
      </c>
      <c r="O188" s="6">
        <v>3</v>
      </c>
      <c r="P188" s="3">
        <v>0.1</v>
      </c>
      <c r="Q188" t="s">
        <v>3</v>
      </c>
      <c r="R188" s="7">
        <f t="shared" si="6"/>
        <v>14.850000000000001</v>
      </c>
      <c r="S188" s="7">
        <f t="shared" si="7"/>
        <v>1.4850000000000003</v>
      </c>
      <c r="T188">
        <f>Table1[[#This Row],[Total price]]-Table1[[#This Row],[Discount Amount]]</f>
        <v>13.365000000000002</v>
      </c>
      <c r="U188">
        <f t="shared" si="8"/>
        <v>40.095000000000006</v>
      </c>
    </row>
    <row r="189" spans="1:21">
      <c r="A189">
        <v>188</v>
      </c>
      <c r="B189" s="3" t="s">
        <v>2672</v>
      </c>
      <c r="C189" s="3" t="s">
        <v>2671</v>
      </c>
      <c r="D189" s="3" t="s">
        <v>3078</v>
      </c>
      <c r="E189" s="3" t="s">
        <v>3079</v>
      </c>
      <c r="F189" s="3">
        <v>65</v>
      </c>
      <c r="G189" s="4">
        <v>40513.415972222225</v>
      </c>
      <c r="H189" s="3">
        <v>4</v>
      </c>
      <c r="I189" s="5">
        <v>12</v>
      </c>
      <c r="J189" t="s">
        <v>114</v>
      </c>
      <c r="K189" t="s">
        <v>4497</v>
      </c>
      <c r="L189">
        <v>536388</v>
      </c>
      <c r="M189" s="2">
        <v>21411</v>
      </c>
      <c r="N189">
        <v>4.25</v>
      </c>
      <c r="O189" s="6">
        <v>3</v>
      </c>
      <c r="P189" s="3">
        <v>0.1</v>
      </c>
      <c r="Q189" t="s">
        <v>3</v>
      </c>
      <c r="R189" s="7">
        <f t="shared" si="6"/>
        <v>12.75</v>
      </c>
      <c r="S189" s="7">
        <f t="shared" si="7"/>
        <v>1.2750000000000001</v>
      </c>
      <c r="T189">
        <f>Table1[[#This Row],[Total price]]-Table1[[#This Row],[Discount Amount]]</f>
        <v>11.475</v>
      </c>
      <c r="U189">
        <f t="shared" si="8"/>
        <v>34.424999999999997</v>
      </c>
    </row>
    <row r="190" spans="1:21">
      <c r="A190">
        <v>189</v>
      </c>
      <c r="B190" s="3" t="s">
        <v>1706</v>
      </c>
      <c r="C190" s="3" t="s">
        <v>1200</v>
      </c>
      <c r="D190" s="3" t="s">
        <v>2866</v>
      </c>
      <c r="E190" s="3" t="s">
        <v>3080</v>
      </c>
      <c r="F190" s="3">
        <v>66</v>
      </c>
      <c r="G190" s="4">
        <v>40513.415972222225</v>
      </c>
      <c r="H190" s="3">
        <v>4</v>
      </c>
      <c r="I190" s="5">
        <v>2</v>
      </c>
      <c r="J190" t="s">
        <v>241</v>
      </c>
      <c r="K190" t="s">
        <v>4497</v>
      </c>
      <c r="L190">
        <v>536388</v>
      </c>
      <c r="M190" s="2">
        <v>22318</v>
      </c>
      <c r="N190">
        <v>2.95</v>
      </c>
      <c r="O190" s="6">
        <v>6</v>
      </c>
      <c r="P190" s="3">
        <v>0.2</v>
      </c>
      <c r="Q190" t="s">
        <v>3</v>
      </c>
      <c r="R190" s="7">
        <f t="shared" si="6"/>
        <v>17.700000000000003</v>
      </c>
      <c r="S190" s="7">
        <f t="shared" si="7"/>
        <v>3.5400000000000009</v>
      </c>
      <c r="T190">
        <f>Table1[[#This Row],[Total price]]-Table1[[#This Row],[Discount Amount]]</f>
        <v>14.160000000000002</v>
      </c>
      <c r="U190">
        <f t="shared" si="8"/>
        <v>84.960000000000008</v>
      </c>
    </row>
    <row r="191" spans="1:21">
      <c r="A191">
        <v>190</v>
      </c>
      <c r="B191" s="3" t="s">
        <v>2670</v>
      </c>
      <c r="C191" s="3" t="s">
        <v>1191</v>
      </c>
      <c r="D191" s="3" t="s">
        <v>3081</v>
      </c>
      <c r="E191" s="3" t="s">
        <v>3082</v>
      </c>
      <c r="F191" s="3">
        <v>66</v>
      </c>
      <c r="G191" s="4">
        <v>40513.415972222225</v>
      </c>
      <c r="H191" s="3">
        <v>4</v>
      </c>
      <c r="I191" s="5">
        <v>23</v>
      </c>
      <c r="J191" t="s">
        <v>564</v>
      </c>
      <c r="K191" t="s">
        <v>4497</v>
      </c>
      <c r="L191">
        <v>536388</v>
      </c>
      <c r="M191" s="2">
        <v>22464</v>
      </c>
      <c r="N191">
        <v>1.65</v>
      </c>
      <c r="O191" s="6">
        <v>12</v>
      </c>
      <c r="P191" s="3">
        <v>7.0000000000000007E-2</v>
      </c>
      <c r="Q191" t="s">
        <v>3</v>
      </c>
      <c r="R191" s="7">
        <f t="shared" si="6"/>
        <v>19.799999999999997</v>
      </c>
      <c r="S191" s="7">
        <f t="shared" si="7"/>
        <v>1.3859999999999999</v>
      </c>
      <c r="T191">
        <f>Table1[[#This Row],[Total price]]-Table1[[#This Row],[Discount Amount]]</f>
        <v>18.413999999999998</v>
      </c>
      <c r="U191">
        <f t="shared" si="8"/>
        <v>220.96799999999996</v>
      </c>
    </row>
    <row r="192" spans="1:21">
      <c r="A192">
        <v>191</v>
      </c>
      <c r="B192" s="3" t="s">
        <v>2669</v>
      </c>
      <c r="C192" s="3" t="s">
        <v>1081</v>
      </c>
      <c r="D192" s="3" t="s">
        <v>3083</v>
      </c>
      <c r="E192" s="3" t="s">
        <v>3084</v>
      </c>
      <c r="F192" s="3">
        <v>66</v>
      </c>
      <c r="G192" s="4">
        <v>40513.415972222225</v>
      </c>
      <c r="H192" s="3">
        <v>4</v>
      </c>
      <c r="I192" s="5">
        <v>12</v>
      </c>
      <c r="J192" t="s">
        <v>859</v>
      </c>
      <c r="K192" t="s">
        <v>4497</v>
      </c>
      <c r="L192">
        <v>536388</v>
      </c>
      <c r="M192" s="2">
        <v>22915</v>
      </c>
      <c r="N192">
        <v>0.42</v>
      </c>
      <c r="O192" s="6">
        <v>12</v>
      </c>
      <c r="P192" s="3">
        <v>7.0000000000000007E-2</v>
      </c>
      <c r="Q192" t="s">
        <v>3</v>
      </c>
      <c r="R192" s="7">
        <f t="shared" si="6"/>
        <v>5.04</v>
      </c>
      <c r="S192" s="7">
        <f t="shared" si="7"/>
        <v>0.35280000000000006</v>
      </c>
      <c r="T192">
        <f>Table1[[#This Row],[Total price]]-Table1[[#This Row],[Discount Amount]]</f>
        <v>4.6871999999999998</v>
      </c>
      <c r="U192">
        <f t="shared" si="8"/>
        <v>56.246399999999994</v>
      </c>
    </row>
    <row r="193" spans="1:21">
      <c r="A193">
        <v>192</v>
      </c>
      <c r="B193" s="3" t="s">
        <v>2668</v>
      </c>
      <c r="C193" s="3" t="s">
        <v>1287</v>
      </c>
      <c r="D193" s="3" t="s">
        <v>2866</v>
      </c>
      <c r="E193" s="3" t="s">
        <v>3085</v>
      </c>
      <c r="F193" s="3">
        <v>67</v>
      </c>
      <c r="G193" s="4">
        <v>40513.415972222225</v>
      </c>
      <c r="H193" s="3">
        <v>4</v>
      </c>
      <c r="I193" s="5">
        <v>23</v>
      </c>
      <c r="J193" t="s">
        <v>858</v>
      </c>
      <c r="K193" t="s">
        <v>4497</v>
      </c>
      <c r="L193">
        <v>536388</v>
      </c>
      <c r="M193" s="2">
        <v>22922</v>
      </c>
      <c r="N193">
        <v>0.85</v>
      </c>
      <c r="O193" s="6">
        <v>12</v>
      </c>
      <c r="P193" s="3">
        <v>0.2</v>
      </c>
      <c r="Q193" t="s">
        <v>3</v>
      </c>
      <c r="R193" s="7">
        <f t="shared" si="6"/>
        <v>10.199999999999999</v>
      </c>
      <c r="S193" s="7">
        <f t="shared" si="7"/>
        <v>2.04</v>
      </c>
      <c r="T193">
        <f>Table1[[#This Row],[Total price]]-Table1[[#This Row],[Discount Amount]]</f>
        <v>8.16</v>
      </c>
      <c r="U193">
        <f t="shared" si="8"/>
        <v>97.92</v>
      </c>
    </row>
    <row r="194" spans="1:21">
      <c r="A194">
        <v>193</v>
      </c>
      <c r="B194" s="3" t="s">
        <v>1699</v>
      </c>
      <c r="C194" s="3" t="s">
        <v>2667</v>
      </c>
      <c r="D194" s="3" t="s">
        <v>2866</v>
      </c>
      <c r="E194" s="3" t="s">
        <v>3086</v>
      </c>
      <c r="F194" s="3">
        <v>67</v>
      </c>
      <c r="G194" s="4">
        <v>40513.415972222225</v>
      </c>
      <c r="H194" s="3">
        <v>4</v>
      </c>
      <c r="I194" s="5">
        <v>12</v>
      </c>
      <c r="J194" t="s">
        <v>861</v>
      </c>
      <c r="K194" t="s">
        <v>4497</v>
      </c>
      <c r="L194">
        <v>536388</v>
      </c>
      <c r="M194" s="2">
        <v>22969</v>
      </c>
      <c r="N194">
        <v>1.45</v>
      </c>
      <c r="O194" s="6">
        <v>12</v>
      </c>
      <c r="P194" s="3">
        <v>0.1</v>
      </c>
      <c r="Q194" t="s">
        <v>3</v>
      </c>
      <c r="R194" s="7">
        <f t="shared" si="6"/>
        <v>17.399999999999999</v>
      </c>
      <c r="S194" s="7">
        <f t="shared" si="7"/>
        <v>1.74</v>
      </c>
      <c r="T194">
        <f>Table1[[#This Row],[Total price]]-Table1[[#This Row],[Discount Amount]]</f>
        <v>15.659999999999998</v>
      </c>
      <c r="U194">
        <f t="shared" si="8"/>
        <v>187.92</v>
      </c>
    </row>
    <row r="195" spans="1:21">
      <c r="A195">
        <v>194</v>
      </c>
      <c r="B195" s="3" t="s">
        <v>1023</v>
      </c>
      <c r="C195" s="3" t="s">
        <v>1979</v>
      </c>
      <c r="D195" s="3" t="s">
        <v>2866</v>
      </c>
      <c r="E195" s="3" t="s">
        <v>3087</v>
      </c>
      <c r="F195" s="3">
        <v>67</v>
      </c>
      <c r="G195" s="4">
        <v>40513.415972222225</v>
      </c>
      <c r="H195" s="3">
        <v>4</v>
      </c>
      <c r="I195" s="5">
        <v>21</v>
      </c>
      <c r="J195" t="s">
        <v>856</v>
      </c>
      <c r="K195" t="s">
        <v>4497</v>
      </c>
      <c r="L195">
        <v>536388</v>
      </c>
      <c r="M195" s="2">
        <v>22923</v>
      </c>
      <c r="N195">
        <v>0.85</v>
      </c>
      <c r="O195" s="6">
        <v>12</v>
      </c>
      <c r="P195" s="3">
        <v>0.2</v>
      </c>
      <c r="Q195" t="s">
        <v>3</v>
      </c>
      <c r="R195" s="7">
        <f t="shared" ref="R195:R258" si="9">N195*O195</f>
        <v>10.199999999999999</v>
      </c>
      <c r="S195" s="7">
        <f t="shared" ref="S195:S258" si="10">R195*P195</f>
        <v>2.04</v>
      </c>
      <c r="T195">
        <f>Table1[[#This Row],[Total price]]-Table1[[#This Row],[Discount Amount]]</f>
        <v>8.16</v>
      </c>
      <c r="U195">
        <f t="shared" ref="U195:U258" si="11">T195*O195</f>
        <v>97.92</v>
      </c>
    </row>
    <row r="196" spans="1:21">
      <c r="A196">
        <v>195</v>
      </c>
      <c r="B196" s="3" t="s">
        <v>2666</v>
      </c>
      <c r="C196" s="3" t="s">
        <v>2357</v>
      </c>
      <c r="D196" s="3" t="s">
        <v>2866</v>
      </c>
      <c r="E196" s="3" t="s">
        <v>3088</v>
      </c>
      <c r="F196" s="3">
        <v>67</v>
      </c>
      <c r="G196" s="4">
        <v>40513.415972222225</v>
      </c>
      <c r="H196" s="3">
        <v>4</v>
      </c>
      <c r="I196" s="5">
        <v>5</v>
      </c>
      <c r="J196" t="s">
        <v>108</v>
      </c>
      <c r="K196" t="s">
        <v>4497</v>
      </c>
      <c r="L196">
        <v>536388</v>
      </c>
      <c r="M196" s="2">
        <v>21115</v>
      </c>
      <c r="N196">
        <v>6.75</v>
      </c>
      <c r="O196" s="6">
        <v>4</v>
      </c>
      <c r="P196" s="3">
        <v>0.1</v>
      </c>
      <c r="Q196" t="s">
        <v>3</v>
      </c>
      <c r="R196" s="7">
        <f t="shared" si="9"/>
        <v>27</v>
      </c>
      <c r="S196" s="7">
        <f t="shared" si="10"/>
        <v>2.7</v>
      </c>
      <c r="T196">
        <f>Table1[[#This Row],[Total price]]-Table1[[#This Row],[Discount Amount]]</f>
        <v>24.3</v>
      </c>
      <c r="U196">
        <f t="shared" si="11"/>
        <v>97.2</v>
      </c>
    </row>
    <row r="197" spans="1:21">
      <c r="A197">
        <v>196</v>
      </c>
      <c r="B197" s="3" t="s">
        <v>2665</v>
      </c>
      <c r="C197" s="3" t="s">
        <v>2664</v>
      </c>
      <c r="D197" s="3" t="s">
        <v>2866</v>
      </c>
      <c r="E197" s="3" t="s">
        <v>3089</v>
      </c>
      <c r="F197" s="3">
        <v>67</v>
      </c>
      <c r="G197" s="4">
        <v>40513.415972222225</v>
      </c>
      <c r="H197" s="3">
        <v>4</v>
      </c>
      <c r="I197" s="5">
        <v>19</v>
      </c>
      <c r="J197" t="s">
        <v>498</v>
      </c>
      <c r="K197" t="s">
        <v>4497</v>
      </c>
      <c r="L197">
        <v>536388</v>
      </c>
      <c r="M197" s="2">
        <v>22469</v>
      </c>
      <c r="N197">
        <v>1.65</v>
      </c>
      <c r="O197" s="6">
        <v>12</v>
      </c>
      <c r="P197" s="3">
        <v>0.2</v>
      </c>
      <c r="Q197" t="s">
        <v>3</v>
      </c>
      <c r="R197" s="7">
        <f t="shared" si="9"/>
        <v>19.799999999999997</v>
      </c>
      <c r="S197" s="7">
        <f t="shared" si="10"/>
        <v>3.9599999999999995</v>
      </c>
      <c r="T197">
        <f>Table1[[#This Row],[Total price]]-Table1[[#This Row],[Discount Amount]]</f>
        <v>15.839999999999998</v>
      </c>
      <c r="U197">
        <f t="shared" si="11"/>
        <v>190.07999999999998</v>
      </c>
    </row>
    <row r="198" spans="1:21">
      <c r="A198">
        <v>197</v>
      </c>
      <c r="B198" s="3" t="s">
        <v>2663</v>
      </c>
      <c r="C198" s="3" t="s">
        <v>2076</v>
      </c>
      <c r="D198" s="3" t="s">
        <v>2866</v>
      </c>
      <c r="E198" s="3" t="s">
        <v>3090</v>
      </c>
      <c r="F198" s="3">
        <v>68</v>
      </c>
      <c r="G198" s="4">
        <v>40513.415972222225</v>
      </c>
      <c r="H198" s="3">
        <v>4</v>
      </c>
      <c r="I198" s="5">
        <v>13</v>
      </c>
      <c r="J198" t="s">
        <v>250</v>
      </c>
      <c r="K198" t="s">
        <v>4497</v>
      </c>
      <c r="L198">
        <v>536388</v>
      </c>
      <c r="M198" s="2">
        <v>22242</v>
      </c>
      <c r="N198">
        <v>1.65</v>
      </c>
      <c r="O198" s="6">
        <v>12</v>
      </c>
      <c r="P198" s="3">
        <v>7.0000000000000007E-2</v>
      </c>
      <c r="Q198" t="s">
        <v>3</v>
      </c>
      <c r="R198" s="7">
        <f t="shared" si="9"/>
        <v>19.799999999999997</v>
      </c>
      <c r="S198" s="7">
        <f t="shared" si="10"/>
        <v>1.3859999999999999</v>
      </c>
      <c r="T198">
        <f>Table1[[#This Row],[Total price]]-Table1[[#This Row],[Discount Amount]]</f>
        <v>18.413999999999998</v>
      </c>
      <c r="U198">
        <f t="shared" si="11"/>
        <v>220.96799999999996</v>
      </c>
    </row>
    <row r="199" spans="1:21">
      <c r="A199">
        <v>198</v>
      </c>
      <c r="B199" s="3" t="s">
        <v>2662</v>
      </c>
      <c r="C199" s="3" t="s">
        <v>2661</v>
      </c>
      <c r="D199" s="3" t="s">
        <v>2866</v>
      </c>
      <c r="E199" s="3" t="s">
        <v>3091</v>
      </c>
      <c r="F199" s="3">
        <v>68</v>
      </c>
      <c r="G199" s="4">
        <v>40513.418749999997</v>
      </c>
      <c r="H199" s="3">
        <v>1</v>
      </c>
      <c r="I199" s="5">
        <v>17</v>
      </c>
      <c r="J199" t="s">
        <v>93</v>
      </c>
      <c r="K199" t="s">
        <v>4500</v>
      </c>
      <c r="L199">
        <v>536389</v>
      </c>
      <c r="M199" s="2">
        <v>22941</v>
      </c>
      <c r="N199">
        <v>8.5</v>
      </c>
      <c r="O199" s="6">
        <v>6</v>
      </c>
      <c r="P199" s="3">
        <v>0.1</v>
      </c>
      <c r="Q199" t="s">
        <v>8</v>
      </c>
      <c r="R199" s="7">
        <f t="shared" si="9"/>
        <v>51</v>
      </c>
      <c r="S199" s="7">
        <f t="shared" si="10"/>
        <v>5.1000000000000005</v>
      </c>
      <c r="T199">
        <f>Table1[[#This Row],[Total price]]-Table1[[#This Row],[Discount Amount]]</f>
        <v>45.9</v>
      </c>
      <c r="U199">
        <f t="shared" si="11"/>
        <v>275.39999999999998</v>
      </c>
    </row>
    <row r="200" spans="1:21">
      <c r="A200">
        <v>199</v>
      </c>
      <c r="B200" s="3" t="s">
        <v>2660</v>
      </c>
      <c r="C200" s="3" t="s">
        <v>2659</v>
      </c>
      <c r="D200" s="3" t="s">
        <v>2866</v>
      </c>
      <c r="E200" s="3" t="s">
        <v>3092</v>
      </c>
      <c r="F200" s="3">
        <v>69</v>
      </c>
      <c r="G200" s="4">
        <v>40513.418749999997</v>
      </c>
      <c r="H200" s="3">
        <v>1</v>
      </c>
      <c r="I200" s="5">
        <v>22</v>
      </c>
      <c r="J200" t="s">
        <v>595</v>
      </c>
      <c r="K200" t="s">
        <v>4500</v>
      </c>
      <c r="L200">
        <v>536389</v>
      </c>
      <c r="M200" s="2">
        <v>21622</v>
      </c>
      <c r="N200">
        <v>4.95</v>
      </c>
      <c r="O200" s="6">
        <v>8</v>
      </c>
      <c r="P200" s="3">
        <v>0.1</v>
      </c>
      <c r="Q200" t="s">
        <v>8</v>
      </c>
      <c r="R200" s="7">
        <f t="shared" si="9"/>
        <v>39.6</v>
      </c>
      <c r="S200" s="7">
        <f t="shared" si="10"/>
        <v>3.9600000000000004</v>
      </c>
      <c r="T200">
        <f>Table1[[#This Row],[Total price]]-Table1[[#This Row],[Discount Amount]]</f>
        <v>35.64</v>
      </c>
      <c r="U200">
        <f t="shared" si="11"/>
        <v>285.12</v>
      </c>
    </row>
    <row r="201" spans="1:21">
      <c r="A201">
        <v>200</v>
      </c>
      <c r="B201" s="3" t="s">
        <v>2658</v>
      </c>
      <c r="C201" s="3" t="s">
        <v>1682</v>
      </c>
      <c r="D201" s="3" t="s">
        <v>2866</v>
      </c>
      <c r="E201" s="3" t="s">
        <v>3093</v>
      </c>
      <c r="F201" s="3">
        <v>69</v>
      </c>
      <c r="G201" s="4">
        <v>40513.418749999997</v>
      </c>
      <c r="H201" s="3">
        <v>1</v>
      </c>
      <c r="I201" s="5">
        <v>5</v>
      </c>
      <c r="J201" t="s">
        <v>83</v>
      </c>
      <c r="K201" t="s">
        <v>4500</v>
      </c>
      <c r="L201">
        <v>536389</v>
      </c>
      <c r="M201" s="2">
        <v>21791</v>
      </c>
      <c r="N201">
        <v>1.25</v>
      </c>
      <c r="O201" s="6">
        <v>12</v>
      </c>
      <c r="P201" s="3">
        <v>0.2</v>
      </c>
      <c r="Q201" t="s">
        <v>8</v>
      </c>
      <c r="R201" s="7">
        <f t="shared" si="9"/>
        <v>15</v>
      </c>
      <c r="S201" s="7">
        <f t="shared" si="10"/>
        <v>3</v>
      </c>
      <c r="T201">
        <f>Table1[[#This Row],[Total price]]-Table1[[#This Row],[Discount Amount]]</f>
        <v>12</v>
      </c>
      <c r="U201">
        <f t="shared" si="11"/>
        <v>144</v>
      </c>
    </row>
    <row r="202" spans="1:21">
      <c r="A202">
        <v>201</v>
      </c>
      <c r="B202" s="3" t="s">
        <v>2657</v>
      </c>
      <c r="C202" s="3" t="s">
        <v>1499</v>
      </c>
      <c r="D202" s="3" t="s">
        <v>2866</v>
      </c>
      <c r="E202" s="3" t="s">
        <v>3094</v>
      </c>
      <c r="F202" s="3">
        <v>69</v>
      </c>
      <c r="G202" s="4">
        <v>40513.418749999997</v>
      </c>
      <c r="H202" s="3">
        <v>1</v>
      </c>
      <c r="I202" s="5">
        <v>10</v>
      </c>
      <c r="J202" t="s">
        <v>222</v>
      </c>
      <c r="K202" t="s">
        <v>4500</v>
      </c>
      <c r="L202">
        <v>536389</v>
      </c>
      <c r="M202" s="2" t="s">
        <v>221</v>
      </c>
      <c r="N202">
        <v>5.45</v>
      </c>
      <c r="O202" s="6">
        <v>6</v>
      </c>
      <c r="P202" s="3">
        <v>0.05</v>
      </c>
      <c r="Q202" t="s">
        <v>8</v>
      </c>
      <c r="R202" s="7">
        <f t="shared" si="9"/>
        <v>32.700000000000003</v>
      </c>
      <c r="S202" s="7">
        <f t="shared" si="10"/>
        <v>1.6350000000000002</v>
      </c>
      <c r="T202">
        <f>Table1[[#This Row],[Total price]]-Table1[[#This Row],[Discount Amount]]</f>
        <v>31.065000000000001</v>
      </c>
      <c r="U202">
        <f t="shared" si="11"/>
        <v>186.39000000000001</v>
      </c>
    </row>
    <row r="203" spans="1:21">
      <c r="A203">
        <v>202</v>
      </c>
      <c r="B203" s="3" t="s">
        <v>2656</v>
      </c>
      <c r="C203" s="3" t="s">
        <v>2436</v>
      </c>
      <c r="D203" s="3" t="s">
        <v>3095</v>
      </c>
      <c r="E203" s="3" t="s">
        <v>3096</v>
      </c>
      <c r="F203" s="3">
        <v>70</v>
      </c>
      <c r="G203" s="4">
        <v>40513.418749999997</v>
      </c>
      <c r="H203" s="3">
        <v>1</v>
      </c>
      <c r="I203" s="5">
        <v>3</v>
      </c>
      <c r="J203" t="s">
        <v>122</v>
      </c>
      <c r="K203" t="s">
        <v>4500</v>
      </c>
      <c r="L203">
        <v>536389</v>
      </c>
      <c r="M203" s="2" t="s">
        <v>121</v>
      </c>
      <c r="N203">
        <v>6.35</v>
      </c>
      <c r="O203" s="6">
        <v>4</v>
      </c>
      <c r="P203" s="3">
        <v>0.05</v>
      </c>
      <c r="Q203" t="s">
        <v>8</v>
      </c>
      <c r="R203" s="7">
        <f t="shared" si="9"/>
        <v>25.4</v>
      </c>
      <c r="S203" s="7">
        <f t="shared" si="10"/>
        <v>1.27</v>
      </c>
      <c r="T203">
        <f>Table1[[#This Row],[Total price]]-Table1[[#This Row],[Discount Amount]]</f>
        <v>24.13</v>
      </c>
      <c r="U203">
        <f t="shared" si="11"/>
        <v>96.52</v>
      </c>
    </row>
    <row r="204" spans="1:21">
      <c r="A204">
        <v>203</v>
      </c>
      <c r="B204" s="3" t="s">
        <v>2655</v>
      </c>
      <c r="C204" s="3" t="s">
        <v>956</v>
      </c>
      <c r="D204" s="3" t="s">
        <v>3097</v>
      </c>
      <c r="E204" s="3" t="s">
        <v>3098</v>
      </c>
      <c r="F204" s="3">
        <v>70</v>
      </c>
      <c r="G204" s="4">
        <v>40513.418749999997</v>
      </c>
      <c r="H204" s="3">
        <v>1</v>
      </c>
      <c r="I204" s="5">
        <v>18</v>
      </c>
      <c r="J204" t="s">
        <v>202</v>
      </c>
      <c r="K204" t="s">
        <v>4500</v>
      </c>
      <c r="L204">
        <v>536389</v>
      </c>
      <c r="M204" s="2" t="s">
        <v>50</v>
      </c>
      <c r="N204">
        <v>5.95</v>
      </c>
      <c r="O204" s="6">
        <v>6</v>
      </c>
      <c r="P204" s="3">
        <v>0.2</v>
      </c>
      <c r="Q204" t="s">
        <v>8</v>
      </c>
      <c r="R204" s="7">
        <f t="shared" si="9"/>
        <v>35.700000000000003</v>
      </c>
      <c r="S204" s="7">
        <f t="shared" si="10"/>
        <v>7.1400000000000006</v>
      </c>
      <c r="T204">
        <f>Table1[[#This Row],[Total price]]-Table1[[#This Row],[Discount Amount]]</f>
        <v>28.560000000000002</v>
      </c>
      <c r="U204">
        <f t="shared" si="11"/>
        <v>171.36</v>
      </c>
    </row>
    <row r="205" spans="1:21">
      <c r="A205">
        <v>204</v>
      </c>
      <c r="B205" s="3" t="s">
        <v>2654</v>
      </c>
      <c r="C205" s="3" t="s">
        <v>1096</v>
      </c>
      <c r="D205" s="3" t="s">
        <v>2866</v>
      </c>
      <c r="E205" s="3" t="s">
        <v>3099</v>
      </c>
      <c r="F205" s="3">
        <v>70</v>
      </c>
      <c r="G205" s="4">
        <v>40513.418749999997</v>
      </c>
      <c r="H205" s="3">
        <v>1</v>
      </c>
      <c r="I205" s="5">
        <v>20</v>
      </c>
      <c r="J205" t="s">
        <v>252</v>
      </c>
      <c r="K205" t="s">
        <v>4500</v>
      </c>
      <c r="L205">
        <v>536389</v>
      </c>
      <c r="M205" s="2" t="s">
        <v>251</v>
      </c>
      <c r="N205">
        <v>5.95</v>
      </c>
      <c r="O205" s="6">
        <v>3</v>
      </c>
      <c r="P205" s="3">
        <v>0.05</v>
      </c>
      <c r="Q205" t="s">
        <v>8</v>
      </c>
      <c r="R205" s="7">
        <f t="shared" si="9"/>
        <v>17.850000000000001</v>
      </c>
      <c r="S205" s="7">
        <f t="shared" si="10"/>
        <v>0.89250000000000007</v>
      </c>
      <c r="T205">
        <f>Table1[[#This Row],[Total price]]-Table1[[#This Row],[Discount Amount]]</f>
        <v>16.957500000000003</v>
      </c>
      <c r="U205">
        <f t="shared" si="11"/>
        <v>50.872500000000009</v>
      </c>
    </row>
    <row r="206" spans="1:21">
      <c r="A206">
        <v>205</v>
      </c>
      <c r="B206" s="3" t="s">
        <v>1004</v>
      </c>
      <c r="C206" s="3" t="s">
        <v>1189</v>
      </c>
      <c r="D206" s="3" t="s">
        <v>2866</v>
      </c>
      <c r="E206" s="3" t="s">
        <v>3100</v>
      </c>
      <c r="F206" s="3">
        <v>71</v>
      </c>
      <c r="G206" s="4">
        <v>40513.418749999997</v>
      </c>
      <c r="H206" s="3">
        <v>2</v>
      </c>
      <c r="I206" s="5">
        <v>26</v>
      </c>
      <c r="J206" t="s">
        <v>110</v>
      </c>
      <c r="K206" t="s">
        <v>4500</v>
      </c>
      <c r="L206">
        <v>536389</v>
      </c>
      <c r="M206" s="2">
        <v>22193</v>
      </c>
      <c r="N206">
        <v>8.5</v>
      </c>
      <c r="O206" s="6">
        <v>2</v>
      </c>
      <c r="P206" s="3">
        <v>0.05</v>
      </c>
      <c r="Q206" t="s">
        <v>8</v>
      </c>
      <c r="R206" s="7">
        <f t="shared" si="9"/>
        <v>17</v>
      </c>
      <c r="S206" s="7">
        <f t="shared" si="10"/>
        <v>0.85000000000000009</v>
      </c>
      <c r="T206">
        <f>Table1[[#This Row],[Total price]]-Table1[[#This Row],[Discount Amount]]</f>
        <v>16.149999999999999</v>
      </c>
      <c r="U206">
        <f t="shared" si="11"/>
        <v>32.299999999999997</v>
      </c>
    </row>
    <row r="207" spans="1:21">
      <c r="A207">
        <v>206</v>
      </c>
      <c r="B207" s="3" t="s">
        <v>2653</v>
      </c>
      <c r="C207" s="3" t="s">
        <v>1169</v>
      </c>
      <c r="D207" s="3" t="s">
        <v>2866</v>
      </c>
      <c r="E207" s="3" t="s">
        <v>3101</v>
      </c>
      <c r="F207" s="3">
        <v>71</v>
      </c>
      <c r="G207" s="4">
        <v>40513.418749999997</v>
      </c>
      <c r="H207" s="3">
        <v>2</v>
      </c>
      <c r="I207" s="5">
        <v>24</v>
      </c>
      <c r="J207" t="s">
        <v>113</v>
      </c>
      <c r="K207" t="s">
        <v>4500</v>
      </c>
      <c r="L207">
        <v>536389</v>
      </c>
      <c r="M207" s="2">
        <v>22726</v>
      </c>
      <c r="N207">
        <v>3.75</v>
      </c>
      <c r="O207" s="6">
        <v>4</v>
      </c>
      <c r="P207" s="3">
        <v>0.2</v>
      </c>
      <c r="Q207" t="s">
        <v>8</v>
      </c>
      <c r="R207" s="7">
        <f t="shared" si="9"/>
        <v>15</v>
      </c>
      <c r="S207" s="7">
        <f t="shared" si="10"/>
        <v>3</v>
      </c>
      <c r="T207">
        <f>Table1[[#This Row],[Total price]]-Table1[[#This Row],[Discount Amount]]</f>
        <v>12</v>
      </c>
      <c r="U207">
        <f t="shared" si="11"/>
        <v>48</v>
      </c>
    </row>
    <row r="208" spans="1:21">
      <c r="A208">
        <v>207</v>
      </c>
      <c r="B208" s="3" t="s">
        <v>2652</v>
      </c>
      <c r="C208" s="3" t="s">
        <v>1492</v>
      </c>
      <c r="D208" s="3" t="s">
        <v>2866</v>
      </c>
      <c r="E208" s="3" t="s">
        <v>3102</v>
      </c>
      <c r="F208" s="3">
        <v>71</v>
      </c>
      <c r="G208" s="4">
        <v>40513.418749999997</v>
      </c>
      <c r="H208" s="3">
        <v>2</v>
      </c>
      <c r="I208" s="5">
        <v>18</v>
      </c>
      <c r="J208" t="s">
        <v>112</v>
      </c>
      <c r="K208" t="s">
        <v>4500</v>
      </c>
      <c r="L208">
        <v>536389</v>
      </c>
      <c r="M208" s="2">
        <v>22727</v>
      </c>
      <c r="N208">
        <v>3.75</v>
      </c>
      <c r="O208" s="6">
        <v>4</v>
      </c>
      <c r="P208" s="3">
        <v>0.1</v>
      </c>
      <c r="Q208" t="s">
        <v>8</v>
      </c>
      <c r="R208" s="7">
        <f t="shared" si="9"/>
        <v>15</v>
      </c>
      <c r="S208" s="7">
        <f t="shared" si="10"/>
        <v>1.5</v>
      </c>
      <c r="T208">
        <f>Table1[[#This Row],[Total price]]-Table1[[#This Row],[Discount Amount]]</f>
        <v>13.5</v>
      </c>
      <c r="U208">
        <f t="shared" si="11"/>
        <v>54</v>
      </c>
    </row>
    <row r="209" spans="1:21">
      <c r="A209">
        <v>208</v>
      </c>
      <c r="B209" s="3" t="s">
        <v>2651</v>
      </c>
      <c r="C209" s="3" t="s">
        <v>2650</v>
      </c>
      <c r="D209" s="3" t="s">
        <v>2866</v>
      </c>
      <c r="E209" s="3" t="s">
        <v>3103</v>
      </c>
      <c r="F209" s="3">
        <v>72</v>
      </c>
      <c r="G209" s="4">
        <v>40513.418749999997</v>
      </c>
      <c r="H209" s="3">
        <v>2</v>
      </c>
      <c r="I209" s="5">
        <v>17</v>
      </c>
      <c r="J209" t="s">
        <v>198</v>
      </c>
      <c r="K209" t="s">
        <v>4500</v>
      </c>
      <c r="L209">
        <v>536389</v>
      </c>
      <c r="M209" s="2">
        <v>22192</v>
      </c>
      <c r="N209">
        <v>8.5</v>
      </c>
      <c r="O209" s="6">
        <v>2</v>
      </c>
      <c r="P209" s="3">
        <v>7.0000000000000007E-2</v>
      </c>
      <c r="Q209" t="s">
        <v>8</v>
      </c>
      <c r="R209" s="7">
        <f t="shared" si="9"/>
        <v>17</v>
      </c>
      <c r="S209" s="7">
        <f t="shared" si="10"/>
        <v>1.1900000000000002</v>
      </c>
      <c r="T209">
        <f>Table1[[#This Row],[Total price]]-Table1[[#This Row],[Discount Amount]]</f>
        <v>15.81</v>
      </c>
      <c r="U209">
        <f t="shared" si="11"/>
        <v>31.62</v>
      </c>
    </row>
    <row r="210" spans="1:21">
      <c r="A210">
        <v>209</v>
      </c>
      <c r="B210" s="3" t="s">
        <v>2649</v>
      </c>
      <c r="C210" s="3" t="s">
        <v>2380</v>
      </c>
      <c r="D210" s="3" t="s">
        <v>2866</v>
      </c>
      <c r="E210" s="3" t="s">
        <v>3104</v>
      </c>
      <c r="F210" s="3">
        <v>72</v>
      </c>
      <c r="G210" s="4">
        <v>40513.418749999997</v>
      </c>
      <c r="H210" s="3">
        <v>2</v>
      </c>
      <c r="I210" s="5">
        <v>12</v>
      </c>
      <c r="J210" t="s">
        <v>425</v>
      </c>
      <c r="K210" t="s">
        <v>4500</v>
      </c>
      <c r="L210">
        <v>536389</v>
      </c>
      <c r="M210" s="2">
        <v>22191</v>
      </c>
      <c r="N210">
        <v>8.5</v>
      </c>
      <c r="O210" s="6">
        <v>2</v>
      </c>
      <c r="P210" s="3">
        <v>0.05</v>
      </c>
      <c r="Q210" t="s">
        <v>8</v>
      </c>
      <c r="R210" s="7">
        <f t="shared" si="9"/>
        <v>17</v>
      </c>
      <c r="S210" s="7">
        <f t="shared" si="10"/>
        <v>0.85000000000000009</v>
      </c>
      <c r="T210">
        <f>Table1[[#This Row],[Total price]]-Table1[[#This Row],[Discount Amount]]</f>
        <v>16.149999999999999</v>
      </c>
      <c r="U210">
        <f t="shared" si="11"/>
        <v>32.299999999999997</v>
      </c>
    </row>
    <row r="211" spans="1:21">
      <c r="A211">
        <v>210</v>
      </c>
      <c r="B211" s="3" t="s">
        <v>2648</v>
      </c>
      <c r="C211" s="3" t="s">
        <v>1008</v>
      </c>
      <c r="D211" s="3" t="s">
        <v>3105</v>
      </c>
      <c r="E211" s="3" t="s">
        <v>3106</v>
      </c>
      <c r="F211" s="3">
        <v>72</v>
      </c>
      <c r="G211" s="4">
        <v>40513.418749999997</v>
      </c>
      <c r="H211" s="3">
        <v>2</v>
      </c>
      <c r="I211" s="5">
        <v>13</v>
      </c>
      <c r="J211" t="s">
        <v>106</v>
      </c>
      <c r="K211" t="s">
        <v>4500</v>
      </c>
      <c r="L211">
        <v>536389</v>
      </c>
      <c r="M211" s="2">
        <v>22195</v>
      </c>
      <c r="N211">
        <v>1.65</v>
      </c>
      <c r="O211" s="6">
        <v>24</v>
      </c>
      <c r="P211" s="3">
        <v>0.1</v>
      </c>
      <c r="Q211" t="s">
        <v>8</v>
      </c>
      <c r="R211" s="7">
        <f t="shared" si="9"/>
        <v>39.599999999999994</v>
      </c>
      <c r="S211" s="7">
        <f t="shared" si="10"/>
        <v>3.9599999999999995</v>
      </c>
      <c r="T211">
        <f>Table1[[#This Row],[Total price]]-Table1[[#This Row],[Discount Amount]]</f>
        <v>35.639999999999993</v>
      </c>
      <c r="U211">
        <f t="shared" si="11"/>
        <v>855.3599999999999</v>
      </c>
    </row>
    <row r="212" spans="1:21">
      <c r="A212">
        <v>211</v>
      </c>
      <c r="B212" s="3" t="s">
        <v>2647</v>
      </c>
      <c r="C212" s="3" t="s">
        <v>1805</v>
      </c>
      <c r="D212" s="3" t="s">
        <v>2866</v>
      </c>
      <c r="E212" s="3" t="s">
        <v>3107</v>
      </c>
      <c r="F212" s="3">
        <v>73</v>
      </c>
      <c r="G212" s="4">
        <v>40513.418749999997</v>
      </c>
      <c r="H212" s="3">
        <v>2</v>
      </c>
      <c r="I212" s="5">
        <v>22</v>
      </c>
      <c r="J212" t="s">
        <v>529</v>
      </c>
      <c r="K212" t="s">
        <v>4500</v>
      </c>
      <c r="L212">
        <v>536389</v>
      </c>
      <c r="M212" s="2">
        <v>22196</v>
      </c>
      <c r="N212">
        <v>0.85</v>
      </c>
      <c r="O212" s="6">
        <v>24</v>
      </c>
      <c r="P212" s="3">
        <v>7.0000000000000007E-2</v>
      </c>
      <c r="Q212" t="s">
        <v>8</v>
      </c>
      <c r="R212" s="7">
        <f t="shared" si="9"/>
        <v>20.399999999999999</v>
      </c>
      <c r="S212" s="7">
        <f t="shared" si="10"/>
        <v>1.4279999999999999</v>
      </c>
      <c r="T212">
        <f>Table1[[#This Row],[Total price]]-Table1[[#This Row],[Discount Amount]]</f>
        <v>18.971999999999998</v>
      </c>
      <c r="U212">
        <f t="shared" si="11"/>
        <v>455.32799999999997</v>
      </c>
    </row>
    <row r="213" spans="1:21">
      <c r="A213">
        <v>212</v>
      </c>
      <c r="B213" s="3" t="s">
        <v>2311</v>
      </c>
      <c r="C213" s="3" t="s">
        <v>1359</v>
      </c>
      <c r="D213" s="3" t="s">
        <v>3108</v>
      </c>
      <c r="E213" s="3" t="s">
        <v>3109</v>
      </c>
      <c r="F213" s="3">
        <v>73</v>
      </c>
      <c r="G213" s="4">
        <v>40513.429861111108</v>
      </c>
      <c r="H213" s="3">
        <v>4</v>
      </c>
      <c r="I213" s="5">
        <v>26</v>
      </c>
      <c r="J213" t="s">
        <v>93</v>
      </c>
      <c r="K213" t="s">
        <v>4497</v>
      </c>
      <c r="L213">
        <v>536390</v>
      </c>
      <c r="M213" s="2">
        <v>22941</v>
      </c>
      <c r="N213">
        <v>8.5</v>
      </c>
      <c r="O213" s="6">
        <v>2</v>
      </c>
      <c r="P213" s="3">
        <v>0.05</v>
      </c>
      <c r="Q213" t="s">
        <v>3</v>
      </c>
      <c r="R213" s="7">
        <f t="shared" si="9"/>
        <v>17</v>
      </c>
      <c r="S213" s="7">
        <f t="shared" si="10"/>
        <v>0.85000000000000009</v>
      </c>
      <c r="T213">
        <f>Table1[[#This Row],[Total price]]-Table1[[#This Row],[Discount Amount]]</f>
        <v>16.149999999999999</v>
      </c>
      <c r="U213">
        <f t="shared" si="11"/>
        <v>32.299999999999997</v>
      </c>
    </row>
    <row r="214" spans="1:21">
      <c r="A214">
        <v>213</v>
      </c>
      <c r="B214" s="3" t="s">
        <v>1792</v>
      </c>
      <c r="C214" s="3" t="s">
        <v>2034</v>
      </c>
      <c r="D214" s="3" t="s">
        <v>2866</v>
      </c>
      <c r="E214" s="3" t="s">
        <v>3110</v>
      </c>
      <c r="F214" s="3">
        <v>73</v>
      </c>
      <c r="G214" s="4">
        <v>40513.429861111108</v>
      </c>
      <c r="H214" s="3">
        <v>4</v>
      </c>
      <c r="I214" s="5">
        <v>3</v>
      </c>
      <c r="J214" t="s">
        <v>879</v>
      </c>
      <c r="K214" t="s">
        <v>4497</v>
      </c>
      <c r="L214">
        <v>536390</v>
      </c>
      <c r="M214" s="2">
        <v>22960</v>
      </c>
      <c r="N214">
        <v>3.75</v>
      </c>
      <c r="O214" s="6">
        <v>12</v>
      </c>
      <c r="P214" s="3">
        <v>7.0000000000000007E-2</v>
      </c>
      <c r="Q214" t="s">
        <v>3</v>
      </c>
      <c r="R214" s="7">
        <f t="shared" si="9"/>
        <v>45</v>
      </c>
      <c r="S214" s="7">
        <f t="shared" si="10"/>
        <v>3.1500000000000004</v>
      </c>
      <c r="T214">
        <f>Table1[[#This Row],[Total price]]-Table1[[#This Row],[Discount Amount]]</f>
        <v>41.85</v>
      </c>
      <c r="U214">
        <f t="shared" si="11"/>
        <v>502.20000000000005</v>
      </c>
    </row>
    <row r="215" spans="1:21">
      <c r="A215">
        <v>214</v>
      </c>
      <c r="B215" s="3" t="s">
        <v>1108</v>
      </c>
      <c r="C215" s="3" t="s">
        <v>2525</v>
      </c>
      <c r="D215" s="3" t="s">
        <v>2866</v>
      </c>
      <c r="E215" s="3" t="s">
        <v>3111</v>
      </c>
      <c r="F215" s="3">
        <v>73</v>
      </c>
      <c r="G215" s="4">
        <v>40513.429861111108</v>
      </c>
      <c r="H215" s="3">
        <v>4</v>
      </c>
      <c r="I215" s="5">
        <v>25</v>
      </c>
      <c r="J215" t="s">
        <v>876</v>
      </c>
      <c r="K215" t="s">
        <v>4497</v>
      </c>
      <c r="L215">
        <v>536390</v>
      </c>
      <c r="M215" s="2">
        <v>22961</v>
      </c>
      <c r="N215">
        <v>1.45</v>
      </c>
      <c r="O215" s="6">
        <v>12</v>
      </c>
      <c r="P215" s="3">
        <v>7.0000000000000007E-2</v>
      </c>
      <c r="Q215" t="s">
        <v>3</v>
      </c>
      <c r="R215" s="7">
        <f t="shared" si="9"/>
        <v>17.399999999999999</v>
      </c>
      <c r="S215" s="7">
        <f t="shared" si="10"/>
        <v>1.218</v>
      </c>
      <c r="T215">
        <f>Table1[[#This Row],[Total price]]-Table1[[#This Row],[Discount Amount]]</f>
        <v>16.181999999999999</v>
      </c>
      <c r="U215">
        <f t="shared" si="11"/>
        <v>194.18399999999997</v>
      </c>
    </row>
    <row r="216" spans="1:21">
      <c r="A216">
        <v>215</v>
      </c>
      <c r="B216" s="3" t="s">
        <v>2646</v>
      </c>
      <c r="C216" s="3" t="s">
        <v>2645</v>
      </c>
      <c r="D216" s="3" t="s">
        <v>2866</v>
      </c>
      <c r="E216" s="3" t="s">
        <v>3112</v>
      </c>
      <c r="F216" s="3">
        <v>73</v>
      </c>
      <c r="G216" s="4">
        <v>40513.429861111108</v>
      </c>
      <c r="H216" s="3">
        <v>4</v>
      </c>
      <c r="I216" s="5">
        <v>23</v>
      </c>
      <c r="J216" t="s">
        <v>877</v>
      </c>
      <c r="K216" t="s">
        <v>4497</v>
      </c>
      <c r="L216">
        <v>536390</v>
      </c>
      <c r="M216" s="2">
        <v>22962</v>
      </c>
      <c r="N216">
        <v>0.72</v>
      </c>
      <c r="O216" s="6">
        <v>48</v>
      </c>
      <c r="P216" s="3">
        <v>0.2</v>
      </c>
      <c r="Q216" t="s">
        <v>3</v>
      </c>
      <c r="R216" s="7">
        <f t="shared" si="9"/>
        <v>34.56</v>
      </c>
      <c r="S216" s="7">
        <f t="shared" si="10"/>
        <v>6.9120000000000008</v>
      </c>
      <c r="T216">
        <f>Table1[[#This Row],[Total price]]-Table1[[#This Row],[Discount Amount]]</f>
        <v>27.648000000000003</v>
      </c>
      <c r="U216">
        <f t="shared" si="11"/>
        <v>1327.1040000000003</v>
      </c>
    </row>
    <row r="217" spans="1:21">
      <c r="A217">
        <v>216</v>
      </c>
      <c r="B217" s="3" t="s">
        <v>2644</v>
      </c>
      <c r="C217" s="3" t="s">
        <v>1362</v>
      </c>
      <c r="D217" s="3" t="s">
        <v>2866</v>
      </c>
      <c r="E217" s="3" t="s">
        <v>3113</v>
      </c>
      <c r="F217" s="3">
        <v>74</v>
      </c>
      <c r="G217" s="4">
        <v>40513.429861111108</v>
      </c>
      <c r="H217" s="3">
        <v>4</v>
      </c>
      <c r="I217" s="5">
        <v>16</v>
      </c>
      <c r="J217" t="s">
        <v>878</v>
      </c>
      <c r="K217" t="s">
        <v>4497</v>
      </c>
      <c r="L217">
        <v>536390</v>
      </c>
      <c r="M217" s="2">
        <v>22963</v>
      </c>
      <c r="N217">
        <v>0.72</v>
      </c>
      <c r="O217" s="6">
        <v>48</v>
      </c>
      <c r="P217" s="3">
        <v>0.05</v>
      </c>
      <c r="Q217" t="s">
        <v>3</v>
      </c>
      <c r="R217" s="7">
        <f t="shared" si="9"/>
        <v>34.56</v>
      </c>
      <c r="S217" s="7">
        <f t="shared" si="10"/>
        <v>1.7280000000000002</v>
      </c>
      <c r="T217">
        <f>Table1[[#This Row],[Total price]]-Table1[[#This Row],[Discount Amount]]</f>
        <v>32.832000000000001</v>
      </c>
      <c r="U217">
        <f t="shared" si="11"/>
        <v>1575.9360000000001</v>
      </c>
    </row>
    <row r="218" spans="1:21">
      <c r="A218">
        <v>217</v>
      </c>
      <c r="B218" s="3" t="s">
        <v>2643</v>
      </c>
      <c r="C218" s="3" t="s">
        <v>1352</v>
      </c>
      <c r="D218" s="3" t="s">
        <v>3114</v>
      </c>
      <c r="E218" s="3" t="s">
        <v>3115</v>
      </c>
      <c r="F218" s="3">
        <v>74</v>
      </c>
      <c r="G218" s="4">
        <v>40513.429861111108</v>
      </c>
      <c r="H218" s="3">
        <v>4</v>
      </c>
      <c r="I218" s="5">
        <v>6</v>
      </c>
      <c r="J218" t="s">
        <v>373</v>
      </c>
      <c r="K218" t="s">
        <v>4497</v>
      </c>
      <c r="L218">
        <v>536390</v>
      </c>
      <c r="M218" s="2">
        <v>22968</v>
      </c>
      <c r="N218">
        <v>8.5</v>
      </c>
      <c r="O218" s="6">
        <v>8</v>
      </c>
      <c r="P218" s="3">
        <v>7.0000000000000007E-2</v>
      </c>
      <c r="Q218" t="s">
        <v>3</v>
      </c>
      <c r="R218" s="7">
        <f t="shared" si="9"/>
        <v>68</v>
      </c>
      <c r="S218" s="7">
        <f t="shared" si="10"/>
        <v>4.7600000000000007</v>
      </c>
      <c r="T218">
        <f>Table1[[#This Row],[Total price]]-Table1[[#This Row],[Discount Amount]]</f>
        <v>63.24</v>
      </c>
      <c r="U218">
        <f t="shared" si="11"/>
        <v>505.92</v>
      </c>
    </row>
    <row r="219" spans="1:21">
      <c r="A219">
        <v>218</v>
      </c>
      <c r="B219" s="3" t="s">
        <v>1854</v>
      </c>
      <c r="C219" s="3" t="s">
        <v>2612</v>
      </c>
      <c r="D219" s="3" t="s">
        <v>2866</v>
      </c>
      <c r="E219" s="3" t="s">
        <v>3116</v>
      </c>
      <c r="F219" s="3">
        <v>75</v>
      </c>
      <c r="G219" s="4">
        <v>40513.429861111108</v>
      </c>
      <c r="H219" s="3">
        <v>4</v>
      </c>
      <c r="I219" s="5">
        <v>3</v>
      </c>
      <c r="J219" t="s">
        <v>427</v>
      </c>
      <c r="K219" t="s">
        <v>4497</v>
      </c>
      <c r="L219">
        <v>536390</v>
      </c>
      <c r="M219" s="2" t="s">
        <v>426</v>
      </c>
      <c r="N219">
        <v>0.64</v>
      </c>
      <c r="O219" s="6">
        <v>144</v>
      </c>
      <c r="P219" s="3">
        <v>0.1</v>
      </c>
      <c r="Q219" t="s">
        <v>3</v>
      </c>
      <c r="R219" s="7">
        <f t="shared" si="9"/>
        <v>92.16</v>
      </c>
      <c r="S219" s="7">
        <f t="shared" si="10"/>
        <v>9.2159999999999993</v>
      </c>
      <c r="T219">
        <f>Table1[[#This Row],[Total price]]-Table1[[#This Row],[Discount Amount]]</f>
        <v>82.944000000000003</v>
      </c>
      <c r="U219">
        <f t="shared" si="11"/>
        <v>11943.936</v>
      </c>
    </row>
    <row r="220" spans="1:21">
      <c r="A220">
        <v>219</v>
      </c>
      <c r="B220" s="3" t="s">
        <v>2642</v>
      </c>
      <c r="C220" s="3" t="s">
        <v>2641</v>
      </c>
      <c r="D220" s="3" t="s">
        <v>3117</v>
      </c>
      <c r="E220" s="3" t="s">
        <v>3118</v>
      </c>
      <c r="F220" s="3">
        <v>75</v>
      </c>
      <c r="G220" s="4">
        <v>40513.429861111108</v>
      </c>
      <c r="H220" s="3">
        <v>4</v>
      </c>
      <c r="I220" s="5">
        <v>7</v>
      </c>
      <c r="J220" t="s">
        <v>63</v>
      </c>
      <c r="K220" t="s">
        <v>4497</v>
      </c>
      <c r="L220">
        <v>536390</v>
      </c>
      <c r="M220" s="2">
        <v>22910</v>
      </c>
      <c r="N220">
        <v>2.5499999999999998</v>
      </c>
      <c r="O220" s="6">
        <v>40</v>
      </c>
      <c r="P220" s="3">
        <v>7.0000000000000007E-2</v>
      </c>
      <c r="Q220" t="s">
        <v>4</v>
      </c>
      <c r="R220" s="7">
        <f t="shared" si="9"/>
        <v>102</v>
      </c>
      <c r="S220" s="7">
        <f t="shared" si="10"/>
        <v>7.1400000000000006</v>
      </c>
      <c r="T220">
        <f>Table1[[#This Row],[Total price]]-Table1[[#This Row],[Discount Amount]]</f>
        <v>94.86</v>
      </c>
      <c r="U220">
        <f t="shared" si="11"/>
        <v>3794.4</v>
      </c>
    </row>
    <row r="221" spans="1:21">
      <c r="A221">
        <v>220</v>
      </c>
      <c r="B221" s="3" t="s">
        <v>2640</v>
      </c>
      <c r="C221" s="3" t="s">
        <v>1119</v>
      </c>
      <c r="D221" s="3" t="s">
        <v>2866</v>
      </c>
      <c r="E221" s="3" t="s">
        <v>3119</v>
      </c>
      <c r="F221" s="3">
        <v>75</v>
      </c>
      <c r="G221" s="4">
        <v>40513.429861111108</v>
      </c>
      <c r="H221" s="3">
        <v>4</v>
      </c>
      <c r="I221" s="5">
        <v>15</v>
      </c>
      <c r="J221" t="s">
        <v>542</v>
      </c>
      <c r="K221" t="s">
        <v>4497</v>
      </c>
      <c r="L221">
        <v>536390</v>
      </c>
      <c r="M221" s="2">
        <v>20668</v>
      </c>
      <c r="N221">
        <v>0.1</v>
      </c>
      <c r="O221" s="6">
        <v>288</v>
      </c>
      <c r="P221" s="3">
        <v>0.2</v>
      </c>
      <c r="Q221" t="s">
        <v>4</v>
      </c>
      <c r="R221" s="7">
        <f t="shared" si="9"/>
        <v>28.8</v>
      </c>
      <c r="S221" s="7">
        <f t="shared" si="10"/>
        <v>5.7600000000000007</v>
      </c>
      <c r="T221">
        <f>Table1[[#This Row],[Total price]]-Table1[[#This Row],[Discount Amount]]</f>
        <v>23.04</v>
      </c>
      <c r="U221">
        <f t="shared" si="11"/>
        <v>6635.5199999999995</v>
      </c>
    </row>
    <row r="222" spans="1:21">
      <c r="A222">
        <v>221</v>
      </c>
      <c r="B222" s="3" t="s">
        <v>2639</v>
      </c>
      <c r="C222" s="3" t="s">
        <v>1984</v>
      </c>
      <c r="D222" s="3" t="s">
        <v>2866</v>
      </c>
      <c r="E222" s="3" t="s">
        <v>3120</v>
      </c>
      <c r="F222" s="3">
        <v>76</v>
      </c>
      <c r="G222" s="4">
        <v>40513.429861111108</v>
      </c>
      <c r="H222" s="3">
        <v>4</v>
      </c>
      <c r="I222" s="5">
        <v>12</v>
      </c>
      <c r="J222" t="s">
        <v>24</v>
      </c>
      <c r="K222" t="s">
        <v>4497</v>
      </c>
      <c r="L222">
        <v>536390</v>
      </c>
      <c r="M222" s="2" t="s">
        <v>23</v>
      </c>
      <c r="N222">
        <v>2.5499999999999998</v>
      </c>
      <c r="O222" s="6">
        <v>64</v>
      </c>
      <c r="P222" s="3">
        <v>0.05</v>
      </c>
      <c r="Q222" t="s">
        <v>4</v>
      </c>
      <c r="R222" s="7">
        <f t="shared" si="9"/>
        <v>163.19999999999999</v>
      </c>
      <c r="S222" s="7">
        <f t="shared" si="10"/>
        <v>8.16</v>
      </c>
      <c r="T222">
        <f>Table1[[#This Row],[Total price]]-Table1[[#This Row],[Discount Amount]]</f>
        <v>155.04</v>
      </c>
      <c r="U222">
        <f t="shared" si="11"/>
        <v>9922.56</v>
      </c>
    </row>
    <row r="223" spans="1:21">
      <c r="A223">
        <v>222</v>
      </c>
      <c r="B223" s="3" t="s">
        <v>2638</v>
      </c>
      <c r="C223" s="3" t="s">
        <v>2149</v>
      </c>
      <c r="D223" s="3" t="s">
        <v>2866</v>
      </c>
      <c r="E223" s="3" t="s">
        <v>3121</v>
      </c>
      <c r="F223" s="3">
        <v>76</v>
      </c>
      <c r="G223" s="4">
        <v>40513.429861111108</v>
      </c>
      <c r="H223" s="3">
        <v>4</v>
      </c>
      <c r="I223" s="5">
        <v>11</v>
      </c>
      <c r="J223" t="s">
        <v>75</v>
      </c>
      <c r="K223" t="s">
        <v>4497</v>
      </c>
      <c r="L223">
        <v>536390</v>
      </c>
      <c r="M223" s="2">
        <v>22197</v>
      </c>
      <c r="N223">
        <v>0.72</v>
      </c>
      <c r="O223" s="6">
        <v>100</v>
      </c>
      <c r="P223" s="3">
        <v>0.1</v>
      </c>
      <c r="Q223" t="s">
        <v>4</v>
      </c>
      <c r="R223" s="7">
        <f t="shared" si="9"/>
        <v>72</v>
      </c>
      <c r="S223" s="7">
        <f t="shared" si="10"/>
        <v>7.2</v>
      </c>
      <c r="T223">
        <f>Table1[[#This Row],[Total price]]-Table1[[#This Row],[Discount Amount]]</f>
        <v>64.8</v>
      </c>
      <c r="U223">
        <f t="shared" si="11"/>
        <v>6480</v>
      </c>
    </row>
    <row r="224" spans="1:21">
      <c r="A224">
        <v>223</v>
      </c>
      <c r="B224" s="3" t="s">
        <v>2528</v>
      </c>
      <c r="C224" s="3" t="s">
        <v>1992</v>
      </c>
      <c r="D224" s="3" t="s">
        <v>2866</v>
      </c>
      <c r="E224" s="3" t="s">
        <v>3122</v>
      </c>
      <c r="F224" s="3">
        <v>76</v>
      </c>
      <c r="G224" s="4">
        <v>40513.429861111108</v>
      </c>
      <c r="H224" s="3">
        <v>4</v>
      </c>
      <c r="I224" s="5">
        <v>5</v>
      </c>
      <c r="J224" t="s">
        <v>216</v>
      </c>
      <c r="K224" t="s">
        <v>4497</v>
      </c>
      <c r="L224">
        <v>536390</v>
      </c>
      <c r="M224" s="2">
        <v>22198</v>
      </c>
      <c r="N224">
        <v>1.45</v>
      </c>
      <c r="O224" s="6">
        <v>50</v>
      </c>
      <c r="P224" s="3">
        <v>7.0000000000000007E-2</v>
      </c>
      <c r="Q224" t="s">
        <v>4</v>
      </c>
      <c r="R224" s="7">
        <f t="shared" si="9"/>
        <v>72.5</v>
      </c>
      <c r="S224" s="7">
        <f t="shared" si="10"/>
        <v>5.0750000000000002</v>
      </c>
      <c r="T224">
        <f>Table1[[#This Row],[Total price]]-Table1[[#This Row],[Discount Amount]]</f>
        <v>67.424999999999997</v>
      </c>
      <c r="U224">
        <f t="shared" si="11"/>
        <v>3371.25</v>
      </c>
    </row>
    <row r="225" spans="1:21">
      <c r="A225">
        <v>224</v>
      </c>
      <c r="B225" s="3" t="s">
        <v>1214</v>
      </c>
      <c r="C225" s="3" t="s">
        <v>1090</v>
      </c>
      <c r="D225" s="3" t="s">
        <v>2866</v>
      </c>
      <c r="E225" s="3" t="s">
        <v>3123</v>
      </c>
      <c r="F225" s="3">
        <v>77</v>
      </c>
      <c r="G225" s="4">
        <v>40513.429861111108</v>
      </c>
      <c r="H225" s="3">
        <v>4</v>
      </c>
      <c r="I225" s="5">
        <v>20</v>
      </c>
      <c r="J225" t="s">
        <v>13</v>
      </c>
      <c r="K225" t="s">
        <v>4497</v>
      </c>
      <c r="L225">
        <v>536390</v>
      </c>
      <c r="M225" s="2">
        <v>21533</v>
      </c>
      <c r="N225">
        <v>4.25</v>
      </c>
      <c r="O225" s="6">
        <v>12</v>
      </c>
      <c r="P225" s="3">
        <v>7.0000000000000007E-2</v>
      </c>
      <c r="Q225" t="s">
        <v>4</v>
      </c>
      <c r="R225" s="7">
        <f t="shared" si="9"/>
        <v>51</v>
      </c>
      <c r="S225" s="7">
        <f t="shared" si="10"/>
        <v>3.5700000000000003</v>
      </c>
      <c r="T225">
        <f>Table1[[#This Row],[Total price]]-Table1[[#This Row],[Discount Amount]]</f>
        <v>47.43</v>
      </c>
      <c r="U225">
        <f t="shared" si="11"/>
        <v>569.16</v>
      </c>
    </row>
    <row r="226" spans="1:21">
      <c r="A226">
        <v>225</v>
      </c>
      <c r="B226" s="3" t="s">
        <v>2637</v>
      </c>
      <c r="C226" s="3" t="s">
        <v>2558</v>
      </c>
      <c r="D226" s="3" t="s">
        <v>2866</v>
      </c>
      <c r="E226" s="3" t="s">
        <v>3124</v>
      </c>
      <c r="F226" s="3">
        <v>77</v>
      </c>
      <c r="G226" s="4">
        <v>40513.429861111108</v>
      </c>
      <c r="H226" s="3">
        <v>4</v>
      </c>
      <c r="I226" s="5">
        <v>24</v>
      </c>
      <c r="J226" t="s">
        <v>413</v>
      </c>
      <c r="K226" t="s">
        <v>4497</v>
      </c>
      <c r="L226">
        <v>536390</v>
      </c>
      <c r="M226" s="2">
        <v>21080</v>
      </c>
      <c r="N226">
        <v>0.64</v>
      </c>
      <c r="O226" s="6">
        <v>96</v>
      </c>
      <c r="P226" s="3">
        <v>0.1</v>
      </c>
      <c r="Q226" t="s">
        <v>4</v>
      </c>
      <c r="R226" s="7">
        <f t="shared" si="9"/>
        <v>61.44</v>
      </c>
      <c r="S226" s="7">
        <f t="shared" si="10"/>
        <v>6.1440000000000001</v>
      </c>
      <c r="T226">
        <f>Table1[[#This Row],[Total price]]-Table1[[#This Row],[Discount Amount]]</f>
        <v>55.295999999999999</v>
      </c>
      <c r="U226">
        <f t="shared" si="11"/>
        <v>5308.4160000000002</v>
      </c>
    </row>
    <row r="227" spans="1:21">
      <c r="A227">
        <v>226</v>
      </c>
      <c r="B227" s="3" t="s">
        <v>2636</v>
      </c>
      <c r="C227" s="3" t="s">
        <v>2246</v>
      </c>
      <c r="D227" s="3" t="s">
        <v>2866</v>
      </c>
      <c r="E227" s="3" t="s">
        <v>3125</v>
      </c>
      <c r="F227" s="3">
        <v>77</v>
      </c>
      <c r="G227" s="4">
        <v>40513.429861111108</v>
      </c>
      <c r="H227" s="3">
        <v>4</v>
      </c>
      <c r="I227" s="5">
        <v>26</v>
      </c>
      <c r="J227" t="s">
        <v>412</v>
      </c>
      <c r="K227" t="s">
        <v>4497</v>
      </c>
      <c r="L227">
        <v>536390</v>
      </c>
      <c r="M227" s="2">
        <v>21094</v>
      </c>
      <c r="N227">
        <v>0.64</v>
      </c>
      <c r="O227" s="6">
        <v>96</v>
      </c>
      <c r="P227" s="3">
        <v>0.2</v>
      </c>
      <c r="Q227" t="s">
        <v>4</v>
      </c>
      <c r="R227" s="7">
        <f t="shared" si="9"/>
        <v>61.44</v>
      </c>
      <c r="S227" s="7">
        <f t="shared" si="10"/>
        <v>12.288</v>
      </c>
      <c r="T227">
        <f>Table1[[#This Row],[Total price]]-Table1[[#This Row],[Discount Amount]]</f>
        <v>49.152000000000001</v>
      </c>
      <c r="U227">
        <f t="shared" si="11"/>
        <v>4718.5920000000006</v>
      </c>
    </row>
    <row r="228" spans="1:21">
      <c r="A228">
        <v>227</v>
      </c>
      <c r="B228" s="3" t="s">
        <v>2635</v>
      </c>
      <c r="C228" s="3" t="s">
        <v>1374</v>
      </c>
      <c r="D228" s="3" t="s">
        <v>2866</v>
      </c>
      <c r="E228" s="3" t="s">
        <v>3126</v>
      </c>
      <c r="F228" s="3">
        <v>77</v>
      </c>
      <c r="G228" s="4">
        <v>40513.429861111108</v>
      </c>
      <c r="H228" s="3">
        <v>4</v>
      </c>
      <c r="I228" s="5">
        <v>25</v>
      </c>
      <c r="J228" t="s">
        <v>527</v>
      </c>
      <c r="K228" t="s">
        <v>4497</v>
      </c>
      <c r="L228">
        <v>536390</v>
      </c>
      <c r="M228" s="2">
        <v>21086</v>
      </c>
      <c r="N228">
        <v>0.65</v>
      </c>
      <c r="O228" s="6">
        <v>48</v>
      </c>
      <c r="P228" s="3">
        <v>0.2</v>
      </c>
      <c r="Q228" t="s">
        <v>4</v>
      </c>
      <c r="R228" s="7">
        <f t="shared" si="9"/>
        <v>31.200000000000003</v>
      </c>
      <c r="S228" s="7">
        <f t="shared" si="10"/>
        <v>6.2400000000000011</v>
      </c>
      <c r="T228">
        <f>Table1[[#This Row],[Total price]]-Table1[[#This Row],[Discount Amount]]</f>
        <v>24.96</v>
      </c>
      <c r="U228">
        <f t="shared" si="11"/>
        <v>1198.08</v>
      </c>
    </row>
    <row r="229" spans="1:21">
      <c r="A229">
        <v>228</v>
      </c>
      <c r="B229" s="3" t="s">
        <v>2316</v>
      </c>
      <c r="C229" s="3" t="s">
        <v>894</v>
      </c>
      <c r="D229" s="3" t="s">
        <v>3127</v>
      </c>
      <c r="E229" s="3" t="s">
        <v>3128</v>
      </c>
      <c r="F229" s="3">
        <v>78</v>
      </c>
      <c r="G229" s="4">
        <v>40513.429861111108</v>
      </c>
      <c r="H229" s="3">
        <v>4</v>
      </c>
      <c r="I229" s="5">
        <v>17</v>
      </c>
      <c r="J229" t="s">
        <v>559</v>
      </c>
      <c r="K229" t="s">
        <v>4497</v>
      </c>
      <c r="L229">
        <v>536390</v>
      </c>
      <c r="M229" s="2">
        <v>21786</v>
      </c>
      <c r="N229">
        <v>0.32</v>
      </c>
      <c r="O229" s="6">
        <v>144</v>
      </c>
      <c r="P229" s="3">
        <v>7.0000000000000007E-2</v>
      </c>
      <c r="Q229" t="s">
        <v>4</v>
      </c>
      <c r="R229" s="7">
        <f t="shared" si="9"/>
        <v>46.08</v>
      </c>
      <c r="S229" s="7">
        <f t="shared" si="10"/>
        <v>3.2256</v>
      </c>
      <c r="T229">
        <f>Table1[[#This Row],[Total price]]-Table1[[#This Row],[Discount Amount]]</f>
        <v>42.854399999999998</v>
      </c>
      <c r="U229">
        <f t="shared" si="11"/>
        <v>6171.0335999999998</v>
      </c>
    </row>
    <row r="230" spans="1:21">
      <c r="A230">
        <v>229</v>
      </c>
      <c r="B230" s="3" t="s">
        <v>2634</v>
      </c>
      <c r="C230" s="3" t="s">
        <v>2633</v>
      </c>
      <c r="D230" s="3" t="s">
        <v>2866</v>
      </c>
      <c r="E230" s="3" t="s">
        <v>3129</v>
      </c>
      <c r="F230" s="3">
        <v>78</v>
      </c>
      <c r="G230" s="4">
        <v>40513.429861111108</v>
      </c>
      <c r="H230" s="3">
        <v>4</v>
      </c>
      <c r="I230" s="5">
        <v>19</v>
      </c>
      <c r="J230" t="s">
        <v>214</v>
      </c>
      <c r="K230" t="s">
        <v>4497</v>
      </c>
      <c r="L230">
        <v>536390</v>
      </c>
      <c r="M230" s="2">
        <v>22654</v>
      </c>
      <c r="N230">
        <v>4.95</v>
      </c>
      <c r="O230" s="6">
        <v>100</v>
      </c>
      <c r="P230" s="3">
        <v>0.2</v>
      </c>
      <c r="Q230" t="s">
        <v>4</v>
      </c>
      <c r="R230" s="7">
        <f t="shared" si="9"/>
        <v>495</v>
      </c>
      <c r="S230" s="7">
        <f t="shared" si="10"/>
        <v>99</v>
      </c>
      <c r="T230">
        <f>Table1[[#This Row],[Total price]]-Table1[[#This Row],[Discount Amount]]</f>
        <v>396</v>
      </c>
      <c r="U230">
        <f t="shared" si="11"/>
        <v>39600</v>
      </c>
    </row>
    <row r="231" spans="1:21">
      <c r="A231">
        <v>230</v>
      </c>
      <c r="B231" s="3" t="s">
        <v>2348</v>
      </c>
      <c r="C231" s="3" t="s">
        <v>1268</v>
      </c>
      <c r="D231" s="3" t="s">
        <v>2866</v>
      </c>
      <c r="E231" s="3" t="s">
        <v>3130</v>
      </c>
      <c r="F231" s="3">
        <v>78</v>
      </c>
      <c r="G231" s="4">
        <v>40513.429861111108</v>
      </c>
      <c r="H231" s="3">
        <v>4</v>
      </c>
      <c r="I231" s="5">
        <v>18</v>
      </c>
      <c r="J231" t="s">
        <v>78</v>
      </c>
      <c r="K231" t="s">
        <v>4497</v>
      </c>
      <c r="L231">
        <v>536390</v>
      </c>
      <c r="M231" s="2">
        <v>21485</v>
      </c>
      <c r="N231">
        <v>4.25</v>
      </c>
      <c r="O231" s="6">
        <v>100</v>
      </c>
      <c r="P231" s="3">
        <v>0.1</v>
      </c>
      <c r="Q231" t="s">
        <v>4</v>
      </c>
      <c r="R231" s="7">
        <f t="shared" si="9"/>
        <v>425</v>
      </c>
      <c r="S231" s="7">
        <f t="shared" si="10"/>
        <v>42.5</v>
      </c>
      <c r="T231">
        <f>Table1[[#This Row],[Total price]]-Table1[[#This Row],[Discount Amount]]</f>
        <v>382.5</v>
      </c>
      <c r="U231">
        <f t="shared" si="11"/>
        <v>38250</v>
      </c>
    </row>
    <row r="232" spans="1:21">
      <c r="A232">
        <v>231</v>
      </c>
      <c r="B232" s="3" t="s">
        <v>2632</v>
      </c>
      <c r="C232" s="3" t="s">
        <v>1264</v>
      </c>
      <c r="D232" s="3" t="s">
        <v>3131</v>
      </c>
      <c r="E232" s="3" t="s">
        <v>3132</v>
      </c>
      <c r="F232" s="3">
        <v>78</v>
      </c>
      <c r="G232" s="4">
        <v>40513.429861111108</v>
      </c>
      <c r="H232" s="3">
        <v>4</v>
      </c>
      <c r="I232" s="5">
        <v>14</v>
      </c>
      <c r="J232" t="s">
        <v>442</v>
      </c>
      <c r="K232" t="s">
        <v>4497</v>
      </c>
      <c r="L232">
        <v>536390</v>
      </c>
      <c r="M232" s="2" t="s">
        <v>441</v>
      </c>
      <c r="N232">
        <v>3.39</v>
      </c>
      <c r="O232" s="6">
        <v>100</v>
      </c>
      <c r="P232" s="3">
        <v>0.1</v>
      </c>
      <c r="Q232" t="s">
        <v>4</v>
      </c>
      <c r="R232" s="7">
        <f t="shared" si="9"/>
        <v>339</v>
      </c>
      <c r="S232" s="7">
        <f t="shared" si="10"/>
        <v>33.9</v>
      </c>
      <c r="T232">
        <f>Table1[[#This Row],[Total price]]-Table1[[#This Row],[Discount Amount]]</f>
        <v>305.10000000000002</v>
      </c>
      <c r="U232">
        <f t="shared" si="11"/>
        <v>30510.000000000004</v>
      </c>
    </row>
    <row r="233" spans="1:21">
      <c r="A233">
        <v>232</v>
      </c>
      <c r="B233" s="3" t="s">
        <v>2631</v>
      </c>
      <c r="C233" s="3" t="s">
        <v>1998</v>
      </c>
      <c r="D233" s="3" t="s">
        <v>2866</v>
      </c>
      <c r="E233" s="3" t="s">
        <v>3133</v>
      </c>
      <c r="F233" s="3">
        <v>79</v>
      </c>
      <c r="G233" s="4">
        <v>40513.429861111108</v>
      </c>
      <c r="H233" s="3">
        <v>4</v>
      </c>
      <c r="I233" s="5">
        <v>9</v>
      </c>
      <c r="J233" t="s">
        <v>77</v>
      </c>
      <c r="K233" t="s">
        <v>4497</v>
      </c>
      <c r="L233">
        <v>536390</v>
      </c>
      <c r="M233" s="2" t="s">
        <v>76</v>
      </c>
      <c r="N233">
        <v>3.75</v>
      </c>
      <c r="O233" s="6">
        <v>100</v>
      </c>
      <c r="P233" s="3">
        <v>0.1</v>
      </c>
      <c r="Q233" t="s">
        <v>4</v>
      </c>
      <c r="R233" s="7">
        <f t="shared" si="9"/>
        <v>375</v>
      </c>
      <c r="S233" s="7">
        <f t="shared" si="10"/>
        <v>37.5</v>
      </c>
      <c r="T233">
        <f>Table1[[#This Row],[Total price]]-Table1[[#This Row],[Discount Amount]]</f>
        <v>337.5</v>
      </c>
      <c r="U233">
        <f t="shared" si="11"/>
        <v>33750</v>
      </c>
    </row>
    <row r="234" spans="1:21">
      <c r="A234">
        <v>233</v>
      </c>
      <c r="B234" s="3" t="s">
        <v>2630</v>
      </c>
      <c r="C234" s="3" t="s">
        <v>2629</v>
      </c>
      <c r="D234" s="3" t="s">
        <v>2866</v>
      </c>
      <c r="E234" s="3" t="s">
        <v>3134</v>
      </c>
      <c r="F234" s="3">
        <v>79</v>
      </c>
      <c r="G234" s="4">
        <v>40513.429861111108</v>
      </c>
      <c r="H234" s="3">
        <v>4</v>
      </c>
      <c r="I234" s="5">
        <v>17</v>
      </c>
      <c r="J234" t="s">
        <v>344</v>
      </c>
      <c r="K234" t="s">
        <v>4497</v>
      </c>
      <c r="L234">
        <v>536390</v>
      </c>
      <c r="M234" s="2">
        <v>22174</v>
      </c>
      <c r="N234">
        <v>1.48</v>
      </c>
      <c r="O234" s="6">
        <v>48</v>
      </c>
      <c r="P234" s="3">
        <v>0.05</v>
      </c>
      <c r="Q234" t="s">
        <v>4</v>
      </c>
      <c r="R234" s="7">
        <f t="shared" si="9"/>
        <v>71.039999999999992</v>
      </c>
      <c r="S234" s="7">
        <f t="shared" si="10"/>
        <v>3.5519999999999996</v>
      </c>
      <c r="T234">
        <f>Table1[[#This Row],[Total price]]-Table1[[#This Row],[Discount Amount]]</f>
        <v>67.488</v>
      </c>
      <c r="U234">
        <f t="shared" si="11"/>
        <v>3239.424</v>
      </c>
    </row>
    <row r="235" spans="1:21">
      <c r="A235">
        <v>234</v>
      </c>
      <c r="B235" s="3" t="s">
        <v>2628</v>
      </c>
      <c r="C235" s="3" t="s">
        <v>1004</v>
      </c>
      <c r="D235" s="3" t="s">
        <v>2866</v>
      </c>
      <c r="E235" s="3" t="s">
        <v>3135</v>
      </c>
      <c r="F235" s="3">
        <v>79</v>
      </c>
      <c r="G235" s="4">
        <v>40513.429861111108</v>
      </c>
      <c r="H235" s="3">
        <v>4</v>
      </c>
      <c r="I235" s="5">
        <v>6</v>
      </c>
      <c r="J235" t="s">
        <v>861</v>
      </c>
      <c r="K235" t="s">
        <v>4497</v>
      </c>
      <c r="L235">
        <v>536390</v>
      </c>
      <c r="M235" s="2">
        <v>22969</v>
      </c>
      <c r="N235">
        <v>1.25</v>
      </c>
      <c r="O235" s="6">
        <v>96</v>
      </c>
      <c r="P235" s="3">
        <v>0.1</v>
      </c>
      <c r="Q235" t="s">
        <v>4</v>
      </c>
      <c r="R235" s="7">
        <f t="shared" si="9"/>
        <v>120</v>
      </c>
      <c r="S235" s="7">
        <f t="shared" si="10"/>
        <v>12</v>
      </c>
      <c r="T235">
        <f>Table1[[#This Row],[Total price]]-Table1[[#This Row],[Discount Amount]]</f>
        <v>108</v>
      </c>
      <c r="U235">
        <f t="shared" si="11"/>
        <v>10368</v>
      </c>
    </row>
    <row r="236" spans="1:21">
      <c r="A236">
        <v>235</v>
      </c>
      <c r="B236" s="3" t="s">
        <v>2627</v>
      </c>
      <c r="C236" s="3" t="s">
        <v>1781</v>
      </c>
      <c r="D236" s="3" t="s">
        <v>2866</v>
      </c>
      <c r="E236" s="3" t="s">
        <v>3136</v>
      </c>
      <c r="F236" s="3">
        <v>79</v>
      </c>
      <c r="G236" s="4">
        <v>40513.429861111108</v>
      </c>
      <c r="H236" s="3">
        <v>4</v>
      </c>
      <c r="I236" s="5">
        <v>25</v>
      </c>
      <c r="J236" t="s">
        <v>38</v>
      </c>
      <c r="K236" t="s">
        <v>4497</v>
      </c>
      <c r="L236">
        <v>536390</v>
      </c>
      <c r="M236" s="2" t="s">
        <v>37</v>
      </c>
      <c r="N236">
        <v>1.65</v>
      </c>
      <c r="O236" s="6">
        <v>100</v>
      </c>
      <c r="P236" s="3">
        <v>7.0000000000000007E-2</v>
      </c>
      <c r="Q236" t="s">
        <v>4</v>
      </c>
      <c r="R236" s="7">
        <f t="shared" si="9"/>
        <v>165</v>
      </c>
      <c r="S236" s="7">
        <f t="shared" si="10"/>
        <v>11.55</v>
      </c>
      <c r="T236">
        <f>Table1[[#This Row],[Total price]]-Table1[[#This Row],[Discount Amount]]</f>
        <v>153.44999999999999</v>
      </c>
      <c r="U236">
        <f t="shared" si="11"/>
        <v>15344.999999999998</v>
      </c>
    </row>
    <row r="237" spans="1:21">
      <c r="A237">
        <v>236</v>
      </c>
      <c r="B237" s="3" t="s">
        <v>2626</v>
      </c>
      <c r="C237" s="3" t="s">
        <v>2076</v>
      </c>
      <c r="D237" s="3" t="s">
        <v>2866</v>
      </c>
      <c r="E237" s="3" t="s">
        <v>3137</v>
      </c>
      <c r="F237" s="3">
        <v>80</v>
      </c>
      <c r="G237" s="4">
        <v>40513.433333333334</v>
      </c>
      <c r="H237" s="3">
        <v>4</v>
      </c>
      <c r="I237" s="5">
        <v>26</v>
      </c>
      <c r="J237" t="s">
        <v>209</v>
      </c>
      <c r="K237" t="s">
        <v>4497</v>
      </c>
      <c r="L237" t="s">
        <v>884</v>
      </c>
      <c r="M237" s="2">
        <v>22556</v>
      </c>
      <c r="N237">
        <v>1.65</v>
      </c>
      <c r="O237" s="6">
        <v>50</v>
      </c>
      <c r="P237" s="3">
        <v>0.1</v>
      </c>
      <c r="Q237" t="s">
        <v>4</v>
      </c>
      <c r="R237" s="7">
        <f t="shared" si="9"/>
        <v>82.5</v>
      </c>
      <c r="S237" s="7">
        <f t="shared" si="10"/>
        <v>8.25</v>
      </c>
      <c r="T237">
        <f>Table1[[#This Row],[Total price]]-Table1[[#This Row],[Discount Amount]]</f>
        <v>74.25</v>
      </c>
      <c r="U237">
        <f t="shared" si="11"/>
        <v>3712.5</v>
      </c>
    </row>
    <row r="238" spans="1:21">
      <c r="A238">
        <v>237</v>
      </c>
      <c r="B238" s="3" t="s">
        <v>2625</v>
      </c>
      <c r="C238" s="3" t="s">
        <v>1650</v>
      </c>
      <c r="D238" s="3" t="s">
        <v>2866</v>
      </c>
      <c r="E238" s="3" t="s">
        <v>3138</v>
      </c>
      <c r="F238" s="3">
        <v>80</v>
      </c>
      <c r="G238" s="4">
        <v>40513.433333333334</v>
      </c>
      <c r="H238" s="3">
        <v>4</v>
      </c>
      <c r="I238" s="5">
        <v>24</v>
      </c>
      <c r="J238" t="s">
        <v>451</v>
      </c>
      <c r="K238" t="s">
        <v>4497</v>
      </c>
      <c r="L238" t="s">
        <v>884</v>
      </c>
      <c r="M238" s="2">
        <v>21984</v>
      </c>
      <c r="N238">
        <v>0.28999999999999998</v>
      </c>
      <c r="O238" s="6">
        <v>50</v>
      </c>
      <c r="P238" s="3">
        <v>0.1</v>
      </c>
      <c r="Q238" t="s">
        <v>4</v>
      </c>
      <c r="R238" s="7">
        <f t="shared" si="9"/>
        <v>14.499999999999998</v>
      </c>
      <c r="S238" s="7">
        <f t="shared" si="10"/>
        <v>1.45</v>
      </c>
      <c r="T238">
        <f>Table1[[#This Row],[Total price]]-Table1[[#This Row],[Discount Amount]]</f>
        <v>13.049999999999999</v>
      </c>
      <c r="U238">
        <f t="shared" si="11"/>
        <v>652.5</v>
      </c>
    </row>
    <row r="239" spans="1:21">
      <c r="A239">
        <v>238</v>
      </c>
      <c r="B239" s="3" t="s">
        <v>1547</v>
      </c>
      <c r="C239" s="3" t="s">
        <v>1418</v>
      </c>
      <c r="D239" s="3" t="s">
        <v>2866</v>
      </c>
      <c r="E239" s="3" t="s">
        <v>3139</v>
      </c>
      <c r="F239" s="3">
        <v>80</v>
      </c>
      <c r="G239" s="4">
        <v>40513.433333333334</v>
      </c>
      <c r="H239" s="3">
        <v>4</v>
      </c>
      <c r="I239" s="5">
        <v>17</v>
      </c>
      <c r="J239" t="s">
        <v>383</v>
      </c>
      <c r="K239" t="s">
        <v>4497</v>
      </c>
      <c r="L239" t="s">
        <v>884</v>
      </c>
      <c r="M239" s="2">
        <v>21983</v>
      </c>
      <c r="N239">
        <v>0.28999999999999998</v>
      </c>
      <c r="O239" s="6">
        <v>70</v>
      </c>
      <c r="P239" s="3">
        <v>0.2</v>
      </c>
      <c r="Q239" t="s">
        <v>4</v>
      </c>
      <c r="R239" s="7">
        <f t="shared" si="9"/>
        <v>20.299999999999997</v>
      </c>
      <c r="S239" s="7">
        <f t="shared" si="10"/>
        <v>4.0599999999999996</v>
      </c>
      <c r="T239">
        <f>Table1[[#This Row],[Total price]]-Table1[[#This Row],[Discount Amount]]</f>
        <v>16.239999999999998</v>
      </c>
      <c r="U239">
        <f t="shared" si="11"/>
        <v>1136.8</v>
      </c>
    </row>
    <row r="240" spans="1:21">
      <c r="A240">
        <v>239</v>
      </c>
      <c r="B240" s="3" t="s">
        <v>2624</v>
      </c>
      <c r="C240" s="3" t="s">
        <v>2623</v>
      </c>
      <c r="D240" s="3" t="s">
        <v>2866</v>
      </c>
      <c r="E240" s="3" t="s">
        <v>3140</v>
      </c>
      <c r="F240" s="3">
        <v>81</v>
      </c>
      <c r="G240" s="4">
        <v>40513.433333333334</v>
      </c>
      <c r="H240" s="3">
        <v>3</v>
      </c>
      <c r="I240" s="5">
        <v>10</v>
      </c>
      <c r="J240" t="s">
        <v>259</v>
      </c>
      <c r="K240" t="s">
        <v>4497</v>
      </c>
      <c r="L240" t="s">
        <v>884</v>
      </c>
      <c r="M240" s="2">
        <v>21980</v>
      </c>
      <c r="N240">
        <v>0.28999999999999998</v>
      </c>
      <c r="O240" s="6">
        <v>200</v>
      </c>
      <c r="P240" s="3">
        <v>0.2</v>
      </c>
      <c r="Q240" t="s">
        <v>4</v>
      </c>
      <c r="R240" s="7">
        <f t="shared" si="9"/>
        <v>57.999999999999993</v>
      </c>
      <c r="S240" s="7">
        <f t="shared" si="10"/>
        <v>11.6</v>
      </c>
      <c r="T240">
        <f>Table1[[#This Row],[Total price]]-Table1[[#This Row],[Discount Amount]]</f>
        <v>46.399999999999991</v>
      </c>
      <c r="U240">
        <f t="shared" si="11"/>
        <v>9279.9999999999982</v>
      </c>
    </row>
    <row r="241" spans="1:21">
      <c r="A241">
        <v>240</v>
      </c>
      <c r="B241" s="3" t="s">
        <v>2622</v>
      </c>
      <c r="C241" s="3" t="s">
        <v>994</v>
      </c>
      <c r="D241" s="3" t="s">
        <v>2866</v>
      </c>
      <c r="E241" s="3" t="s">
        <v>3141</v>
      </c>
      <c r="F241" s="3">
        <v>81</v>
      </c>
      <c r="G241" s="4">
        <v>40513.433333333334</v>
      </c>
      <c r="H241" s="3">
        <v>4</v>
      </c>
      <c r="I241" s="5">
        <v>23</v>
      </c>
      <c r="J241" t="s">
        <v>429</v>
      </c>
      <c r="K241" t="s">
        <v>4497</v>
      </c>
      <c r="L241" t="s">
        <v>884</v>
      </c>
      <c r="M241" s="2">
        <v>21484</v>
      </c>
      <c r="N241">
        <v>3.45</v>
      </c>
      <c r="O241" s="6">
        <v>300</v>
      </c>
      <c r="P241" s="3">
        <v>0.05</v>
      </c>
      <c r="Q241" t="s">
        <v>4</v>
      </c>
      <c r="R241" s="7">
        <f t="shared" si="9"/>
        <v>1035</v>
      </c>
      <c r="S241" s="7">
        <f t="shared" si="10"/>
        <v>51.75</v>
      </c>
      <c r="T241">
        <f>Table1[[#This Row],[Total price]]-Table1[[#This Row],[Discount Amount]]</f>
        <v>983.25</v>
      </c>
      <c r="U241">
        <f t="shared" si="11"/>
        <v>294975</v>
      </c>
    </row>
    <row r="242" spans="1:21">
      <c r="A242">
        <v>241</v>
      </c>
      <c r="B242" s="3" t="s">
        <v>1895</v>
      </c>
      <c r="C242" s="3" t="s">
        <v>1700</v>
      </c>
      <c r="D242" s="3" t="s">
        <v>2866</v>
      </c>
      <c r="E242" s="3" t="s">
        <v>3142</v>
      </c>
      <c r="F242" s="3">
        <v>81</v>
      </c>
      <c r="G242" s="4">
        <v>40513.433333333334</v>
      </c>
      <c r="H242" s="3">
        <v>4</v>
      </c>
      <c r="I242" s="5">
        <v>25</v>
      </c>
      <c r="J242" t="s">
        <v>325</v>
      </c>
      <c r="K242" t="s">
        <v>4497</v>
      </c>
      <c r="L242" t="s">
        <v>884</v>
      </c>
      <c r="M242" s="2">
        <v>22557</v>
      </c>
      <c r="N242">
        <v>1.65</v>
      </c>
      <c r="O242" s="6">
        <v>100</v>
      </c>
      <c r="P242" s="3">
        <v>0.05</v>
      </c>
      <c r="Q242" t="s">
        <v>4</v>
      </c>
      <c r="R242" s="7">
        <f t="shared" si="9"/>
        <v>165</v>
      </c>
      <c r="S242" s="7">
        <f t="shared" si="10"/>
        <v>8.25</v>
      </c>
      <c r="T242">
        <f>Table1[[#This Row],[Total price]]-Table1[[#This Row],[Discount Amount]]</f>
        <v>156.75</v>
      </c>
      <c r="U242">
        <f t="shared" si="11"/>
        <v>15675</v>
      </c>
    </row>
    <row r="243" spans="1:21">
      <c r="A243">
        <v>242</v>
      </c>
      <c r="B243" s="3" t="s">
        <v>2621</v>
      </c>
      <c r="C243" s="3" t="s">
        <v>1149</v>
      </c>
      <c r="D243" s="3" t="s">
        <v>2866</v>
      </c>
      <c r="E243" s="3" t="s">
        <v>3143</v>
      </c>
      <c r="F243" s="3">
        <v>82</v>
      </c>
      <c r="G243" s="4">
        <v>40513.433333333334</v>
      </c>
      <c r="H243" s="3">
        <v>4</v>
      </c>
      <c r="I243" s="5">
        <v>25</v>
      </c>
      <c r="J243" t="s">
        <v>190</v>
      </c>
      <c r="K243" t="s">
        <v>4497</v>
      </c>
      <c r="L243" t="s">
        <v>884</v>
      </c>
      <c r="M243" s="2">
        <v>22553</v>
      </c>
      <c r="N243">
        <v>1.65</v>
      </c>
      <c r="O243" s="6">
        <v>100</v>
      </c>
      <c r="P243" s="3">
        <v>0.1</v>
      </c>
      <c r="Q243" t="s">
        <v>4</v>
      </c>
      <c r="R243" s="7">
        <f t="shared" si="9"/>
        <v>165</v>
      </c>
      <c r="S243" s="7">
        <f t="shared" si="10"/>
        <v>16.5</v>
      </c>
      <c r="T243">
        <f>Table1[[#This Row],[Total price]]-Table1[[#This Row],[Discount Amount]]</f>
        <v>148.5</v>
      </c>
      <c r="U243">
        <f t="shared" si="11"/>
        <v>14850</v>
      </c>
    </row>
    <row r="244" spans="1:21">
      <c r="A244">
        <v>243</v>
      </c>
      <c r="B244" s="3" t="s">
        <v>2620</v>
      </c>
      <c r="C244" s="3" t="s">
        <v>2619</v>
      </c>
      <c r="D244" s="3" t="s">
        <v>2866</v>
      </c>
      <c r="E244" s="3" t="s">
        <v>3144</v>
      </c>
      <c r="F244" s="3">
        <v>82</v>
      </c>
      <c r="G244" s="4">
        <v>40513.436805555553</v>
      </c>
      <c r="H244" s="3">
        <v>4</v>
      </c>
      <c r="I244" s="5">
        <v>11</v>
      </c>
      <c r="J244" t="s">
        <v>447</v>
      </c>
      <c r="K244" t="s">
        <v>4497</v>
      </c>
      <c r="L244">
        <v>536392</v>
      </c>
      <c r="M244" s="2">
        <v>22150</v>
      </c>
      <c r="N244">
        <v>1.95</v>
      </c>
      <c r="O244" s="6">
        <v>50</v>
      </c>
      <c r="P244" s="3">
        <v>0.2</v>
      </c>
      <c r="Q244" t="s">
        <v>4</v>
      </c>
      <c r="R244" s="7">
        <f t="shared" si="9"/>
        <v>97.5</v>
      </c>
      <c r="S244" s="7">
        <f t="shared" si="10"/>
        <v>19.5</v>
      </c>
      <c r="T244">
        <f>Table1[[#This Row],[Total price]]-Table1[[#This Row],[Discount Amount]]</f>
        <v>78</v>
      </c>
      <c r="U244">
        <f t="shared" si="11"/>
        <v>3900</v>
      </c>
    </row>
    <row r="245" spans="1:21">
      <c r="A245">
        <v>244</v>
      </c>
      <c r="B245" s="3" t="s">
        <v>2618</v>
      </c>
      <c r="C245" s="3" t="s">
        <v>2617</v>
      </c>
      <c r="D245" s="3" t="s">
        <v>2866</v>
      </c>
      <c r="E245" s="3" t="s">
        <v>3145</v>
      </c>
      <c r="F245" s="3">
        <v>83</v>
      </c>
      <c r="G245" s="4">
        <v>40513.436805555553</v>
      </c>
      <c r="H245" s="3">
        <v>4</v>
      </c>
      <c r="I245" s="5">
        <v>20</v>
      </c>
      <c r="J245" t="s">
        <v>170</v>
      </c>
      <c r="K245" t="s">
        <v>4497</v>
      </c>
      <c r="L245">
        <v>536392</v>
      </c>
      <c r="M245" s="2">
        <v>22619</v>
      </c>
      <c r="N245">
        <v>3.75</v>
      </c>
      <c r="O245" s="6">
        <v>60</v>
      </c>
      <c r="P245" s="3">
        <v>0.2</v>
      </c>
      <c r="Q245" t="s">
        <v>4</v>
      </c>
      <c r="R245" s="7">
        <f t="shared" si="9"/>
        <v>225</v>
      </c>
      <c r="S245" s="7">
        <f t="shared" si="10"/>
        <v>45</v>
      </c>
      <c r="T245">
        <f>Table1[[#This Row],[Total price]]-Table1[[#This Row],[Discount Amount]]</f>
        <v>180</v>
      </c>
      <c r="U245">
        <f t="shared" si="11"/>
        <v>10800</v>
      </c>
    </row>
    <row r="246" spans="1:21">
      <c r="A246">
        <v>245</v>
      </c>
      <c r="B246" s="3" t="s">
        <v>2616</v>
      </c>
      <c r="C246" s="3" t="s">
        <v>1856</v>
      </c>
      <c r="D246" s="3" t="s">
        <v>2866</v>
      </c>
      <c r="E246" s="3" t="s">
        <v>3146</v>
      </c>
      <c r="F246" s="3">
        <v>83</v>
      </c>
      <c r="G246" s="4">
        <v>40513.436805555553</v>
      </c>
      <c r="H246" s="3">
        <v>4</v>
      </c>
      <c r="I246" s="5">
        <v>3</v>
      </c>
      <c r="J246" t="s">
        <v>329</v>
      </c>
      <c r="K246" t="s">
        <v>4497</v>
      </c>
      <c r="L246">
        <v>536392</v>
      </c>
      <c r="M246" s="2">
        <v>21891</v>
      </c>
      <c r="N246">
        <v>1.25</v>
      </c>
      <c r="O246" s="6">
        <v>12</v>
      </c>
      <c r="P246" s="3">
        <v>0.05</v>
      </c>
      <c r="Q246" t="s">
        <v>4</v>
      </c>
      <c r="R246" s="7">
        <f t="shared" si="9"/>
        <v>15</v>
      </c>
      <c r="S246" s="7">
        <f t="shared" si="10"/>
        <v>0.75</v>
      </c>
      <c r="T246">
        <f>Table1[[#This Row],[Total price]]-Table1[[#This Row],[Discount Amount]]</f>
        <v>14.25</v>
      </c>
      <c r="U246">
        <f t="shared" si="11"/>
        <v>171</v>
      </c>
    </row>
    <row r="247" spans="1:21">
      <c r="A247">
        <v>246</v>
      </c>
      <c r="B247" s="3" t="s">
        <v>2615</v>
      </c>
      <c r="C247" s="3" t="s">
        <v>1422</v>
      </c>
      <c r="D247" s="3" t="s">
        <v>2866</v>
      </c>
      <c r="E247" s="3" t="s">
        <v>3147</v>
      </c>
      <c r="F247" s="3">
        <v>84</v>
      </c>
      <c r="G247" s="4">
        <v>40513.436805555553</v>
      </c>
      <c r="H247" s="3">
        <v>3</v>
      </c>
      <c r="I247" s="5">
        <v>23</v>
      </c>
      <c r="J247" t="s">
        <v>62</v>
      </c>
      <c r="K247" t="s">
        <v>4497</v>
      </c>
      <c r="L247">
        <v>536392</v>
      </c>
      <c r="M247" s="2">
        <v>21889</v>
      </c>
      <c r="N247">
        <v>1.25</v>
      </c>
      <c r="O247" s="6">
        <v>12</v>
      </c>
      <c r="P247" s="3">
        <v>7.0000000000000007E-2</v>
      </c>
      <c r="Q247" t="s">
        <v>4</v>
      </c>
      <c r="R247" s="7">
        <f t="shared" si="9"/>
        <v>15</v>
      </c>
      <c r="S247" s="7">
        <f t="shared" si="10"/>
        <v>1.05</v>
      </c>
      <c r="T247">
        <f>Table1[[#This Row],[Total price]]-Table1[[#This Row],[Discount Amount]]</f>
        <v>13.95</v>
      </c>
      <c r="U247">
        <f t="shared" si="11"/>
        <v>167.39999999999998</v>
      </c>
    </row>
    <row r="248" spans="1:21">
      <c r="A248">
        <v>247</v>
      </c>
      <c r="B248" s="3" t="s">
        <v>2614</v>
      </c>
      <c r="C248" s="3" t="s">
        <v>1611</v>
      </c>
      <c r="D248" s="3" t="s">
        <v>2866</v>
      </c>
      <c r="E248" s="3" t="s">
        <v>3148</v>
      </c>
      <c r="F248" s="3">
        <v>84</v>
      </c>
      <c r="G248" s="4">
        <v>40513.436805555553</v>
      </c>
      <c r="H248" s="3">
        <v>4</v>
      </c>
      <c r="I248" s="5">
        <v>15</v>
      </c>
      <c r="J248" t="s">
        <v>720</v>
      </c>
      <c r="K248" t="s">
        <v>4497</v>
      </c>
      <c r="L248">
        <v>536392</v>
      </c>
      <c r="M248" s="2">
        <v>22827</v>
      </c>
      <c r="N248">
        <v>165</v>
      </c>
      <c r="O248" s="6">
        <v>1</v>
      </c>
      <c r="P248" s="3">
        <v>7.0000000000000007E-2</v>
      </c>
      <c r="Q248" t="s">
        <v>4</v>
      </c>
      <c r="R248" s="7">
        <f t="shared" si="9"/>
        <v>165</v>
      </c>
      <c r="S248" s="7">
        <f t="shared" si="10"/>
        <v>11.55</v>
      </c>
      <c r="T248">
        <f>Table1[[#This Row],[Total price]]-Table1[[#This Row],[Discount Amount]]</f>
        <v>153.44999999999999</v>
      </c>
      <c r="U248">
        <f t="shared" si="11"/>
        <v>153.44999999999999</v>
      </c>
    </row>
    <row r="249" spans="1:21">
      <c r="A249">
        <v>248</v>
      </c>
      <c r="B249" s="3" t="s">
        <v>2613</v>
      </c>
      <c r="C249" s="3" t="s">
        <v>2612</v>
      </c>
      <c r="D249" s="3" t="s">
        <v>2866</v>
      </c>
      <c r="E249" s="3" t="s">
        <v>3149</v>
      </c>
      <c r="F249" s="3">
        <v>85</v>
      </c>
      <c r="G249" s="4">
        <v>40513.436805555553</v>
      </c>
      <c r="H249" s="3">
        <v>4</v>
      </c>
      <c r="I249" s="5">
        <v>4</v>
      </c>
      <c r="J249" t="s">
        <v>716</v>
      </c>
      <c r="K249" t="s">
        <v>4497</v>
      </c>
      <c r="L249">
        <v>536392</v>
      </c>
      <c r="M249" s="2">
        <v>22127</v>
      </c>
      <c r="N249">
        <v>1.25</v>
      </c>
      <c r="O249" s="6">
        <v>12</v>
      </c>
      <c r="P249" s="3">
        <v>0.05</v>
      </c>
      <c r="Q249" t="s">
        <v>4</v>
      </c>
      <c r="R249" s="7">
        <f t="shared" si="9"/>
        <v>15</v>
      </c>
      <c r="S249" s="7">
        <f t="shared" si="10"/>
        <v>0.75</v>
      </c>
      <c r="T249">
        <f>Table1[[#This Row],[Total price]]-Table1[[#This Row],[Discount Amount]]</f>
        <v>14.25</v>
      </c>
      <c r="U249">
        <f t="shared" si="11"/>
        <v>171</v>
      </c>
    </row>
    <row r="250" spans="1:21">
      <c r="A250">
        <v>249</v>
      </c>
      <c r="B250" s="3" t="s">
        <v>2611</v>
      </c>
      <c r="C250" s="3" t="s">
        <v>2195</v>
      </c>
      <c r="D250" s="3" t="s">
        <v>2866</v>
      </c>
      <c r="E250" s="3" t="s">
        <v>3150</v>
      </c>
      <c r="F250" s="3">
        <v>85</v>
      </c>
      <c r="G250" s="4">
        <v>40513.436805555553</v>
      </c>
      <c r="H250" s="3">
        <v>4</v>
      </c>
      <c r="I250" s="5">
        <v>18</v>
      </c>
      <c r="J250" t="s">
        <v>804</v>
      </c>
      <c r="K250" t="s">
        <v>4497</v>
      </c>
      <c r="L250">
        <v>536392</v>
      </c>
      <c r="M250" s="2">
        <v>22128</v>
      </c>
      <c r="N250">
        <v>1.25</v>
      </c>
      <c r="O250" s="6">
        <v>12</v>
      </c>
      <c r="P250" s="3">
        <v>7.0000000000000007E-2</v>
      </c>
      <c r="Q250" t="s">
        <v>4</v>
      </c>
      <c r="R250" s="7">
        <f t="shared" si="9"/>
        <v>15</v>
      </c>
      <c r="S250" s="7">
        <f t="shared" si="10"/>
        <v>1.05</v>
      </c>
      <c r="T250">
        <f>Table1[[#This Row],[Total price]]-Table1[[#This Row],[Discount Amount]]</f>
        <v>13.95</v>
      </c>
      <c r="U250">
        <f t="shared" si="11"/>
        <v>167.39999999999998</v>
      </c>
    </row>
    <row r="251" spans="1:21">
      <c r="A251">
        <v>250</v>
      </c>
      <c r="B251" s="3" t="s">
        <v>2610</v>
      </c>
      <c r="C251" s="3" t="s">
        <v>1326</v>
      </c>
      <c r="D251" s="3" t="s">
        <v>3151</v>
      </c>
      <c r="E251" s="3" t="s">
        <v>3152</v>
      </c>
      <c r="F251" s="3">
        <v>86</v>
      </c>
      <c r="G251" s="4">
        <v>40513.436805555553</v>
      </c>
      <c r="H251" s="3">
        <v>4</v>
      </c>
      <c r="I251" s="5">
        <v>9</v>
      </c>
      <c r="J251" t="s">
        <v>337</v>
      </c>
      <c r="K251" t="s">
        <v>4497</v>
      </c>
      <c r="L251">
        <v>536392</v>
      </c>
      <c r="M251" s="2">
        <v>22502</v>
      </c>
      <c r="N251">
        <v>5.95</v>
      </c>
      <c r="O251" s="6">
        <v>4</v>
      </c>
      <c r="P251" s="3">
        <v>0.1</v>
      </c>
      <c r="Q251" t="s">
        <v>4</v>
      </c>
      <c r="R251" s="7">
        <f t="shared" si="9"/>
        <v>23.8</v>
      </c>
      <c r="S251" s="7">
        <f t="shared" si="10"/>
        <v>2.3800000000000003</v>
      </c>
      <c r="T251">
        <f>Table1[[#This Row],[Total price]]-Table1[[#This Row],[Discount Amount]]</f>
        <v>21.42</v>
      </c>
      <c r="U251">
        <f t="shared" si="11"/>
        <v>85.68</v>
      </c>
    </row>
    <row r="252" spans="1:21">
      <c r="A252">
        <v>251</v>
      </c>
      <c r="B252" s="3" t="s">
        <v>2609</v>
      </c>
      <c r="C252" s="3" t="s">
        <v>1088</v>
      </c>
      <c r="D252" s="3" t="s">
        <v>2866</v>
      </c>
      <c r="E252" s="3" t="s">
        <v>3153</v>
      </c>
      <c r="F252" s="3">
        <v>86</v>
      </c>
      <c r="G252" s="4">
        <v>40513.436805555553</v>
      </c>
      <c r="H252" s="3">
        <v>4</v>
      </c>
      <c r="I252" s="5">
        <v>23</v>
      </c>
      <c r="J252" t="s">
        <v>21</v>
      </c>
      <c r="K252" t="s">
        <v>4497</v>
      </c>
      <c r="L252">
        <v>536392</v>
      </c>
      <c r="M252" s="2">
        <v>84879</v>
      </c>
      <c r="N252">
        <v>1.69</v>
      </c>
      <c r="O252" s="6">
        <v>16</v>
      </c>
      <c r="P252" s="3">
        <v>7.0000000000000007E-2</v>
      </c>
      <c r="Q252" t="s">
        <v>4</v>
      </c>
      <c r="R252" s="7">
        <f t="shared" si="9"/>
        <v>27.04</v>
      </c>
      <c r="S252" s="7">
        <f t="shared" si="10"/>
        <v>1.8928</v>
      </c>
      <c r="T252">
        <f>Table1[[#This Row],[Total price]]-Table1[[#This Row],[Discount Amount]]</f>
        <v>25.147199999999998</v>
      </c>
      <c r="U252">
        <f t="shared" si="11"/>
        <v>402.35519999999997</v>
      </c>
    </row>
    <row r="253" spans="1:21">
      <c r="A253">
        <v>252</v>
      </c>
      <c r="B253" s="3" t="s">
        <v>2608</v>
      </c>
      <c r="C253" s="3" t="s">
        <v>1227</v>
      </c>
      <c r="D253" s="3" t="s">
        <v>2866</v>
      </c>
      <c r="E253" s="3" t="s">
        <v>3154</v>
      </c>
      <c r="F253" s="3">
        <v>86</v>
      </c>
      <c r="G253" s="4">
        <v>40513.436805555553</v>
      </c>
      <c r="H253" s="3">
        <v>4</v>
      </c>
      <c r="I253" s="5">
        <v>21</v>
      </c>
      <c r="J253" t="s">
        <v>545</v>
      </c>
      <c r="K253" t="s">
        <v>4497</v>
      </c>
      <c r="L253">
        <v>536392</v>
      </c>
      <c r="M253" s="2">
        <v>22338</v>
      </c>
      <c r="N253">
        <v>0.65</v>
      </c>
      <c r="O253" s="6">
        <v>24</v>
      </c>
      <c r="P253" s="3">
        <v>0.2</v>
      </c>
      <c r="Q253" t="s">
        <v>4</v>
      </c>
      <c r="R253" s="7">
        <f t="shared" si="9"/>
        <v>15.600000000000001</v>
      </c>
      <c r="S253" s="7">
        <f t="shared" si="10"/>
        <v>3.1200000000000006</v>
      </c>
      <c r="T253">
        <f>Table1[[#This Row],[Total price]]-Table1[[#This Row],[Discount Amount]]</f>
        <v>12.48</v>
      </c>
      <c r="U253">
        <f t="shared" si="11"/>
        <v>299.52</v>
      </c>
    </row>
    <row r="254" spans="1:21">
      <c r="A254">
        <v>253</v>
      </c>
      <c r="B254" s="3" t="s">
        <v>2607</v>
      </c>
      <c r="C254" s="3" t="s">
        <v>2606</v>
      </c>
      <c r="D254" s="3" t="s">
        <v>2866</v>
      </c>
      <c r="E254" s="3" t="s">
        <v>3155</v>
      </c>
      <c r="F254" s="3">
        <v>86</v>
      </c>
      <c r="G254" s="4">
        <v>40513.442361111112</v>
      </c>
      <c r="H254" s="3">
        <v>4</v>
      </c>
      <c r="I254" s="5">
        <v>15</v>
      </c>
      <c r="J254" t="s">
        <v>584</v>
      </c>
      <c r="K254" t="s">
        <v>4497</v>
      </c>
      <c r="L254">
        <v>536393</v>
      </c>
      <c r="M254" s="2">
        <v>22180</v>
      </c>
      <c r="N254">
        <v>9.9499999999999993</v>
      </c>
      <c r="O254" s="6">
        <v>8</v>
      </c>
      <c r="P254" s="3">
        <v>0.1</v>
      </c>
      <c r="Q254" t="s">
        <v>4</v>
      </c>
      <c r="R254" s="7">
        <f t="shared" si="9"/>
        <v>79.599999999999994</v>
      </c>
      <c r="S254" s="7">
        <f t="shared" si="10"/>
        <v>7.96</v>
      </c>
      <c r="T254">
        <f>Table1[[#This Row],[Total price]]-Table1[[#This Row],[Discount Amount]]</f>
        <v>71.64</v>
      </c>
      <c r="U254">
        <f t="shared" si="11"/>
        <v>573.12</v>
      </c>
    </row>
    <row r="255" spans="1:21">
      <c r="A255">
        <v>254</v>
      </c>
      <c r="B255" s="3" t="s">
        <v>2605</v>
      </c>
      <c r="C255" s="3" t="s">
        <v>1750</v>
      </c>
      <c r="D255" s="3" t="s">
        <v>2866</v>
      </c>
      <c r="E255" s="3" t="s">
        <v>3156</v>
      </c>
      <c r="F255" s="3">
        <v>87</v>
      </c>
      <c r="G255" s="4">
        <v>40513.443749999999</v>
      </c>
      <c r="H255" s="3">
        <v>4</v>
      </c>
      <c r="I255" s="5">
        <v>20</v>
      </c>
      <c r="J255" t="s">
        <v>536</v>
      </c>
      <c r="K255" t="s">
        <v>4497</v>
      </c>
      <c r="L255">
        <v>536394</v>
      </c>
      <c r="M255" s="2">
        <v>21506</v>
      </c>
      <c r="N255">
        <v>0.42</v>
      </c>
      <c r="O255" s="6">
        <v>24</v>
      </c>
      <c r="P255" s="3">
        <v>0.2</v>
      </c>
      <c r="Q255" t="s">
        <v>4</v>
      </c>
      <c r="R255" s="7">
        <f t="shared" si="9"/>
        <v>10.08</v>
      </c>
      <c r="S255" s="7">
        <f t="shared" si="10"/>
        <v>2.016</v>
      </c>
      <c r="T255">
        <f>Table1[[#This Row],[Total price]]-Table1[[#This Row],[Discount Amount]]</f>
        <v>8.0640000000000001</v>
      </c>
      <c r="U255">
        <f t="shared" si="11"/>
        <v>193.536</v>
      </c>
    </row>
    <row r="256" spans="1:21">
      <c r="A256">
        <v>255</v>
      </c>
      <c r="B256" s="3" t="s">
        <v>2604</v>
      </c>
      <c r="C256" s="3" t="s">
        <v>2603</v>
      </c>
      <c r="D256" s="3" t="s">
        <v>2866</v>
      </c>
      <c r="E256" s="3" t="s">
        <v>3157</v>
      </c>
      <c r="F256" s="3">
        <v>87</v>
      </c>
      <c r="G256" s="4">
        <v>40513.443749999999</v>
      </c>
      <c r="H256" s="3">
        <v>4</v>
      </c>
      <c r="I256" s="5">
        <v>23</v>
      </c>
      <c r="J256" t="s">
        <v>28</v>
      </c>
      <c r="K256" t="s">
        <v>4497</v>
      </c>
      <c r="L256">
        <v>536394</v>
      </c>
      <c r="M256" s="2">
        <v>22633</v>
      </c>
      <c r="N256">
        <v>1.85</v>
      </c>
      <c r="O256" s="6">
        <v>96</v>
      </c>
      <c r="P256" s="3">
        <v>0.1</v>
      </c>
      <c r="Q256" t="s">
        <v>4</v>
      </c>
      <c r="R256" s="7">
        <f t="shared" si="9"/>
        <v>177.60000000000002</v>
      </c>
      <c r="S256" s="7">
        <f t="shared" si="10"/>
        <v>17.760000000000002</v>
      </c>
      <c r="T256">
        <f>Table1[[#This Row],[Total price]]-Table1[[#This Row],[Discount Amount]]</f>
        <v>159.84000000000003</v>
      </c>
      <c r="U256">
        <f t="shared" si="11"/>
        <v>15344.640000000003</v>
      </c>
    </row>
    <row r="257" spans="1:21">
      <c r="A257">
        <v>256</v>
      </c>
      <c r="B257" s="3" t="s">
        <v>2602</v>
      </c>
      <c r="C257" s="3" t="s">
        <v>1029</v>
      </c>
      <c r="D257" s="3" t="s">
        <v>2866</v>
      </c>
      <c r="E257" s="3" t="s">
        <v>3158</v>
      </c>
      <c r="F257" s="3">
        <v>88</v>
      </c>
      <c r="G257" s="4">
        <v>40513.443749999999</v>
      </c>
      <c r="H257" s="3">
        <v>4</v>
      </c>
      <c r="I257" s="5">
        <v>10</v>
      </c>
      <c r="J257" t="s">
        <v>158</v>
      </c>
      <c r="K257" t="s">
        <v>4497</v>
      </c>
      <c r="L257">
        <v>536394</v>
      </c>
      <c r="M257" s="2">
        <v>22866</v>
      </c>
      <c r="N257">
        <v>1.85</v>
      </c>
      <c r="O257" s="6">
        <v>96</v>
      </c>
      <c r="P257" s="3">
        <v>7.0000000000000007E-2</v>
      </c>
      <c r="Q257" t="s">
        <v>4</v>
      </c>
      <c r="R257" s="7">
        <f t="shared" si="9"/>
        <v>177.60000000000002</v>
      </c>
      <c r="S257" s="7">
        <f t="shared" si="10"/>
        <v>12.432000000000002</v>
      </c>
      <c r="T257">
        <f>Table1[[#This Row],[Total price]]-Table1[[#This Row],[Discount Amount]]</f>
        <v>165.16800000000001</v>
      </c>
      <c r="U257">
        <f t="shared" si="11"/>
        <v>15856.128000000001</v>
      </c>
    </row>
    <row r="258" spans="1:21">
      <c r="A258">
        <v>257</v>
      </c>
      <c r="B258" s="3" t="s">
        <v>2601</v>
      </c>
      <c r="C258" s="3" t="s">
        <v>2243</v>
      </c>
      <c r="D258" s="3" t="s">
        <v>2866</v>
      </c>
      <c r="E258" s="3" t="s">
        <v>3159</v>
      </c>
      <c r="F258" s="3">
        <v>88</v>
      </c>
      <c r="G258" s="4">
        <v>40513.443749999999</v>
      </c>
      <c r="H258" s="3">
        <v>4</v>
      </c>
      <c r="I258" s="5">
        <v>8</v>
      </c>
      <c r="J258" t="s">
        <v>27</v>
      </c>
      <c r="K258" t="s">
        <v>4497</v>
      </c>
      <c r="L258">
        <v>536394</v>
      </c>
      <c r="M258" s="2">
        <v>22865</v>
      </c>
      <c r="N258">
        <v>1.85</v>
      </c>
      <c r="O258" s="6">
        <v>96</v>
      </c>
      <c r="P258" s="3">
        <v>0.1</v>
      </c>
      <c r="Q258" t="s">
        <v>4</v>
      </c>
      <c r="R258" s="7">
        <f t="shared" si="9"/>
        <v>177.60000000000002</v>
      </c>
      <c r="S258" s="7">
        <f t="shared" si="10"/>
        <v>17.760000000000002</v>
      </c>
      <c r="T258">
        <f>Table1[[#This Row],[Total price]]-Table1[[#This Row],[Discount Amount]]</f>
        <v>159.84000000000003</v>
      </c>
      <c r="U258">
        <f t="shared" si="11"/>
        <v>15344.640000000003</v>
      </c>
    </row>
    <row r="259" spans="1:21">
      <c r="A259">
        <v>258</v>
      </c>
      <c r="B259" s="3" t="s">
        <v>2600</v>
      </c>
      <c r="C259" s="3" t="s">
        <v>1791</v>
      </c>
      <c r="D259" s="3" t="s">
        <v>2866</v>
      </c>
      <c r="E259" s="3" t="s">
        <v>3160</v>
      </c>
      <c r="F259" s="3">
        <v>88</v>
      </c>
      <c r="G259" s="4">
        <v>40513.443749999999</v>
      </c>
      <c r="H259" s="3">
        <v>4</v>
      </c>
      <c r="I259" s="5">
        <v>7</v>
      </c>
      <c r="J259" t="s">
        <v>26</v>
      </c>
      <c r="K259" t="s">
        <v>4497</v>
      </c>
      <c r="L259">
        <v>536394</v>
      </c>
      <c r="M259" s="2">
        <v>22632</v>
      </c>
      <c r="N259">
        <v>1.85</v>
      </c>
      <c r="O259" s="6">
        <v>96</v>
      </c>
      <c r="P259" s="3">
        <v>0.1</v>
      </c>
      <c r="Q259" t="s">
        <v>4</v>
      </c>
      <c r="R259" s="7">
        <f t="shared" ref="R259:R322" si="12">N259*O259</f>
        <v>177.60000000000002</v>
      </c>
      <c r="S259" s="7">
        <f t="shared" ref="S259:S322" si="13">R259*P259</f>
        <v>17.760000000000002</v>
      </c>
      <c r="T259">
        <f>Table1[[#This Row],[Total price]]-Table1[[#This Row],[Discount Amount]]</f>
        <v>159.84000000000003</v>
      </c>
      <c r="U259">
        <f t="shared" ref="U259:U322" si="14">T259*O259</f>
        <v>15344.640000000003</v>
      </c>
    </row>
    <row r="260" spans="1:21">
      <c r="A260">
        <v>259</v>
      </c>
      <c r="B260" s="3" t="s">
        <v>2599</v>
      </c>
      <c r="C260" s="3" t="s">
        <v>1233</v>
      </c>
      <c r="D260" s="3" t="s">
        <v>2866</v>
      </c>
      <c r="E260" s="3" t="s">
        <v>3161</v>
      </c>
      <c r="F260" s="3">
        <v>89</v>
      </c>
      <c r="G260" s="4">
        <v>40513.443749999999</v>
      </c>
      <c r="H260" s="3">
        <v>4</v>
      </c>
      <c r="I260" s="5">
        <v>5</v>
      </c>
      <c r="J260" t="s">
        <v>78</v>
      </c>
      <c r="K260" t="s">
        <v>4497</v>
      </c>
      <c r="L260">
        <v>536394</v>
      </c>
      <c r="M260" s="2">
        <v>21485</v>
      </c>
      <c r="N260">
        <v>4.95</v>
      </c>
      <c r="O260" s="6">
        <v>12</v>
      </c>
      <c r="P260" s="3">
        <v>0.05</v>
      </c>
      <c r="Q260" t="s">
        <v>4</v>
      </c>
      <c r="R260" s="7">
        <f t="shared" si="12"/>
        <v>59.400000000000006</v>
      </c>
      <c r="S260" s="7">
        <f t="shared" si="13"/>
        <v>2.9700000000000006</v>
      </c>
      <c r="T260">
        <f>Table1[[#This Row],[Total price]]-Table1[[#This Row],[Discount Amount]]</f>
        <v>56.430000000000007</v>
      </c>
      <c r="U260">
        <f t="shared" si="14"/>
        <v>677.16000000000008</v>
      </c>
    </row>
    <row r="261" spans="1:21">
      <c r="A261">
        <v>260</v>
      </c>
      <c r="B261" s="3" t="s">
        <v>2598</v>
      </c>
      <c r="C261" s="3" t="s">
        <v>2597</v>
      </c>
      <c r="D261" s="3" t="s">
        <v>2866</v>
      </c>
      <c r="E261" s="3" t="s">
        <v>3162</v>
      </c>
      <c r="F261" s="3">
        <v>89</v>
      </c>
      <c r="G261" s="4">
        <v>40513.443749999999</v>
      </c>
      <c r="H261" s="3">
        <v>4</v>
      </c>
      <c r="I261" s="5">
        <v>6</v>
      </c>
      <c r="J261" t="s">
        <v>602</v>
      </c>
      <c r="K261" t="s">
        <v>4497</v>
      </c>
      <c r="L261">
        <v>536394</v>
      </c>
      <c r="M261" s="2">
        <v>22349</v>
      </c>
      <c r="N261">
        <v>3.75</v>
      </c>
      <c r="O261" s="6">
        <v>12</v>
      </c>
      <c r="P261" s="3">
        <v>0.1</v>
      </c>
      <c r="Q261" t="s">
        <v>4</v>
      </c>
      <c r="R261" s="7">
        <f t="shared" si="12"/>
        <v>45</v>
      </c>
      <c r="S261" s="7">
        <f t="shared" si="13"/>
        <v>4.5</v>
      </c>
      <c r="T261">
        <f>Table1[[#This Row],[Total price]]-Table1[[#This Row],[Discount Amount]]</f>
        <v>40.5</v>
      </c>
      <c r="U261">
        <f t="shared" si="14"/>
        <v>486</v>
      </c>
    </row>
    <row r="262" spans="1:21">
      <c r="A262">
        <v>261</v>
      </c>
      <c r="B262" s="3" t="s">
        <v>2596</v>
      </c>
      <c r="C262" s="3" t="s">
        <v>2595</v>
      </c>
      <c r="D262" s="3" t="s">
        <v>2866</v>
      </c>
      <c r="E262" s="3" t="s">
        <v>3163</v>
      </c>
      <c r="F262" s="3">
        <v>90</v>
      </c>
      <c r="G262" s="4">
        <v>40513.443749999999</v>
      </c>
      <c r="H262" s="3">
        <v>4</v>
      </c>
      <c r="I262" s="5">
        <v>3</v>
      </c>
      <c r="J262" t="s">
        <v>839</v>
      </c>
      <c r="K262" t="s">
        <v>4497</v>
      </c>
      <c r="L262">
        <v>536394</v>
      </c>
      <c r="M262" s="2">
        <v>22558</v>
      </c>
      <c r="N262">
        <v>1.25</v>
      </c>
      <c r="O262" s="6">
        <v>48</v>
      </c>
      <c r="P262" s="3">
        <v>0.1</v>
      </c>
      <c r="Q262" t="s">
        <v>4</v>
      </c>
      <c r="R262" s="7">
        <f t="shared" si="12"/>
        <v>60</v>
      </c>
      <c r="S262" s="7">
        <f t="shared" si="13"/>
        <v>6</v>
      </c>
      <c r="T262">
        <f>Table1[[#This Row],[Total price]]-Table1[[#This Row],[Discount Amount]]</f>
        <v>54</v>
      </c>
      <c r="U262">
        <f t="shared" si="14"/>
        <v>2592</v>
      </c>
    </row>
    <row r="263" spans="1:21">
      <c r="A263">
        <v>262</v>
      </c>
      <c r="B263" s="3" t="s">
        <v>2594</v>
      </c>
      <c r="C263" s="3" t="s">
        <v>956</v>
      </c>
      <c r="D263" s="3" t="s">
        <v>3164</v>
      </c>
      <c r="E263" s="3" t="s">
        <v>3165</v>
      </c>
      <c r="F263" s="3">
        <v>90</v>
      </c>
      <c r="G263" s="4">
        <v>40513.443749999999</v>
      </c>
      <c r="H263" s="3">
        <v>4</v>
      </c>
      <c r="I263" s="5">
        <v>6</v>
      </c>
      <c r="J263" t="s">
        <v>111</v>
      </c>
      <c r="K263" t="s">
        <v>4497</v>
      </c>
      <c r="L263">
        <v>536394</v>
      </c>
      <c r="M263" s="2">
        <v>85152</v>
      </c>
      <c r="N263">
        <v>2.1</v>
      </c>
      <c r="O263" s="6">
        <v>12</v>
      </c>
      <c r="P263" s="3">
        <v>7.0000000000000007E-2</v>
      </c>
      <c r="Q263" t="s">
        <v>4</v>
      </c>
      <c r="R263" s="7">
        <f t="shared" si="12"/>
        <v>25.200000000000003</v>
      </c>
      <c r="S263" s="7">
        <f t="shared" si="13"/>
        <v>1.7640000000000005</v>
      </c>
      <c r="T263">
        <f>Table1[[#This Row],[Total price]]-Table1[[#This Row],[Discount Amount]]</f>
        <v>23.436000000000003</v>
      </c>
      <c r="U263">
        <f t="shared" si="14"/>
        <v>281.23200000000003</v>
      </c>
    </row>
    <row r="264" spans="1:21">
      <c r="A264">
        <v>263</v>
      </c>
      <c r="B264" s="3" t="s">
        <v>2593</v>
      </c>
      <c r="C264" s="3" t="s">
        <v>2544</v>
      </c>
      <c r="D264" s="3" t="s">
        <v>3166</v>
      </c>
      <c r="E264" s="3" t="s">
        <v>3167</v>
      </c>
      <c r="F264" s="3">
        <v>91</v>
      </c>
      <c r="G264" s="4">
        <v>40513.443749999999</v>
      </c>
      <c r="H264" s="3">
        <v>4</v>
      </c>
      <c r="I264" s="5">
        <v>11</v>
      </c>
      <c r="J264" t="s">
        <v>24</v>
      </c>
      <c r="K264" t="s">
        <v>4497</v>
      </c>
      <c r="L264">
        <v>536394</v>
      </c>
      <c r="M264" s="2" t="s">
        <v>23</v>
      </c>
      <c r="N264">
        <v>2.5499999999999998</v>
      </c>
      <c r="O264" s="6">
        <v>32</v>
      </c>
      <c r="P264" s="3">
        <v>0.1</v>
      </c>
      <c r="Q264" t="s">
        <v>4</v>
      </c>
      <c r="R264" s="7">
        <f t="shared" si="12"/>
        <v>81.599999999999994</v>
      </c>
      <c r="S264" s="7">
        <f t="shared" si="13"/>
        <v>8.16</v>
      </c>
      <c r="T264">
        <f>Table1[[#This Row],[Total price]]-Table1[[#This Row],[Discount Amount]]</f>
        <v>73.44</v>
      </c>
      <c r="U264">
        <f t="shared" si="14"/>
        <v>2350.08</v>
      </c>
    </row>
    <row r="265" spans="1:21">
      <c r="A265">
        <v>264</v>
      </c>
      <c r="B265" s="3" t="s">
        <v>2592</v>
      </c>
      <c r="C265" s="3" t="s">
        <v>2089</v>
      </c>
      <c r="D265" s="3" t="s">
        <v>2866</v>
      </c>
      <c r="E265" s="3" t="s">
        <v>3168</v>
      </c>
      <c r="F265" s="3">
        <v>91</v>
      </c>
      <c r="G265" s="4">
        <v>40513.443749999999</v>
      </c>
      <c r="H265" s="3">
        <v>3</v>
      </c>
      <c r="I265" s="5">
        <v>25</v>
      </c>
      <c r="J265" t="s">
        <v>206</v>
      </c>
      <c r="K265" t="s">
        <v>4497</v>
      </c>
      <c r="L265">
        <v>536394</v>
      </c>
      <c r="M265" s="2">
        <v>22652</v>
      </c>
      <c r="N265">
        <v>1.65</v>
      </c>
      <c r="O265" s="6">
        <v>20</v>
      </c>
      <c r="P265" s="3">
        <v>0.05</v>
      </c>
      <c r="Q265" t="s">
        <v>4</v>
      </c>
      <c r="R265" s="7">
        <f t="shared" si="12"/>
        <v>33</v>
      </c>
      <c r="S265" s="7">
        <f t="shared" si="13"/>
        <v>1.6500000000000001</v>
      </c>
      <c r="T265">
        <f>Table1[[#This Row],[Total price]]-Table1[[#This Row],[Discount Amount]]</f>
        <v>31.35</v>
      </c>
      <c r="U265">
        <f t="shared" si="14"/>
        <v>627</v>
      </c>
    </row>
    <row r="266" spans="1:21">
      <c r="A266">
        <v>265</v>
      </c>
      <c r="B266" s="3" t="s">
        <v>1303</v>
      </c>
      <c r="C266" s="3" t="s">
        <v>2017</v>
      </c>
      <c r="D266" s="3" t="s">
        <v>2866</v>
      </c>
      <c r="E266" s="3" t="s">
        <v>3169</v>
      </c>
      <c r="F266" s="3">
        <v>91</v>
      </c>
      <c r="G266" s="4">
        <v>40513.449305555558</v>
      </c>
      <c r="H266" s="3">
        <v>4</v>
      </c>
      <c r="I266" s="5">
        <v>15</v>
      </c>
      <c r="J266" t="s">
        <v>149</v>
      </c>
      <c r="K266" t="s">
        <v>4497</v>
      </c>
      <c r="L266">
        <v>536395</v>
      </c>
      <c r="M266" s="2">
        <v>22188</v>
      </c>
      <c r="N266">
        <v>3.95</v>
      </c>
      <c r="O266" s="6">
        <v>8</v>
      </c>
      <c r="P266" s="3">
        <v>7.0000000000000007E-2</v>
      </c>
      <c r="Q266" t="s">
        <v>4</v>
      </c>
      <c r="R266" s="7">
        <f t="shared" si="12"/>
        <v>31.6</v>
      </c>
      <c r="S266" s="7">
        <f t="shared" si="13"/>
        <v>2.2120000000000002</v>
      </c>
      <c r="T266">
        <f>Table1[[#This Row],[Total price]]-Table1[[#This Row],[Discount Amount]]</f>
        <v>29.388000000000002</v>
      </c>
      <c r="U266">
        <f t="shared" si="14"/>
        <v>235.10400000000001</v>
      </c>
    </row>
    <row r="267" spans="1:21">
      <c r="A267">
        <v>266</v>
      </c>
      <c r="B267" s="3" t="s">
        <v>2591</v>
      </c>
      <c r="C267" s="3" t="s">
        <v>2490</v>
      </c>
      <c r="D267" s="3" t="s">
        <v>2866</v>
      </c>
      <c r="E267" s="3" t="s">
        <v>3170</v>
      </c>
      <c r="F267" s="3">
        <v>91</v>
      </c>
      <c r="G267" s="4">
        <v>40513.449305555558</v>
      </c>
      <c r="H267" s="3">
        <v>4</v>
      </c>
      <c r="I267" s="5">
        <v>13</v>
      </c>
      <c r="J267" t="s">
        <v>21</v>
      </c>
      <c r="K267" t="s">
        <v>4497</v>
      </c>
      <c r="L267">
        <v>536395</v>
      </c>
      <c r="M267" s="2">
        <v>84879</v>
      </c>
      <c r="N267">
        <v>1.69</v>
      </c>
      <c r="O267" s="6">
        <v>32</v>
      </c>
      <c r="P267" s="3">
        <v>7.0000000000000007E-2</v>
      </c>
      <c r="Q267" t="s">
        <v>4</v>
      </c>
      <c r="R267" s="7">
        <f t="shared" si="12"/>
        <v>54.08</v>
      </c>
      <c r="S267" s="7">
        <f t="shared" si="13"/>
        <v>3.7856000000000001</v>
      </c>
      <c r="T267">
        <f>Table1[[#This Row],[Total price]]-Table1[[#This Row],[Discount Amount]]</f>
        <v>50.294399999999996</v>
      </c>
      <c r="U267">
        <f t="shared" si="14"/>
        <v>1609.4207999999999</v>
      </c>
    </row>
    <row r="268" spans="1:21">
      <c r="A268">
        <v>267</v>
      </c>
      <c r="B268" s="3" t="s">
        <v>2590</v>
      </c>
      <c r="C268" s="3" t="s">
        <v>1000</v>
      </c>
      <c r="D268" s="3" t="s">
        <v>2866</v>
      </c>
      <c r="E268" s="3" t="s">
        <v>3171</v>
      </c>
      <c r="F268" s="3">
        <v>92</v>
      </c>
      <c r="G268" s="4">
        <v>40513.449305555558</v>
      </c>
      <c r="H268" s="3">
        <v>4</v>
      </c>
      <c r="I268" s="5">
        <v>8</v>
      </c>
      <c r="J268" t="s">
        <v>420</v>
      </c>
      <c r="K268" t="s">
        <v>4497</v>
      </c>
      <c r="L268">
        <v>536395</v>
      </c>
      <c r="M268" s="2">
        <v>21977</v>
      </c>
      <c r="N268">
        <v>0.55000000000000004</v>
      </c>
      <c r="O268" s="6">
        <v>24</v>
      </c>
      <c r="P268" s="3">
        <v>0.1</v>
      </c>
      <c r="Q268" t="s">
        <v>4</v>
      </c>
      <c r="R268" s="7">
        <f t="shared" si="12"/>
        <v>13.200000000000001</v>
      </c>
      <c r="S268" s="7">
        <f t="shared" si="13"/>
        <v>1.3200000000000003</v>
      </c>
      <c r="T268">
        <f>Table1[[#This Row],[Total price]]-Table1[[#This Row],[Discount Amount]]</f>
        <v>11.88</v>
      </c>
      <c r="U268">
        <f t="shared" si="14"/>
        <v>285.12</v>
      </c>
    </row>
    <row r="269" spans="1:21">
      <c r="A269">
        <v>268</v>
      </c>
      <c r="B269" s="3" t="s">
        <v>2589</v>
      </c>
      <c r="C269" s="3" t="s">
        <v>1169</v>
      </c>
      <c r="D269" s="3" t="s">
        <v>2866</v>
      </c>
      <c r="E269" s="3" t="s">
        <v>3172</v>
      </c>
      <c r="F269" s="3">
        <v>93</v>
      </c>
      <c r="G269" s="4">
        <v>40513.449305555558</v>
      </c>
      <c r="H269" s="3">
        <v>4</v>
      </c>
      <c r="I269" s="5">
        <v>22</v>
      </c>
      <c r="J269" t="s">
        <v>44</v>
      </c>
      <c r="K269" t="s">
        <v>4497</v>
      </c>
      <c r="L269">
        <v>536395</v>
      </c>
      <c r="M269" s="2">
        <v>84991</v>
      </c>
      <c r="N269">
        <v>0.55000000000000004</v>
      </c>
      <c r="O269" s="6">
        <v>24</v>
      </c>
      <c r="P269" s="3">
        <v>7.0000000000000007E-2</v>
      </c>
      <c r="Q269" t="s">
        <v>4</v>
      </c>
      <c r="R269" s="7">
        <f t="shared" si="12"/>
        <v>13.200000000000001</v>
      </c>
      <c r="S269" s="7">
        <f t="shared" si="13"/>
        <v>0.92400000000000015</v>
      </c>
      <c r="T269">
        <f>Table1[[#This Row],[Total price]]-Table1[[#This Row],[Discount Amount]]</f>
        <v>12.276000000000002</v>
      </c>
      <c r="U269">
        <f t="shared" si="14"/>
        <v>294.62400000000002</v>
      </c>
    </row>
    <row r="270" spans="1:21">
      <c r="A270">
        <v>269</v>
      </c>
      <c r="B270" s="3" t="s">
        <v>1426</v>
      </c>
      <c r="C270" s="3" t="s">
        <v>1337</v>
      </c>
      <c r="D270" s="3" t="s">
        <v>2866</v>
      </c>
      <c r="E270" s="3" t="s">
        <v>3173</v>
      </c>
      <c r="F270" s="3">
        <v>93</v>
      </c>
      <c r="G270" s="4">
        <v>40513.449305555558</v>
      </c>
      <c r="H270" s="3">
        <v>4</v>
      </c>
      <c r="I270" s="5">
        <v>17</v>
      </c>
      <c r="J270" t="s">
        <v>363</v>
      </c>
      <c r="K270" t="s">
        <v>4497</v>
      </c>
      <c r="L270">
        <v>536395</v>
      </c>
      <c r="M270" s="2">
        <v>21212</v>
      </c>
      <c r="N270">
        <v>0.55000000000000004</v>
      </c>
      <c r="O270" s="6">
        <v>24</v>
      </c>
      <c r="P270" s="3">
        <v>0.05</v>
      </c>
      <c r="Q270" t="s">
        <v>4</v>
      </c>
      <c r="R270" s="7">
        <f t="shared" si="12"/>
        <v>13.200000000000001</v>
      </c>
      <c r="S270" s="7">
        <f t="shared" si="13"/>
        <v>0.66000000000000014</v>
      </c>
      <c r="T270">
        <f>Table1[[#This Row],[Total price]]-Table1[[#This Row],[Discount Amount]]</f>
        <v>12.540000000000001</v>
      </c>
      <c r="U270">
        <f t="shared" si="14"/>
        <v>300.96000000000004</v>
      </c>
    </row>
    <row r="271" spans="1:21">
      <c r="A271">
        <v>270</v>
      </c>
      <c r="B271" s="3" t="s">
        <v>2588</v>
      </c>
      <c r="C271" s="3" t="s">
        <v>1794</v>
      </c>
      <c r="D271" s="3" t="s">
        <v>2866</v>
      </c>
      <c r="E271" s="3" t="s">
        <v>3174</v>
      </c>
      <c r="F271" s="3">
        <v>93</v>
      </c>
      <c r="G271" s="4">
        <v>40513.449305555558</v>
      </c>
      <c r="H271" s="3">
        <v>4</v>
      </c>
      <c r="I271" s="5">
        <v>21</v>
      </c>
      <c r="J271" t="s">
        <v>429</v>
      </c>
      <c r="K271" t="s">
        <v>4497</v>
      </c>
      <c r="L271">
        <v>536395</v>
      </c>
      <c r="M271" s="2">
        <v>21484</v>
      </c>
      <c r="N271">
        <v>3.45</v>
      </c>
      <c r="O271" s="6">
        <v>8</v>
      </c>
      <c r="P271" s="3">
        <v>0.1</v>
      </c>
      <c r="Q271" t="s">
        <v>4</v>
      </c>
      <c r="R271" s="7">
        <f t="shared" si="12"/>
        <v>27.6</v>
      </c>
      <c r="S271" s="7">
        <f t="shared" si="13"/>
        <v>2.7600000000000002</v>
      </c>
      <c r="T271">
        <f>Table1[[#This Row],[Total price]]-Table1[[#This Row],[Discount Amount]]</f>
        <v>24.84</v>
      </c>
      <c r="U271">
        <f t="shared" si="14"/>
        <v>198.72</v>
      </c>
    </row>
    <row r="272" spans="1:21">
      <c r="A272">
        <v>271</v>
      </c>
      <c r="B272" s="3" t="s">
        <v>2587</v>
      </c>
      <c r="C272" s="3" t="s">
        <v>1641</v>
      </c>
      <c r="D272" s="3" t="s">
        <v>2866</v>
      </c>
      <c r="E272" s="3" t="s">
        <v>3175</v>
      </c>
      <c r="F272" s="3">
        <v>93</v>
      </c>
      <c r="G272" s="4">
        <v>40513.449305555558</v>
      </c>
      <c r="H272" s="3">
        <v>4</v>
      </c>
      <c r="I272" s="5">
        <v>2</v>
      </c>
      <c r="J272" t="s">
        <v>328</v>
      </c>
      <c r="K272" t="s">
        <v>4497</v>
      </c>
      <c r="L272">
        <v>536395</v>
      </c>
      <c r="M272" s="2">
        <v>21314</v>
      </c>
      <c r="N272">
        <v>2.1</v>
      </c>
      <c r="O272" s="6">
        <v>8</v>
      </c>
      <c r="P272" s="3">
        <v>0.2</v>
      </c>
      <c r="Q272" t="s">
        <v>4</v>
      </c>
      <c r="R272" s="7">
        <f t="shared" si="12"/>
        <v>16.8</v>
      </c>
      <c r="S272" s="7">
        <f t="shared" si="13"/>
        <v>3.3600000000000003</v>
      </c>
      <c r="T272">
        <f>Table1[[#This Row],[Total price]]-Table1[[#This Row],[Discount Amount]]</f>
        <v>13.440000000000001</v>
      </c>
      <c r="U272">
        <f t="shared" si="14"/>
        <v>107.52000000000001</v>
      </c>
    </row>
    <row r="273" spans="1:21">
      <c r="A273">
        <v>272</v>
      </c>
      <c r="B273" s="3" t="s">
        <v>2586</v>
      </c>
      <c r="C273" s="3" t="s">
        <v>1670</v>
      </c>
      <c r="D273" s="3" t="s">
        <v>2866</v>
      </c>
      <c r="E273" s="3" t="s">
        <v>3176</v>
      </c>
      <c r="F273" s="3">
        <v>93</v>
      </c>
      <c r="G273" s="4">
        <v>40513.449305555558</v>
      </c>
      <c r="H273" s="3">
        <v>4</v>
      </c>
      <c r="I273" s="5">
        <v>10</v>
      </c>
      <c r="J273" t="s">
        <v>296</v>
      </c>
      <c r="K273" t="s">
        <v>4497</v>
      </c>
      <c r="L273">
        <v>536395</v>
      </c>
      <c r="M273" s="2">
        <v>22730</v>
      </c>
      <c r="N273">
        <v>3.75</v>
      </c>
      <c r="O273" s="6">
        <v>4</v>
      </c>
      <c r="P273" s="3">
        <v>7.0000000000000007E-2</v>
      </c>
      <c r="Q273" t="s">
        <v>4</v>
      </c>
      <c r="R273" s="7">
        <f t="shared" si="12"/>
        <v>15</v>
      </c>
      <c r="S273" s="7">
        <f t="shared" si="13"/>
        <v>1.05</v>
      </c>
      <c r="T273">
        <f>Table1[[#This Row],[Total price]]-Table1[[#This Row],[Discount Amount]]</f>
        <v>13.95</v>
      </c>
      <c r="U273">
        <f t="shared" si="14"/>
        <v>55.8</v>
      </c>
    </row>
    <row r="274" spans="1:21">
      <c r="A274">
        <v>273</v>
      </c>
      <c r="B274" s="3" t="s">
        <v>2585</v>
      </c>
      <c r="C274" s="3" t="s">
        <v>2322</v>
      </c>
      <c r="D274" s="3" t="s">
        <v>2866</v>
      </c>
      <c r="E274" s="3" t="s">
        <v>3177</v>
      </c>
      <c r="F274" s="3">
        <v>94</v>
      </c>
      <c r="G274" s="4">
        <v>40513.449305555558</v>
      </c>
      <c r="H274" s="3">
        <v>4</v>
      </c>
      <c r="I274" s="5">
        <v>12</v>
      </c>
      <c r="J274" t="s">
        <v>112</v>
      </c>
      <c r="K274" t="s">
        <v>4497</v>
      </c>
      <c r="L274">
        <v>536395</v>
      </c>
      <c r="M274" s="2">
        <v>22727</v>
      </c>
      <c r="N274">
        <v>3.75</v>
      </c>
      <c r="O274" s="6">
        <v>8</v>
      </c>
      <c r="P274" s="3">
        <v>0.05</v>
      </c>
      <c r="Q274" t="s">
        <v>4</v>
      </c>
      <c r="R274" s="7">
        <f t="shared" si="12"/>
        <v>30</v>
      </c>
      <c r="S274" s="7">
        <f t="shared" si="13"/>
        <v>1.5</v>
      </c>
      <c r="T274">
        <f>Table1[[#This Row],[Total price]]-Table1[[#This Row],[Discount Amount]]</f>
        <v>28.5</v>
      </c>
      <c r="U274">
        <f t="shared" si="14"/>
        <v>228</v>
      </c>
    </row>
    <row r="275" spans="1:21">
      <c r="A275">
        <v>274</v>
      </c>
      <c r="B275" s="3" t="s">
        <v>2584</v>
      </c>
      <c r="C275" s="3" t="s">
        <v>2583</v>
      </c>
      <c r="D275" s="3" t="s">
        <v>2866</v>
      </c>
      <c r="E275" s="3" t="s">
        <v>3178</v>
      </c>
      <c r="F275" s="3">
        <v>94</v>
      </c>
      <c r="G275" s="4">
        <v>40513.449305555558</v>
      </c>
      <c r="H275" s="3">
        <v>4</v>
      </c>
      <c r="I275" s="5">
        <v>4</v>
      </c>
      <c r="J275" t="s">
        <v>197</v>
      </c>
      <c r="K275" t="s">
        <v>4497</v>
      </c>
      <c r="L275">
        <v>536395</v>
      </c>
      <c r="M275" s="2">
        <v>22729</v>
      </c>
      <c r="N275">
        <v>3.75</v>
      </c>
      <c r="O275" s="6">
        <v>8</v>
      </c>
      <c r="P275" s="3">
        <v>0.2</v>
      </c>
      <c r="Q275" t="s">
        <v>4</v>
      </c>
      <c r="R275" s="7">
        <f t="shared" si="12"/>
        <v>30</v>
      </c>
      <c r="S275" s="7">
        <f t="shared" si="13"/>
        <v>6</v>
      </c>
      <c r="T275">
        <f>Table1[[#This Row],[Total price]]-Table1[[#This Row],[Discount Amount]]</f>
        <v>24</v>
      </c>
      <c r="U275">
        <f t="shared" si="14"/>
        <v>192</v>
      </c>
    </row>
    <row r="276" spans="1:21">
      <c r="A276">
        <v>275</v>
      </c>
      <c r="B276" s="3" t="s">
        <v>2582</v>
      </c>
      <c r="C276" s="3" t="s">
        <v>2203</v>
      </c>
      <c r="D276" s="3" t="s">
        <v>2866</v>
      </c>
      <c r="E276" s="3" t="s">
        <v>3179</v>
      </c>
      <c r="F276" s="3">
        <v>94</v>
      </c>
      <c r="G276" s="4">
        <v>40513.449305555558</v>
      </c>
      <c r="H276" s="3">
        <v>4</v>
      </c>
      <c r="I276" s="5">
        <v>11</v>
      </c>
      <c r="J276" t="s">
        <v>113</v>
      </c>
      <c r="K276" t="s">
        <v>4497</v>
      </c>
      <c r="L276">
        <v>536395</v>
      </c>
      <c r="M276" s="2">
        <v>22726</v>
      </c>
      <c r="N276">
        <v>3.75</v>
      </c>
      <c r="O276" s="6">
        <v>8</v>
      </c>
      <c r="P276" s="3">
        <v>0.2</v>
      </c>
      <c r="Q276" t="s">
        <v>4</v>
      </c>
      <c r="R276" s="7">
        <f t="shared" si="12"/>
        <v>30</v>
      </c>
      <c r="S276" s="7">
        <f t="shared" si="13"/>
        <v>6</v>
      </c>
      <c r="T276">
        <f>Table1[[#This Row],[Total price]]-Table1[[#This Row],[Discount Amount]]</f>
        <v>24</v>
      </c>
      <c r="U276">
        <f t="shared" si="14"/>
        <v>192</v>
      </c>
    </row>
    <row r="277" spans="1:21">
      <c r="A277">
        <v>276</v>
      </c>
      <c r="B277" s="3" t="s">
        <v>2581</v>
      </c>
      <c r="C277" s="3" t="s">
        <v>2580</v>
      </c>
      <c r="D277" s="3" t="s">
        <v>2866</v>
      </c>
      <c r="E277" s="3" t="s">
        <v>3180</v>
      </c>
      <c r="F277" s="3">
        <v>94</v>
      </c>
      <c r="G277" s="4">
        <v>40513.449305555558</v>
      </c>
      <c r="H277" s="3">
        <v>4</v>
      </c>
      <c r="I277" s="5">
        <v>21</v>
      </c>
      <c r="J277" t="s">
        <v>94</v>
      </c>
      <c r="K277" t="s">
        <v>4497</v>
      </c>
      <c r="L277">
        <v>536395</v>
      </c>
      <c r="M277" s="2">
        <v>22114</v>
      </c>
      <c r="N277">
        <v>3.95</v>
      </c>
      <c r="O277" s="6">
        <v>8</v>
      </c>
      <c r="P277" s="3">
        <v>7.0000000000000007E-2</v>
      </c>
      <c r="Q277" t="s">
        <v>4</v>
      </c>
      <c r="R277" s="7">
        <f t="shared" si="12"/>
        <v>31.6</v>
      </c>
      <c r="S277" s="7">
        <f t="shared" si="13"/>
        <v>2.2120000000000002</v>
      </c>
      <c r="T277">
        <f>Table1[[#This Row],[Total price]]-Table1[[#This Row],[Discount Amount]]</f>
        <v>29.388000000000002</v>
      </c>
      <c r="U277">
        <f t="shared" si="14"/>
        <v>235.10400000000001</v>
      </c>
    </row>
    <row r="278" spans="1:21">
      <c r="A278">
        <v>277</v>
      </c>
      <c r="B278" s="3" t="s">
        <v>921</v>
      </c>
      <c r="C278" s="3" t="s">
        <v>2555</v>
      </c>
      <c r="D278" s="3" t="s">
        <v>2866</v>
      </c>
      <c r="E278" s="3" t="s">
        <v>3181</v>
      </c>
      <c r="F278" s="3">
        <v>95</v>
      </c>
      <c r="G278" s="4">
        <v>40513.449305555558</v>
      </c>
      <c r="H278" s="3">
        <v>4</v>
      </c>
      <c r="I278" s="5">
        <v>10</v>
      </c>
      <c r="J278" t="s">
        <v>237</v>
      </c>
      <c r="K278" t="s">
        <v>4497</v>
      </c>
      <c r="L278">
        <v>536395</v>
      </c>
      <c r="M278" s="2">
        <v>22867</v>
      </c>
      <c r="N278">
        <v>2.1</v>
      </c>
      <c r="O278" s="6">
        <v>48</v>
      </c>
      <c r="P278" s="3">
        <v>0.2</v>
      </c>
      <c r="Q278" t="s">
        <v>4</v>
      </c>
      <c r="R278" s="7">
        <f t="shared" si="12"/>
        <v>100.80000000000001</v>
      </c>
      <c r="S278" s="7">
        <f t="shared" si="13"/>
        <v>20.160000000000004</v>
      </c>
      <c r="T278">
        <f>Table1[[#This Row],[Total price]]-Table1[[#This Row],[Discount Amount]]</f>
        <v>80.640000000000015</v>
      </c>
      <c r="U278">
        <f t="shared" si="14"/>
        <v>3870.7200000000007</v>
      </c>
    </row>
    <row r="279" spans="1:21">
      <c r="A279">
        <v>278</v>
      </c>
      <c r="B279" s="3" t="s">
        <v>2579</v>
      </c>
      <c r="C279" s="3" t="s">
        <v>1932</v>
      </c>
      <c r="D279" s="3" t="s">
        <v>2866</v>
      </c>
      <c r="E279" s="3" t="s">
        <v>3182</v>
      </c>
      <c r="F279" s="3">
        <v>95</v>
      </c>
      <c r="G279" s="4">
        <v>40513.449305555558</v>
      </c>
      <c r="H279" s="3">
        <v>4</v>
      </c>
      <c r="I279" s="5">
        <v>19</v>
      </c>
      <c r="J279" t="s">
        <v>158</v>
      </c>
      <c r="K279" t="s">
        <v>4497</v>
      </c>
      <c r="L279">
        <v>536395</v>
      </c>
      <c r="M279" s="2">
        <v>22866</v>
      </c>
      <c r="N279">
        <v>2.1</v>
      </c>
      <c r="O279" s="6">
        <v>48</v>
      </c>
      <c r="P279" s="3">
        <v>0.1</v>
      </c>
      <c r="Q279" t="s">
        <v>4</v>
      </c>
      <c r="R279" s="7">
        <f t="shared" si="12"/>
        <v>100.80000000000001</v>
      </c>
      <c r="S279" s="7">
        <f t="shared" si="13"/>
        <v>10.080000000000002</v>
      </c>
      <c r="T279">
        <f>Table1[[#This Row],[Total price]]-Table1[[#This Row],[Discount Amount]]</f>
        <v>90.720000000000013</v>
      </c>
      <c r="U279">
        <f t="shared" si="14"/>
        <v>4354.5600000000004</v>
      </c>
    </row>
    <row r="280" spans="1:21">
      <c r="A280">
        <v>279</v>
      </c>
      <c r="B280" s="3" t="s">
        <v>933</v>
      </c>
      <c r="C280" s="3" t="s">
        <v>1745</v>
      </c>
      <c r="D280" s="3" t="s">
        <v>2866</v>
      </c>
      <c r="E280" s="3" t="s">
        <v>3183</v>
      </c>
      <c r="F280" s="3">
        <v>95</v>
      </c>
      <c r="G280" s="4">
        <v>40513.45208333333</v>
      </c>
      <c r="H280" s="3">
        <v>4</v>
      </c>
      <c r="I280" s="5">
        <v>8</v>
      </c>
      <c r="J280" t="s">
        <v>440</v>
      </c>
      <c r="K280" t="s">
        <v>4497</v>
      </c>
      <c r="L280">
        <v>536397</v>
      </c>
      <c r="M280" s="2" t="s">
        <v>439</v>
      </c>
      <c r="N280">
        <v>4.6500000000000004</v>
      </c>
      <c r="O280" s="6">
        <v>12</v>
      </c>
      <c r="P280" s="3">
        <v>0.2</v>
      </c>
      <c r="Q280" t="s">
        <v>4</v>
      </c>
      <c r="R280" s="7">
        <f t="shared" si="12"/>
        <v>55.800000000000004</v>
      </c>
      <c r="S280" s="7">
        <f t="shared" si="13"/>
        <v>11.160000000000002</v>
      </c>
      <c r="T280">
        <f>Table1[[#This Row],[Total price]]-Table1[[#This Row],[Discount Amount]]</f>
        <v>44.64</v>
      </c>
      <c r="U280">
        <f t="shared" si="14"/>
        <v>535.68000000000006</v>
      </c>
    </row>
    <row r="281" spans="1:21">
      <c r="A281">
        <v>280</v>
      </c>
      <c r="B281" s="3" t="s">
        <v>2578</v>
      </c>
      <c r="C281" s="3" t="s">
        <v>1848</v>
      </c>
      <c r="D281" s="3" t="s">
        <v>2866</v>
      </c>
      <c r="E281" s="3" t="s">
        <v>3184</v>
      </c>
      <c r="F281" s="3">
        <v>95</v>
      </c>
      <c r="G281" s="4">
        <v>40513.45208333333</v>
      </c>
      <c r="H281" s="3">
        <v>4</v>
      </c>
      <c r="I281" s="5">
        <v>20</v>
      </c>
      <c r="J281" t="s">
        <v>222</v>
      </c>
      <c r="K281" t="s">
        <v>4497</v>
      </c>
      <c r="L281">
        <v>536397</v>
      </c>
      <c r="M281" s="2" t="s">
        <v>221</v>
      </c>
      <c r="N281">
        <v>4.6500000000000004</v>
      </c>
      <c r="O281" s="6">
        <v>48</v>
      </c>
      <c r="P281" s="3">
        <v>0.05</v>
      </c>
      <c r="Q281" t="s">
        <v>4</v>
      </c>
      <c r="R281" s="7">
        <f t="shared" si="12"/>
        <v>223.20000000000002</v>
      </c>
      <c r="S281" s="7">
        <f t="shared" si="13"/>
        <v>11.160000000000002</v>
      </c>
      <c r="T281">
        <f>Table1[[#This Row],[Total price]]-Table1[[#This Row],[Discount Amount]]</f>
        <v>212.04000000000002</v>
      </c>
      <c r="U281">
        <f t="shared" si="14"/>
        <v>10177.920000000002</v>
      </c>
    </row>
    <row r="282" spans="1:21">
      <c r="A282">
        <v>281</v>
      </c>
      <c r="B282" s="3" t="s">
        <v>2577</v>
      </c>
      <c r="C282" s="3" t="s">
        <v>983</v>
      </c>
      <c r="D282" s="3" t="s">
        <v>2866</v>
      </c>
      <c r="E282" s="3" t="s">
        <v>3185</v>
      </c>
      <c r="F282" s="3">
        <v>96</v>
      </c>
      <c r="G282" s="4">
        <v>40513.45208333333</v>
      </c>
      <c r="H282" s="3">
        <v>4</v>
      </c>
      <c r="I282" s="5">
        <v>26</v>
      </c>
      <c r="J282" t="s">
        <v>24</v>
      </c>
      <c r="K282" t="s">
        <v>4497</v>
      </c>
      <c r="L282">
        <v>536396</v>
      </c>
      <c r="M282" s="2" t="s">
        <v>23</v>
      </c>
      <c r="N282">
        <v>2.5499999999999998</v>
      </c>
      <c r="O282" s="6">
        <v>6</v>
      </c>
      <c r="P282" s="3">
        <v>0.1</v>
      </c>
      <c r="Q282" t="s">
        <v>4</v>
      </c>
      <c r="R282" s="7">
        <f t="shared" si="12"/>
        <v>15.299999999999999</v>
      </c>
      <c r="S282" s="7">
        <f t="shared" si="13"/>
        <v>1.53</v>
      </c>
      <c r="T282">
        <f>Table1[[#This Row],[Total price]]-Table1[[#This Row],[Discount Amount]]</f>
        <v>13.77</v>
      </c>
      <c r="U282">
        <f t="shared" si="14"/>
        <v>82.62</v>
      </c>
    </row>
    <row r="283" spans="1:21">
      <c r="A283">
        <v>282</v>
      </c>
      <c r="B283" s="3" t="s">
        <v>2127</v>
      </c>
      <c r="C283" s="3" t="s">
        <v>998</v>
      </c>
      <c r="D283" s="3" t="s">
        <v>2866</v>
      </c>
      <c r="E283" s="3" t="s">
        <v>3186</v>
      </c>
      <c r="F283" s="3">
        <v>96</v>
      </c>
      <c r="G283" s="4">
        <v>40513.45208333333</v>
      </c>
      <c r="H283" s="3">
        <v>4</v>
      </c>
      <c r="I283" s="5">
        <v>23</v>
      </c>
      <c r="J283" t="s">
        <v>231</v>
      </c>
      <c r="K283" t="s">
        <v>4497</v>
      </c>
      <c r="L283">
        <v>536396</v>
      </c>
      <c r="M283" s="2">
        <v>71053</v>
      </c>
      <c r="N283">
        <v>3.39</v>
      </c>
      <c r="O283" s="6">
        <v>6</v>
      </c>
      <c r="P283" s="3">
        <v>0.05</v>
      </c>
      <c r="Q283" t="s">
        <v>4</v>
      </c>
      <c r="R283" s="7">
        <f t="shared" si="12"/>
        <v>20.34</v>
      </c>
      <c r="S283" s="7">
        <f t="shared" si="13"/>
        <v>1.0170000000000001</v>
      </c>
      <c r="T283">
        <f>Table1[[#This Row],[Total price]]-Table1[[#This Row],[Discount Amount]]</f>
        <v>19.323</v>
      </c>
      <c r="U283">
        <f t="shared" si="14"/>
        <v>115.938</v>
      </c>
    </row>
    <row r="284" spans="1:21">
      <c r="A284">
        <v>283</v>
      </c>
      <c r="B284" s="3" t="s">
        <v>2576</v>
      </c>
      <c r="C284" s="3" t="s">
        <v>2239</v>
      </c>
      <c r="D284" s="3" t="s">
        <v>2866</v>
      </c>
      <c r="E284" s="3" t="s">
        <v>3187</v>
      </c>
      <c r="F284" s="3">
        <v>97</v>
      </c>
      <c r="G284" s="4">
        <v>40513.45208333333</v>
      </c>
      <c r="H284" s="3">
        <v>4</v>
      </c>
      <c r="I284" s="5">
        <v>20</v>
      </c>
      <c r="J284" t="s">
        <v>133</v>
      </c>
      <c r="K284" t="s">
        <v>4497</v>
      </c>
      <c r="L284">
        <v>536396</v>
      </c>
      <c r="M284" s="2" t="s">
        <v>132</v>
      </c>
      <c r="N284">
        <v>2.75</v>
      </c>
      <c r="O284" s="6">
        <v>8</v>
      </c>
      <c r="P284" s="3">
        <v>0.2</v>
      </c>
      <c r="Q284" t="s">
        <v>4</v>
      </c>
      <c r="R284" s="7">
        <f t="shared" si="12"/>
        <v>22</v>
      </c>
      <c r="S284" s="7">
        <f t="shared" si="13"/>
        <v>4.4000000000000004</v>
      </c>
      <c r="T284">
        <f>Table1[[#This Row],[Total price]]-Table1[[#This Row],[Discount Amount]]</f>
        <v>17.600000000000001</v>
      </c>
      <c r="U284">
        <f t="shared" si="14"/>
        <v>140.80000000000001</v>
      </c>
    </row>
    <row r="285" spans="1:21">
      <c r="A285">
        <v>284</v>
      </c>
      <c r="B285" s="3" t="s">
        <v>2575</v>
      </c>
      <c r="C285" s="3" t="s">
        <v>1761</v>
      </c>
      <c r="D285" s="3" t="s">
        <v>2866</v>
      </c>
      <c r="E285" s="3" t="s">
        <v>3188</v>
      </c>
      <c r="F285" s="3">
        <v>97</v>
      </c>
      <c r="G285" s="4">
        <v>40513.45208333333</v>
      </c>
      <c r="H285" s="3">
        <v>4</v>
      </c>
      <c r="I285" s="5">
        <v>2</v>
      </c>
      <c r="J285" t="s">
        <v>219</v>
      </c>
      <c r="K285" t="s">
        <v>4497</v>
      </c>
      <c r="L285">
        <v>536396</v>
      </c>
      <c r="M285" s="2" t="s">
        <v>218</v>
      </c>
      <c r="N285">
        <v>4.95</v>
      </c>
      <c r="O285" s="6">
        <v>6</v>
      </c>
      <c r="P285" s="3">
        <v>7.0000000000000007E-2</v>
      </c>
      <c r="Q285" t="s">
        <v>4</v>
      </c>
      <c r="R285" s="7">
        <f t="shared" si="12"/>
        <v>29.700000000000003</v>
      </c>
      <c r="S285" s="7">
        <f t="shared" si="13"/>
        <v>2.0790000000000002</v>
      </c>
      <c r="T285">
        <f>Table1[[#This Row],[Total price]]-Table1[[#This Row],[Discount Amount]]</f>
        <v>27.621000000000002</v>
      </c>
      <c r="U285">
        <f t="shared" si="14"/>
        <v>165.726</v>
      </c>
    </row>
    <row r="286" spans="1:21">
      <c r="A286">
        <v>285</v>
      </c>
      <c r="B286" s="3" t="s">
        <v>2574</v>
      </c>
      <c r="C286" s="3" t="s">
        <v>930</v>
      </c>
      <c r="D286" s="3" t="s">
        <v>2866</v>
      </c>
      <c r="E286" s="3" t="s">
        <v>3189</v>
      </c>
      <c r="F286" s="3">
        <v>97</v>
      </c>
      <c r="G286" s="4">
        <v>40513.45208333333</v>
      </c>
      <c r="H286" s="3">
        <v>4</v>
      </c>
      <c r="I286" s="5">
        <v>6</v>
      </c>
      <c r="J286" t="s">
        <v>217</v>
      </c>
      <c r="K286" t="s">
        <v>4497</v>
      </c>
      <c r="L286">
        <v>536396</v>
      </c>
      <c r="M286" s="2">
        <v>20679</v>
      </c>
      <c r="N286">
        <v>4.95</v>
      </c>
      <c r="O286" s="6">
        <v>6</v>
      </c>
      <c r="P286" s="3">
        <v>0.2</v>
      </c>
      <c r="Q286" t="s">
        <v>4</v>
      </c>
      <c r="R286" s="7">
        <f t="shared" si="12"/>
        <v>29.700000000000003</v>
      </c>
      <c r="S286" s="7">
        <f t="shared" si="13"/>
        <v>5.9400000000000013</v>
      </c>
      <c r="T286">
        <f>Table1[[#This Row],[Total price]]-Table1[[#This Row],[Discount Amount]]</f>
        <v>23.76</v>
      </c>
      <c r="U286">
        <f t="shared" si="14"/>
        <v>142.56</v>
      </c>
    </row>
    <row r="287" spans="1:21">
      <c r="A287">
        <v>286</v>
      </c>
      <c r="B287" s="3" t="s">
        <v>2573</v>
      </c>
      <c r="C287" s="3" t="s">
        <v>1736</v>
      </c>
      <c r="D287" s="3" t="s">
        <v>2866</v>
      </c>
      <c r="E287" s="3" t="s">
        <v>3190</v>
      </c>
      <c r="F287" s="3">
        <v>97</v>
      </c>
      <c r="G287" s="4">
        <v>40513.45208333333</v>
      </c>
      <c r="H287" s="3">
        <v>4</v>
      </c>
      <c r="I287" s="5">
        <v>19</v>
      </c>
      <c r="J287" t="s">
        <v>658</v>
      </c>
      <c r="K287" t="s">
        <v>4497</v>
      </c>
      <c r="L287">
        <v>536396</v>
      </c>
      <c r="M287" s="2">
        <v>37370</v>
      </c>
      <c r="N287">
        <v>1.06</v>
      </c>
      <c r="O287" s="6">
        <v>6</v>
      </c>
      <c r="P287" s="3">
        <v>0.1</v>
      </c>
      <c r="Q287" t="s">
        <v>4</v>
      </c>
      <c r="R287" s="7">
        <f t="shared" si="12"/>
        <v>6.36</v>
      </c>
      <c r="S287" s="7">
        <f t="shared" si="13"/>
        <v>0.63600000000000012</v>
      </c>
      <c r="T287">
        <f>Table1[[#This Row],[Total price]]-Table1[[#This Row],[Discount Amount]]</f>
        <v>5.7240000000000002</v>
      </c>
      <c r="U287">
        <f t="shared" si="14"/>
        <v>34.344000000000001</v>
      </c>
    </row>
    <row r="288" spans="1:21">
      <c r="A288">
        <v>287</v>
      </c>
      <c r="B288" s="3" t="s">
        <v>2572</v>
      </c>
      <c r="C288" s="3" t="s">
        <v>1864</v>
      </c>
      <c r="D288" s="3" t="s">
        <v>3191</v>
      </c>
      <c r="E288" s="3" t="s">
        <v>3192</v>
      </c>
      <c r="F288" s="3">
        <v>98</v>
      </c>
      <c r="G288" s="4">
        <v>40513.45208333333</v>
      </c>
      <c r="H288" s="3">
        <v>4</v>
      </c>
      <c r="I288" s="5">
        <v>19</v>
      </c>
      <c r="J288" t="s">
        <v>534</v>
      </c>
      <c r="K288" t="s">
        <v>4497</v>
      </c>
      <c r="L288">
        <v>536396</v>
      </c>
      <c r="M288" s="2">
        <v>21871</v>
      </c>
      <c r="N288">
        <v>1.06</v>
      </c>
      <c r="O288" s="6">
        <v>6</v>
      </c>
      <c r="P288" s="3">
        <v>7.0000000000000007E-2</v>
      </c>
      <c r="Q288" t="s">
        <v>4</v>
      </c>
      <c r="R288" s="7">
        <f t="shared" si="12"/>
        <v>6.36</v>
      </c>
      <c r="S288" s="7">
        <f t="shared" si="13"/>
        <v>0.44520000000000004</v>
      </c>
      <c r="T288">
        <f>Table1[[#This Row],[Total price]]-Table1[[#This Row],[Discount Amount]]</f>
        <v>5.9148000000000005</v>
      </c>
      <c r="U288">
        <f t="shared" si="14"/>
        <v>35.488800000000005</v>
      </c>
    </row>
    <row r="289" spans="1:21">
      <c r="A289">
        <v>288</v>
      </c>
      <c r="B289" s="3" t="s">
        <v>1436</v>
      </c>
      <c r="C289" s="3" t="s">
        <v>2571</v>
      </c>
      <c r="D289" s="3" t="s">
        <v>2866</v>
      </c>
      <c r="E289" s="3" t="s">
        <v>3193</v>
      </c>
      <c r="F289" s="3">
        <v>98</v>
      </c>
      <c r="G289" s="4">
        <v>40513.45208333333</v>
      </c>
      <c r="H289" s="3">
        <v>4</v>
      </c>
      <c r="I289" s="5">
        <v>21</v>
      </c>
      <c r="J289" t="s">
        <v>646</v>
      </c>
      <c r="K289" t="s">
        <v>4497</v>
      </c>
      <c r="L289">
        <v>536396</v>
      </c>
      <c r="M289" s="2">
        <v>21071</v>
      </c>
      <c r="N289">
        <v>1.06</v>
      </c>
      <c r="O289" s="6">
        <v>6</v>
      </c>
      <c r="P289" s="3">
        <v>0.1</v>
      </c>
      <c r="Q289" t="s">
        <v>4</v>
      </c>
      <c r="R289" s="7">
        <f t="shared" si="12"/>
        <v>6.36</v>
      </c>
      <c r="S289" s="7">
        <f t="shared" si="13"/>
        <v>0.63600000000000012</v>
      </c>
      <c r="T289">
        <f>Table1[[#This Row],[Total price]]-Table1[[#This Row],[Discount Amount]]</f>
        <v>5.7240000000000002</v>
      </c>
      <c r="U289">
        <f t="shared" si="14"/>
        <v>34.344000000000001</v>
      </c>
    </row>
    <row r="290" spans="1:21">
      <c r="A290">
        <v>289</v>
      </c>
      <c r="B290" s="3" t="s">
        <v>2570</v>
      </c>
      <c r="C290" s="3" t="s">
        <v>1083</v>
      </c>
      <c r="D290" s="3" t="s">
        <v>2866</v>
      </c>
      <c r="E290" s="3" t="s">
        <v>3194</v>
      </c>
      <c r="F290" s="3">
        <v>98</v>
      </c>
      <c r="G290" s="4">
        <v>40513.45208333333</v>
      </c>
      <c r="H290" s="3">
        <v>4</v>
      </c>
      <c r="I290" s="5">
        <v>2</v>
      </c>
      <c r="J290" t="s">
        <v>579</v>
      </c>
      <c r="K290" t="s">
        <v>4497</v>
      </c>
      <c r="L290">
        <v>536396</v>
      </c>
      <c r="M290" s="2">
        <v>21068</v>
      </c>
      <c r="N290">
        <v>1.06</v>
      </c>
      <c r="O290" s="6">
        <v>6</v>
      </c>
      <c r="P290" s="3">
        <v>0.2</v>
      </c>
      <c r="Q290" t="s">
        <v>4</v>
      </c>
      <c r="R290" s="7">
        <f t="shared" si="12"/>
        <v>6.36</v>
      </c>
      <c r="S290" s="7">
        <f t="shared" si="13"/>
        <v>1.2720000000000002</v>
      </c>
      <c r="T290">
        <f>Table1[[#This Row],[Total price]]-Table1[[#This Row],[Discount Amount]]</f>
        <v>5.0880000000000001</v>
      </c>
      <c r="U290">
        <f t="shared" si="14"/>
        <v>30.527999999999999</v>
      </c>
    </row>
    <row r="291" spans="1:21">
      <c r="A291">
        <v>290</v>
      </c>
      <c r="B291" s="3" t="s">
        <v>1196</v>
      </c>
      <c r="C291" s="3" t="s">
        <v>1880</v>
      </c>
      <c r="D291" s="3" t="s">
        <v>2866</v>
      </c>
      <c r="E291" s="3" t="s">
        <v>3195</v>
      </c>
      <c r="F291" s="3">
        <v>98</v>
      </c>
      <c r="G291" s="4">
        <v>40513.45208333333</v>
      </c>
      <c r="H291" s="3">
        <v>4</v>
      </c>
      <c r="I291" s="5">
        <v>22</v>
      </c>
      <c r="J291" t="s">
        <v>458</v>
      </c>
      <c r="K291" t="s">
        <v>4497</v>
      </c>
      <c r="L291">
        <v>536396</v>
      </c>
      <c r="M291" s="2">
        <v>82483</v>
      </c>
      <c r="N291">
        <v>4.95</v>
      </c>
      <c r="O291" s="6">
        <v>2</v>
      </c>
      <c r="P291" s="3">
        <v>0.2</v>
      </c>
      <c r="Q291" t="s">
        <v>4</v>
      </c>
      <c r="R291" s="7">
        <f t="shared" si="12"/>
        <v>9.9</v>
      </c>
      <c r="S291" s="7">
        <f t="shared" si="13"/>
        <v>1.9800000000000002</v>
      </c>
      <c r="T291">
        <f>Table1[[#This Row],[Total price]]-Table1[[#This Row],[Discount Amount]]</f>
        <v>7.92</v>
      </c>
      <c r="U291">
        <f t="shared" si="14"/>
        <v>15.84</v>
      </c>
    </row>
    <row r="292" spans="1:21">
      <c r="A292">
        <v>291</v>
      </c>
      <c r="B292" s="3" t="s">
        <v>2569</v>
      </c>
      <c r="C292" s="3" t="s">
        <v>2108</v>
      </c>
      <c r="D292" s="3" t="s">
        <v>2866</v>
      </c>
      <c r="E292" s="3" t="s">
        <v>3196</v>
      </c>
      <c r="F292" s="3">
        <v>99</v>
      </c>
      <c r="G292" s="4">
        <v>40513.45208333333</v>
      </c>
      <c r="H292" s="3">
        <v>4</v>
      </c>
      <c r="I292" s="5">
        <v>13</v>
      </c>
      <c r="J292" t="s">
        <v>607</v>
      </c>
      <c r="K292" t="s">
        <v>4497</v>
      </c>
      <c r="L292">
        <v>536396</v>
      </c>
      <c r="M292" s="2">
        <v>82486</v>
      </c>
      <c r="N292">
        <v>6.95</v>
      </c>
      <c r="O292" s="6">
        <v>4</v>
      </c>
      <c r="P292" s="3">
        <v>0.2</v>
      </c>
      <c r="Q292" t="s">
        <v>4</v>
      </c>
      <c r="R292" s="7">
        <f t="shared" si="12"/>
        <v>27.8</v>
      </c>
      <c r="S292" s="7">
        <f t="shared" si="13"/>
        <v>5.5600000000000005</v>
      </c>
      <c r="T292">
        <f>Table1[[#This Row],[Total price]]-Table1[[#This Row],[Discount Amount]]</f>
        <v>22.240000000000002</v>
      </c>
      <c r="U292">
        <f t="shared" si="14"/>
        <v>88.960000000000008</v>
      </c>
    </row>
    <row r="293" spans="1:21">
      <c r="A293">
        <v>292</v>
      </c>
      <c r="B293" s="3" t="s">
        <v>2568</v>
      </c>
      <c r="C293" s="3" t="s">
        <v>1736</v>
      </c>
      <c r="D293" s="3" t="s">
        <v>3197</v>
      </c>
      <c r="E293" s="3" t="s">
        <v>3198</v>
      </c>
      <c r="F293" s="3">
        <v>99</v>
      </c>
      <c r="G293" s="4">
        <v>40513.45208333333</v>
      </c>
      <c r="H293" s="3">
        <v>4</v>
      </c>
      <c r="I293" s="5">
        <v>21</v>
      </c>
      <c r="J293" t="s">
        <v>246</v>
      </c>
      <c r="K293" t="s">
        <v>4497</v>
      </c>
      <c r="L293">
        <v>536396</v>
      </c>
      <c r="M293" s="2">
        <v>82482</v>
      </c>
      <c r="N293">
        <v>2.1</v>
      </c>
      <c r="O293" s="6">
        <v>6</v>
      </c>
      <c r="P293" s="3">
        <v>0.2</v>
      </c>
      <c r="Q293" t="s">
        <v>4</v>
      </c>
      <c r="R293" s="7">
        <f t="shared" si="12"/>
        <v>12.600000000000001</v>
      </c>
      <c r="S293" s="7">
        <f t="shared" si="13"/>
        <v>2.5200000000000005</v>
      </c>
      <c r="T293">
        <f>Table1[[#This Row],[Total price]]-Table1[[#This Row],[Discount Amount]]</f>
        <v>10.080000000000002</v>
      </c>
      <c r="U293">
        <f t="shared" si="14"/>
        <v>60.480000000000011</v>
      </c>
    </row>
    <row r="294" spans="1:21">
      <c r="A294">
        <v>293</v>
      </c>
      <c r="B294" s="3" t="s">
        <v>2567</v>
      </c>
      <c r="C294" s="3" t="s">
        <v>2566</v>
      </c>
      <c r="D294" s="3" t="s">
        <v>2866</v>
      </c>
      <c r="E294" s="3" t="s">
        <v>3199</v>
      </c>
      <c r="F294" s="3">
        <v>99</v>
      </c>
      <c r="G294" s="4">
        <v>40513.45208333333</v>
      </c>
      <c r="H294" s="3">
        <v>4</v>
      </c>
      <c r="I294" s="5">
        <v>25</v>
      </c>
      <c r="J294" t="s">
        <v>245</v>
      </c>
      <c r="K294" t="s">
        <v>4497</v>
      </c>
      <c r="L294">
        <v>536396</v>
      </c>
      <c r="M294" s="2" t="s">
        <v>244</v>
      </c>
      <c r="N294">
        <v>2.5499999999999998</v>
      </c>
      <c r="O294" s="6">
        <v>12</v>
      </c>
      <c r="P294" s="3">
        <v>0.05</v>
      </c>
      <c r="Q294" t="s">
        <v>4</v>
      </c>
      <c r="R294" s="7">
        <f t="shared" si="12"/>
        <v>30.599999999999998</v>
      </c>
      <c r="S294" s="7">
        <f t="shared" si="13"/>
        <v>1.53</v>
      </c>
      <c r="T294">
        <f>Table1[[#This Row],[Total price]]-Table1[[#This Row],[Discount Amount]]</f>
        <v>29.069999999999997</v>
      </c>
      <c r="U294">
        <f t="shared" si="14"/>
        <v>348.84</v>
      </c>
    </row>
    <row r="295" spans="1:21">
      <c r="A295">
        <v>294</v>
      </c>
      <c r="B295" s="3" t="s">
        <v>2565</v>
      </c>
      <c r="C295" s="3" t="s">
        <v>2564</v>
      </c>
      <c r="D295" s="3" t="s">
        <v>2866</v>
      </c>
      <c r="E295" s="3" t="s">
        <v>3200</v>
      </c>
      <c r="F295" s="3">
        <v>99</v>
      </c>
      <c r="G295" s="4">
        <v>40513.45208333333</v>
      </c>
      <c r="H295" s="3">
        <v>4</v>
      </c>
      <c r="I295" s="5">
        <v>7</v>
      </c>
      <c r="J295" t="s">
        <v>442</v>
      </c>
      <c r="K295" t="s">
        <v>4497</v>
      </c>
      <c r="L295">
        <v>536396</v>
      </c>
      <c r="M295" s="2" t="s">
        <v>441</v>
      </c>
      <c r="N295">
        <v>3.39</v>
      </c>
      <c r="O295" s="6">
        <v>6</v>
      </c>
      <c r="P295" s="3">
        <v>7.0000000000000007E-2</v>
      </c>
      <c r="Q295" t="s">
        <v>4</v>
      </c>
      <c r="R295" s="7">
        <f t="shared" si="12"/>
        <v>20.34</v>
      </c>
      <c r="S295" s="7">
        <f t="shared" si="13"/>
        <v>1.4238000000000002</v>
      </c>
      <c r="T295">
        <f>Table1[[#This Row],[Total price]]-Table1[[#This Row],[Discount Amount]]</f>
        <v>18.9162</v>
      </c>
      <c r="U295">
        <f t="shared" si="14"/>
        <v>113.49719999999999</v>
      </c>
    </row>
    <row r="296" spans="1:21">
      <c r="A296">
        <v>295</v>
      </c>
      <c r="B296" s="3" t="s">
        <v>2563</v>
      </c>
      <c r="C296" s="3" t="s">
        <v>1380</v>
      </c>
      <c r="D296" s="3" t="s">
        <v>2866</v>
      </c>
      <c r="E296" s="3" t="s">
        <v>3201</v>
      </c>
      <c r="F296" s="3">
        <v>99</v>
      </c>
      <c r="G296" s="4">
        <v>40513.45208333333</v>
      </c>
      <c r="H296" s="3">
        <v>4</v>
      </c>
      <c r="I296" s="5">
        <v>23</v>
      </c>
      <c r="J296" t="s">
        <v>73</v>
      </c>
      <c r="K296" t="s">
        <v>4497</v>
      </c>
      <c r="L296">
        <v>536396</v>
      </c>
      <c r="M296" s="2" t="s">
        <v>72</v>
      </c>
      <c r="N296">
        <v>3.39</v>
      </c>
      <c r="O296" s="6">
        <v>6</v>
      </c>
      <c r="P296" s="3">
        <v>0.2</v>
      </c>
      <c r="Q296" t="s">
        <v>4</v>
      </c>
      <c r="R296" s="7">
        <f t="shared" si="12"/>
        <v>20.34</v>
      </c>
      <c r="S296" s="7">
        <f t="shared" si="13"/>
        <v>4.0680000000000005</v>
      </c>
      <c r="T296">
        <f>Table1[[#This Row],[Total price]]-Table1[[#This Row],[Discount Amount]]</f>
        <v>16.271999999999998</v>
      </c>
      <c r="U296">
        <f t="shared" si="14"/>
        <v>97.631999999999991</v>
      </c>
    </row>
    <row r="297" spans="1:21">
      <c r="A297">
        <v>296</v>
      </c>
      <c r="B297" s="3" t="s">
        <v>2562</v>
      </c>
      <c r="C297" s="3" t="s">
        <v>1210</v>
      </c>
      <c r="D297" s="3" t="s">
        <v>2866</v>
      </c>
      <c r="E297" s="3" t="s">
        <v>3202</v>
      </c>
      <c r="F297" s="3">
        <v>100</v>
      </c>
      <c r="G297" s="4">
        <v>40513.45208333333</v>
      </c>
      <c r="H297" s="3">
        <v>4</v>
      </c>
      <c r="I297" s="5">
        <v>12</v>
      </c>
      <c r="J297" t="s">
        <v>227</v>
      </c>
      <c r="K297" t="s">
        <v>4497</v>
      </c>
      <c r="L297">
        <v>536396</v>
      </c>
      <c r="M297" s="2">
        <v>22752</v>
      </c>
      <c r="N297">
        <v>7.65</v>
      </c>
      <c r="O297" s="6">
        <v>2</v>
      </c>
      <c r="P297" s="3">
        <v>0.05</v>
      </c>
      <c r="Q297" t="s">
        <v>4</v>
      </c>
      <c r="R297" s="7">
        <f t="shared" si="12"/>
        <v>15.3</v>
      </c>
      <c r="S297" s="7">
        <f t="shared" si="13"/>
        <v>0.76500000000000012</v>
      </c>
      <c r="T297">
        <f>Table1[[#This Row],[Total price]]-Table1[[#This Row],[Discount Amount]]</f>
        <v>14.535</v>
      </c>
      <c r="U297">
        <f t="shared" si="14"/>
        <v>29.07</v>
      </c>
    </row>
    <row r="298" spans="1:21">
      <c r="A298">
        <v>297</v>
      </c>
      <c r="B298" s="3" t="s">
        <v>2542</v>
      </c>
      <c r="C298" s="3" t="s">
        <v>1155</v>
      </c>
      <c r="D298" s="3" t="s">
        <v>2866</v>
      </c>
      <c r="E298" s="3" t="s">
        <v>3203</v>
      </c>
      <c r="F298" s="3">
        <v>100</v>
      </c>
      <c r="G298" s="4">
        <v>40513.45208333333</v>
      </c>
      <c r="H298" s="3">
        <v>4</v>
      </c>
      <c r="I298" s="5">
        <v>11</v>
      </c>
      <c r="J298" t="s">
        <v>840</v>
      </c>
      <c r="K298" t="s">
        <v>4497</v>
      </c>
      <c r="L298">
        <v>536396</v>
      </c>
      <c r="M298" s="2">
        <v>22803</v>
      </c>
      <c r="N298">
        <v>35.75</v>
      </c>
      <c r="O298" s="6">
        <v>2</v>
      </c>
      <c r="P298" s="3">
        <v>0.1</v>
      </c>
      <c r="Q298" t="s">
        <v>4</v>
      </c>
      <c r="R298" s="7">
        <f t="shared" si="12"/>
        <v>71.5</v>
      </c>
      <c r="S298" s="7">
        <f t="shared" si="13"/>
        <v>7.15</v>
      </c>
      <c r="T298">
        <f>Table1[[#This Row],[Total price]]-Table1[[#This Row],[Discount Amount]]</f>
        <v>64.349999999999994</v>
      </c>
      <c r="U298">
        <f t="shared" si="14"/>
        <v>128.69999999999999</v>
      </c>
    </row>
    <row r="299" spans="1:21">
      <c r="A299">
        <v>298</v>
      </c>
      <c r="B299" s="3" t="s">
        <v>2561</v>
      </c>
      <c r="C299" s="3" t="s">
        <v>2560</v>
      </c>
      <c r="D299" s="3" t="s">
        <v>2866</v>
      </c>
      <c r="E299" s="3" t="s">
        <v>3204</v>
      </c>
      <c r="F299" s="3">
        <v>100</v>
      </c>
      <c r="G299" s="4">
        <v>40513.45208333333</v>
      </c>
      <c r="H299" s="3">
        <v>4</v>
      </c>
      <c r="I299" s="5">
        <v>7</v>
      </c>
      <c r="J299" t="s">
        <v>437</v>
      </c>
      <c r="K299" t="s">
        <v>4497</v>
      </c>
      <c r="L299">
        <v>536396</v>
      </c>
      <c r="M299" s="2">
        <v>21730</v>
      </c>
      <c r="N299">
        <v>4.25</v>
      </c>
      <c r="O299" s="6">
        <v>6</v>
      </c>
      <c r="P299" s="3">
        <v>0.2</v>
      </c>
      <c r="Q299" t="s">
        <v>4</v>
      </c>
      <c r="R299" s="7">
        <f t="shared" si="12"/>
        <v>25.5</v>
      </c>
      <c r="S299" s="7">
        <f t="shared" si="13"/>
        <v>5.1000000000000005</v>
      </c>
      <c r="T299">
        <f>Table1[[#This Row],[Total price]]-Table1[[#This Row],[Discount Amount]]</f>
        <v>20.399999999999999</v>
      </c>
      <c r="U299">
        <f t="shared" si="14"/>
        <v>122.39999999999999</v>
      </c>
    </row>
    <row r="300" spans="1:21">
      <c r="A300">
        <v>299</v>
      </c>
      <c r="B300" s="3" t="s">
        <v>2559</v>
      </c>
      <c r="C300" s="3" t="s">
        <v>2558</v>
      </c>
      <c r="D300" s="3" t="s">
        <v>2866</v>
      </c>
      <c r="E300" s="3" t="s">
        <v>3205</v>
      </c>
      <c r="F300" s="3">
        <v>100</v>
      </c>
      <c r="G300" s="4">
        <v>40513.452777777777</v>
      </c>
      <c r="H300" s="3">
        <v>4</v>
      </c>
      <c r="I300" s="5">
        <v>16</v>
      </c>
      <c r="J300" t="s">
        <v>599</v>
      </c>
      <c r="K300" t="s">
        <v>4497</v>
      </c>
      <c r="L300">
        <v>536399</v>
      </c>
      <c r="M300" s="2">
        <v>22632</v>
      </c>
      <c r="N300">
        <v>1.85</v>
      </c>
      <c r="O300" s="6">
        <v>6</v>
      </c>
      <c r="P300" s="3">
        <v>0.2</v>
      </c>
      <c r="Q300" t="s">
        <v>4</v>
      </c>
      <c r="R300" s="7">
        <f t="shared" si="12"/>
        <v>11.100000000000001</v>
      </c>
      <c r="S300" s="7">
        <f t="shared" si="13"/>
        <v>2.2200000000000002</v>
      </c>
      <c r="T300">
        <f>Table1[[#This Row],[Total price]]-Table1[[#This Row],[Discount Amount]]</f>
        <v>8.8800000000000008</v>
      </c>
      <c r="U300">
        <f t="shared" si="14"/>
        <v>53.28</v>
      </c>
    </row>
    <row r="301" spans="1:21">
      <c r="A301">
        <v>300</v>
      </c>
      <c r="B301" s="3" t="s">
        <v>2557</v>
      </c>
      <c r="C301" s="3" t="s">
        <v>2556</v>
      </c>
      <c r="D301" s="3" t="s">
        <v>2866</v>
      </c>
      <c r="E301" s="3" t="s">
        <v>3206</v>
      </c>
      <c r="F301" s="3">
        <v>100</v>
      </c>
      <c r="G301" s="4">
        <v>40513.452777777777</v>
      </c>
      <c r="H301" s="3">
        <v>4</v>
      </c>
      <c r="I301" s="5">
        <v>24</v>
      </c>
      <c r="J301" t="s">
        <v>28</v>
      </c>
      <c r="K301" t="s">
        <v>4497</v>
      </c>
      <c r="L301">
        <v>536399</v>
      </c>
      <c r="M301" s="2">
        <v>22633</v>
      </c>
      <c r="N301">
        <v>1.85</v>
      </c>
      <c r="O301" s="6">
        <v>6</v>
      </c>
      <c r="P301" s="3">
        <v>0.1</v>
      </c>
      <c r="Q301" t="s">
        <v>4</v>
      </c>
      <c r="R301" s="7">
        <f t="shared" si="12"/>
        <v>11.100000000000001</v>
      </c>
      <c r="S301" s="7">
        <f t="shared" si="13"/>
        <v>1.1100000000000001</v>
      </c>
      <c r="T301">
        <f>Table1[[#This Row],[Total price]]-Table1[[#This Row],[Discount Amount]]</f>
        <v>9.990000000000002</v>
      </c>
      <c r="U301">
        <f t="shared" si="14"/>
        <v>59.940000000000012</v>
      </c>
    </row>
    <row r="302" spans="1:21">
      <c r="A302">
        <v>301</v>
      </c>
      <c r="B302" s="3" t="s">
        <v>1076</v>
      </c>
      <c r="C302" s="3" t="s">
        <v>2555</v>
      </c>
      <c r="D302" s="3" t="s">
        <v>2866</v>
      </c>
      <c r="E302" s="3" t="s">
        <v>3207</v>
      </c>
      <c r="F302" s="3">
        <v>101</v>
      </c>
      <c r="G302" s="4">
        <v>40513.452777777777</v>
      </c>
      <c r="H302" s="3">
        <v>4</v>
      </c>
      <c r="I302" s="5">
        <v>12</v>
      </c>
      <c r="J302" t="s">
        <v>259</v>
      </c>
      <c r="K302" t="s">
        <v>4497</v>
      </c>
      <c r="L302">
        <v>536398</v>
      </c>
      <c r="M302" s="2">
        <v>21980</v>
      </c>
      <c r="N302">
        <v>0.28999999999999998</v>
      </c>
      <c r="O302" s="6">
        <v>24</v>
      </c>
      <c r="P302" s="3">
        <v>0.2</v>
      </c>
      <c r="Q302" t="s">
        <v>4</v>
      </c>
      <c r="R302" s="7">
        <f t="shared" si="12"/>
        <v>6.9599999999999991</v>
      </c>
      <c r="S302" s="7">
        <f t="shared" si="13"/>
        <v>1.3919999999999999</v>
      </c>
      <c r="T302">
        <f>Table1[[#This Row],[Total price]]-Table1[[#This Row],[Discount Amount]]</f>
        <v>5.5679999999999996</v>
      </c>
      <c r="U302">
        <f t="shared" si="14"/>
        <v>133.63200000000001</v>
      </c>
    </row>
    <row r="303" spans="1:21">
      <c r="A303">
        <v>302</v>
      </c>
      <c r="B303" s="3" t="s">
        <v>1830</v>
      </c>
      <c r="C303" s="3" t="s">
        <v>1312</v>
      </c>
      <c r="D303" s="3" t="s">
        <v>2866</v>
      </c>
      <c r="E303" s="3" t="s">
        <v>3208</v>
      </c>
      <c r="F303" s="3">
        <v>102</v>
      </c>
      <c r="G303" s="4">
        <v>40513.452777777777</v>
      </c>
      <c r="H303" s="3">
        <v>4</v>
      </c>
      <c r="I303" s="5">
        <v>15</v>
      </c>
      <c r="J303" t="s">
        <v>609</v>
      </c>
      <c r="K303" t="s">
        <v>4497</v>
      </c>
      <c r="L303">
        <v>536398</v>
      </c>
      <c r="M303" s="2">
        <v>21844</v>
      </c>
      <c r="N303">
        <v>2.95</v>
      </c>
      <c r="O303" s="6">
        <v>6</v>
      </c>
      <c r="P303" s="3">
        <v>0.05</v>
      </c>
      <c r="Q303" t="s">
        <v>4</v>
      </c>
      <c r="R303" s="7">
        <f t="shared" si="12"/>
        <v>17.700000000000003</v>
      </c>
      <c r="S303" s="7">
        <f t="shared" si="13"/>
        <v>0.88500000000000023</v>
      </c>
      <c r="T303">
        <f>Table1[[#This Row],[Total price]]-Table1[[#This Row],[Discount Amount]]</f>
        <v>16.815000000000001</v>
      </c>
      <c r="U303">
        <f t="shared" si="14"/>
        <v>100.89000000000001</v>
      </c>
    </row>
    <row r="304" spans="1:21">
      <c r="A304">
        <v>303</v>
      </c>
      <c r="B304" s="3" t="s">
        <v>2554</v>
      </c>
      <c r="C304" s="3" t="s">
        <v>2553</v>
      </c>
      <c r="D304" s="3" t="s">
        <v>2866</v>
      </c>
      <c r="E304" s="3" t="s">
        <v>3209</v>
      </c>
      <c r="F304" s="3">
        <v>102</v>
      </c>
      <c r="G304" s="4">
        <v>40513.452777777777</v>
      </c>
      <c r="H304" s="3">
        <v>4</v>
      </c>
      <c r="I304" s="5">
        <v>22</v>
      </c>
      <c r="J304" t="s">
        <v>556</v>
      </c>
      <c r="K304" t="s">
        <v>4497</v>
      </c>
      <c r="L304">
        <v>536398</v>
      </c>
      <c r="M304" s="2">
        <v>22468</v>
      </c>
      <c r="N304">
        <v>6.75</v>
      </c>
      <c r="O304" s="6">
        <v>4</v>
      </c>
      <c r="P304" s="3">
        <v>7.0000000000000007E-2</v>
      </c>
      <c r="Q304" t="s">
        <v>4</v>
      </c>
      <c r="R304" s="7">
        <f t="shared" si="12"/>
        <v>27</v>
      </c>
      <c r="S304" s="7">
        <f t="shared" si="13"/>
        <v>1.8900000000000001</v>
      </c>
      <c r="T304">
        <f>Table1[[#This Row],[Total price]]-Table1[[#This Row],[Discount Amount]]</f>
        <v>25.11</v>
      </c>
      <c r="U304">
        <f t="shared" si="14"/>
        <v>100.44</v>
      </c>
    </row>
    <row r="305" spans="1:21">
      <c r="A305">
        <v>304</v>
      </c>
      <c r="B305" s="3" t="s">
        <v>2552</v>
      </c>
      <c r="C305" s="3" t="s">
        <v>1068</v>
      </c>
      <c r="D305" s="3" t="s">
        <v>2866</v>
      </c>
      <c r="E305" s="3" t="s">
        <v>3210</v>
      </c>
      <c r="F305" s="3">
        <v>103</v>
      </c>
      <c r="G305" s="4">
        <v>40513.452777777777</v>
      </c>
      <c r="H305" s="3">
        <v>4</v>
      </c>
      <c r="I305" s="5">
        <v>17</v>
      </c>
      <c r="J305" t="s">
        <v>608</v>
      </c>
      <c r="K305" t="s">
        <v>4497</v>
      </c>
      <c r="L305">
        <v>536398</v>
      </c>
      <c r="M305" s="2">
        <v>22637</v>
      </c>
      <c r="N305">
        <v>2.5499999999999998</v>
      </c>
      <c r="O305" s="6">
        <v>8</v>
      </c>
      <c r="P305" s="3">
        <v>7.0000000000000007E-2</v>
      </c>
      <c r="Q305" t="s">
        <v>4</v>
      </c>
      <c r="R305" s="7">
        <f t="shared" si="12"/>
        <v>20.399999999999999</v>
      </c>
      <c r="S305" s="7">
        <f t="shared" si="13"/>
        <v>1.4279999999999999</v>
      </c>
      <c r="T305">
        <f>Table1[[#This Row],[Total price]]-Table1[[#This Row],[Discount Amount]]</f>
        <v>18.971999999999998</v>
      </c>
      <c r="U305">
        <f t="shared" si="14"/>
        <v>151.77599999999998</v>
      </c>
    </row>
    <row r="306" spans="1:21">
      <c r="A306">
        <v>305</v>
      </c>
      <c r="B306" s="3" t="s">
        <v>2551</v>
      </c>
      <c r="C306" s="3" t="s">
        <v>944</v>
      </c>
      <c r="D306" s="3" t="s">
        <v>2866</v>
      </c>
      <c r="E306" s="3" t="s">
        <v>3211</v>
      </c>
      <c r="F306" s="3">
        <v>103</v>
      </c>
      <c r="G306" s="4">
        <v>40513.452777777777</v>
      </c>
      <c r="H306" s="3">
        <v>4</v>
      </c>
      <c r="I306" s="5">
        <v>3</v>
      </c>
      <c r="J306" t="s">
        <v>227</v>
      </c>
      <c r="K306" t="s">
        <v>4497</v>
      </c>
      <c r="L306">
        <v>536398</v>
      </c>
      <c r="M306" s="2">
        <v>22752</v>
      </c>
      <c r="N306">
        <v>8.5</v>
      </c>
      <c r="O306" s="6">
        <v>6</v>
      </c>
      <c r="P306" s="3">
        <v>0.05</v>
      </c>
      <c r="Q306" t="s">
        <v>4</v>
      </c>
      <c r="R306" s="7">
        <f t="shared" si="12"/>
        <v>51</v>
      </c>
      <c r="S306" s="7">
        <f t="shared" si="13"/>
        <v>2.5500000000000003</v>
      </c>
      <c r="T306">
        <f>Table1[[#This Row],[Total price]]-Table1[[#This Row],[Discount Amount]]</f>
        <v>48.45</v>
      </c>
      <c r="U306">
        <f t="shared" si="14"/>
        <v>290.70000000000005</v>
      </c>
    </row>
    <row r="307" spans="1:21">
      <c r="A307">
        <v>306</v>
      </c>
      <c r="B307" s="3" t="s">
        <v>2550</v>
      </c>
      <c r="C307" s="3" t="s">
        <v>1529</v>
      </c>
      <c r="D307" s="3" t="s">
        <v>2866</v>
      </c>
      <c r="E307" s="3" t="s">
        <v>3212</v>
      </c>
      <c r="F307" s="3">
        <v>103</v>
      </c>
      <c r="G307" s="4">
        <v>40513.452777777777</v>
      </c>
      <c r="H307" s="3">
        <v>4</v>
      </c>
      <c r="I307" s="5">
        <v>18</v>
      </c>
      <c r="J307" t="s">
        <v>640</v>
      </c>
      <c r="K307" t="s">
        <v>4497</v>
      </c>
      <c r="L307">
        <v>536398</v>
      </c>
      <c r="M307" s="2">
        <v>48185</v>
      </c>
      <c r="N307">
        <v>7.95</v>
      </c>
      <c r="O307" s="6">
        <v>2</v>
      </c>
      <c r="P307" s="3">
        <v>0.2</v>
      </c>
      <c r="Q307" t="s">
        <v>4</v>
      </c>
      <c r="R307" s="7">
        <f t="shared" si="12"/>
        <v>15.9</v>
      </c>
      <c r="S307" s="7">
        <f t="shared" si="13"/>
        <v>3.18</v>
      </c>
      <c r="T307">
        <f>Table1[[#This Row],[Total price]]-Table1[[#This Row],[Discount Amount]]</f>
        <v>12.72</v>
      </c>
      <c r="U307">
        <f t="shared" si="14"/>
        <v>25.44</v>
      </c>
    </row>
    <row r="308" spans="1:21">
      <c r="A308">
        <v>307</v>
      </c>
      <c r="B308" s="3" t="s">
        <v>2549</v>
      </c>
      <c r="C308" s="3" t="s">
        <v>2080</v>
      </c>
      <c r="D308" s="3" t="s">
        <v>2866</v>
      </c>
      <c r="E308" s="3" t="s">
        <v>3213</v>
      </c>
      <c r="F308" s="3">
        <v>103</v>
      </c>
      <c r="G308" s="4">
        <v>40513.452777777777</v>
      </c>
      <c r="H308" s="3">
        <v>4</v>
      </c>
      <c r="I308" s="5">
        <v>15</v>
      </c>
      <c r="J308" t="s">
        <v>26</v>
      </c>
      <c r="K308" t="s">
        <v>4497</v>
      </c>
      <c r="L308">
        <v>536398</v>
      </c>
      <c r="M308" s="2">
        <v>22632</v>
      </c>
      <c r="N308">
        <v>2.1</v>
      </c>
      <c r="O308" s="6">
        <v>12</v>
      </c>
      <c r="P308" s="3">
        <v>0.1</v>
      </c>
      <c r="Q308" t="s">
        <v>4</v>
      </c>
      <c r="R308" s="7">
        <f t="shared" si="12"/>
        <v>25.200000000000003</v>
      </c>
      <c r="S308" s="7">
        <f t="shared" si="13"/>
        <v>2.5200000000000005</v>
      </c>
      <c r="T308">
        <f>Table1[[#This Row],[Total price]]-Table1[[#This Row],[Discount Amount]]</f>
        <v>22.680000000000003</v>
      </c>
      <c r="U308">
        <f t="shared" si="14"/>
        <v>272.16000000000003</v>
      </c>
    </row>
    <row r="309" spans="1:21">
      <c r="A309">
        <v>308</v>
      </c>
      <c r="B309" s="3" t="s">
        <v>2548</v>
      </c>
      <c r="C309" s="3" t="s">
        <v>2084</v>
      </c>
      <c r="D309" s="3" t="s">
        <v>2866</v>
      </c>
      <c r="E309" s="3" t="s">
        <v>3214</v>
      </c>
      <c r="F309" s="3">
        <v>103</v>
      </c>
      <c r="G309" s="4">
        <v>40513.452777777777</v>
      </c>
      <c r="H309" s="3">
        <v>4</v>
      </c>
      <c r="I309" s="5">
        <v>9</v>
      </c>
      <c r="J309" t="s">
        <v>158</v>
      </c>
      <c r="K309" t="s">
        <v>4497</v>
      </c>
      <c r="L309">
        <v>536398</v>
      </c>
      <c r="M309" s="2">
        <v>22866</v>
      </c>
      <c r="N309">
        <v>2.1</v>
      </c>
      <c r="O309" s="6">
        <v>12</v>
      </c>
      <c r="P309" s="3">
        <v>0.1</v>
      </c>
      <c r="Q309" t="s">
        <v>4</v>
      </c>
      <c r="R309" s="7">
        <f t="shared" si="12"/>
        <v>25.200000000000003</v>
      </c>
      <c r="S309" s="7">
        <f t="shared" si="13"/>
        <v>2.5200000000000005</v>
      </c>
      <c r="T309">
        <f>Table1[[#This Row],[Total price]]-Table1[[#This Row],[Discount Amount]]</f>
        <v>22.680000000000003</v>
      </c>
      <c r="U309">
        <f t="shared" si="14"/>
        <v>272.16000000000003</v>
      </c>
    </row>
    <row r="310" spans="1:21">
      <c r="A310">
        <v>309</v>
      </c>
      <c r="B310" s="3" t="s">
        <v>1185</v>
      </c>
      <c r="C310" s="3" t="s">
        <v>2547</v>
      </c>
      <c r="D310" s="3" t="s">
        <v>2866</v>
      </c>
      <c r="E310" s="3" t="s">
        <v>3215</v>
      </c>
      <c r="F310" s="3">
        <v>104</v>
      </c>
      <c r="G310" s="4">
        <v>40513.452777777777</v>
      </c>
      <c r="H310" s="3">
        <v>4</v>
      </c>
      <c r="I310" s="5">
        <v>19</v>
      </c>
      <c r="J310" t="s">
        <v>27</v>
      </c>
      <c r="K310" t="s">
        <v>4497</v>
      </c>
      <c r="L310">
        <v>536398</v>
      </c>
      <c r="M310" s="2">
        <v>22865</v>
      </c>
      <c r="N310">
        <v>2.1</v>
      </c>
      <c r="O310" s="6">
        <v>12</v>
      </c>
      <c r="P310" s="3">
        <v>0.1</v>
      </c>
      <c r="Q310" t="s">
        <v>4</v>
      </c>
      <c r="R310" s="7">
        <f t="shared" si="12"/>
        <v>25.200000000000003</v>
      </c>
      <c r="S310" s="7">
        <f t="shared" si="13"/>
        <v>2.5200000000000005</v>
      </c>
      <c r="T310">
        <f>Table1[[#This Row],[Total price]]-Table1[[#This Row],[Discount Amount]]</f>
        <v>22.680000000000003</v>
      </c>
      <c r="U310">
        <f t="shared" si="14"/>
        <v>272.16000000000003</v>
      </c>
    </row>
    <row r="311" spans="1:21">
      <c r="A311">
        <v>310</v>
      </c>
      <c r="B311" s="3" t="s">
        <v>1467</v>
      </c>
      <c r="C311" s="3" t="s">
        <v>2164</v>
      </c>
      <c r="D311" s="3" t="s">
        <v>2866</v>
      </c>
      <c r="E311" s="3" t="s">
        <v>3216</v>
      </c>
      <c r="F311" s="3">
        <v>104</v>
      </c>
      <c r="G311" s="4">
        <v>40513.452777777777</v>
      </c>
      <c r="H311" s="3">
        <v>4</v>
      </c>
      <c r="I311" s="5">
        <v>26</v>
      </c>
      <c r="J311" t="s">
        <v>52</v>
      </c>
      <c r="K311" t="s">
        <v>4497</v>
      </c>
      <c r="L311">
        <v>536398</v>
      </c>
      <c r="M311" s="2">
        <v>21232</v>
      </c>
      <c r="N311">
        <v>1.25</v>
      </c>
      <c r="O311" s="6">
        <v>12</v>
      </c>
      <c r="P311" s="3">
        <v>0.05</v>
      </c>
      <c r="Q311" t="s">
        <v>4</v>
      </c>
      <c r="R311" s="7">
        <f t="shared" si="12"/>
        <v>15</v>
      </c>
      <c r="S311" s="7">
        <f t="shared" si="13"/>
        <v>0.75</v>
      </c>
      <c r="T311">
        <f>Table1[[#This Row],[Total price]]-Table1[[#This Row],[Discount Amount]]</f>
        <v>14.25</v>
      </c>
      <c r="U311">
        <f t="shared" si="14"/>
        <v>171</v>
      </c>
    </row>
    <row r="312" spans="1:21">
      <c r="A312">
        <v>311</v>
      </c>
      <c r="B312" s="3" t="s">
        <v>2546</v>
      </c>
      <c r="C312" s="3" t="s">
        <v>1596</v>
      </c>
      <c r="D312" s="3" t="s">
        <v>3217</v>
      </c>
      <c r="E312" s="3" t="s">
        <v>3218</v>
      </c>
      <c r="F312" s="3">
        <v>105</v>
      </c>
      <c r="G312" s="4">
        <v>40513.452777777777</v>
      </c>
      <c r="H312" s="3">
        <v>4</v>
      </c>
      <c r="I312" s="5">
        <v>11</v>
      </c>
      <c r="J312" t="s">
        <v>183</v>
      </c>
      <c r="K312" t="s">
        <v>4497</v>
      </c>
      <c r="L312">
        <v>536398</v>
      </c>
      <c r="M312" s="2">
        <v>22064</v>
      </c>
      <c r="N312">
        <v>1.65</v>
      </c>
      <c r="O312" s="6">
        <v>12</v>
      </c>
      <c r="P312" s="3">
        <v>0.2</v>
      </c>
      <c r="Q312" t="s">
        <v>4</v>
      </c>
      <c r="R312" s="7">
        <f t="shared" si="12"/>
        <v>19.799999999999997</v>
      </c>
      <c r="S312" s="7">
        <f t="shared" si="13"/>
        <v>3.9599999999999995</v>
      </c>
      <c r="T312">
        <f>Table1[[#This Row],[Total price]]-Table1[[#This Row],[Discount Amount]]</f>
        <v>15.839999999999998</v>
      </c>
      <c r="U312">
        <f t="shared" si="14"/>
        <v>190.07999999999998</v>
      </c>
    </row>
    <row r="313" spans="1:21">
      <c r="A313">
        <v>312</v>
      </c>
      <c r="B313" s="3" t="s">
        <v>918</v>
      </c>
      <c r="C313" s="3" t="s">
        <v>2052</v>
      </c>
      <c r="D313" s="3" t="s">
        <v>2866</v>
      </c>
      <c r="E313" s="3" t="s">
        <v>3219</v>
      </c>
      <c r="F313" s="3">
        <v>105</v>
      </c>
      <c r="G313" s="4">
        <v>40513.452777777777</v>
      </c>
      <c r="H313" s="3">
        <v>4</v>
      </c>
      <c r="I313" s="5">
        <v>3</v>
      </c>
      <c r="J313" t="s">
        <v>253</v>
      </c>
      <c r="K313" t="s">
        <v>4497</v>
      </c>
      <c r="L313">
        <v>536398</v>
      </c>
      <c r="M313" s="2">
        <v>22449</v>
      </c>
      <c r="N313">
        <v>3.35</v>
      </c>
      <c r="O313" s="6">
        <v>6</v>
      </c>
      <c r="P313" s="3">
        <v>0.05</v>
      </c>
      <c r="Q313" t="s">
        <v>4</v>
      </c>
      <c r="R313" s="7">
        <f t="shared" si="12"/>
        <v>20.100000000000001</v>
      </c>
      <c r="S313" s="7">
        <f t="shared" si="13"/>
        <v>1.0050000000000001</v>
      </c>
      <c r="T313">
        <f>Table1[[#This Row],[Total price]]-Table1[[#This Row],[Discount Amount]]</f>
        <v>19.095000000000002</v>
      </c>
      <c r="U313">
        <f t="shared" si="14"/>
        <v>114.57000000000002</v>
      </c>
    </row>
    <row r="314" spans="1:21">
      <c r="A314">
        <v>313</v>
      </c>
      <c r="B314" s="3" t="s">
        <v>2545</v>
      </c>
      <c r="C314" s="3" t="s">
        <v>2544</v>
      </c>
      <c r="D314" s="3" t="s">
        <v>2866</v>
      </c>
      <c r="E314" s="3" t="s">
        <v>3220</v>
      </c>
      <c r="F314" s="3">
        <v>105</v>
      </c>
      <c r="G314" s="4">
        <v>40513.452777777777</v>
      </c>
      <c r="H314" s="3">
        <v>4</v>
      </c>
      <c r="I314" s="5">
        <v>9</v>
      </c>
      <c r="J314" t="s">
        <v>94</v>
      </c>
      <c r="K314" t="s">
        <v>4497</v>
      </c>
      <c r="L314">
        <v>536398</v>
      </c>
      <c r="M314" s="2">
        <v>22114</v>
      </c>
      <c r="N314">
        <v>3.95</v>
      </c>
      <c r="O314" s="6">
        <v>4</v>
      </c>
      <c r="P314" s="3">
        <v>0.05</v>
      </c>
      <c r="Q314" t="s">
        <v>4</v>
      </c>
      <c r="R314" s="7">
        <f t="shared" si="12"/>
        <v>15.8</v>
      </c>
      <c r="S314" s="7">
        <f t="shared" si="13"/>
        <v>0.79</v>
      </c>
      <c r="T314">
        <f>Table1[[#This Row],[Total price]]-Table1[[#This Row],[Discount Amount]]</f>
        <v>15.010000000000002</v>
      </c>
      <c r="U314">
        <f t="shared" si="14"/>
        <v>60.040000000000006</v>
      </c>
    </row>
    <row r="315" spans="1:21">
      <c r="A315">
        <v>314</v>
      </c>
      <c r="B315" s="3" t="s">
        <v>2543</v>
      </c>
      <c r="C315" s="3" t="s">
        <v>2386</v>
      </c>
      <c r="D315" s="3" t="s">
        <v>2866</v>
      </c>
      <c r="E315" s="3" t="s">
        <v>3221</v>
      </c>
      <c r="F315" s="3">
        <v>106</v>
      </c>
      <c r="G315" s="4">
        <v>40513.452777777777</v>
      </c>
      <c r="H315" s="3">
        <v>4</v>
      </c>
      <c r="I315" s="5">
        <v>17</v>
      </c>
      <c r="J315" t="s">
        <v>431</v>
      </c>
      <c r="K315" t="s">
        <v>4497</v>
      </c>
      <c r="L315">
        <v>536398</v>
      </c>
      <c r="M315" s="2">
        <v>22835</v>
      </c>
      <c r="N315">
        <v>4.6500000000000004</v>
      </c>
      <c r="O315" s="6">
        <v>8</v>
      </c>
      <c r="P315" s="3">
        <v>0.1</v>
      </c>
      <c r="Q315" t="s">
        <v>4</v>
      </c>
      <c r="R315" s="7">
        <f t="shared" si="12"/>
        <v>37.200000000000003</v>
      </c>
      <c r="S315" s="7">
        <f t="shared" si="13"/>
        <v>3.7200000000000006</v>
      </c>
      <c r="T315">
        <f>Table1[[#This Row],[Total price]]-Table1[[#This Row],[Discount Amount]]</f>
        <v>33.480000000000004</v>
      </c>
      <c r="U315">
        <f t="shared" si="14"/>
        <v>267.84000000000003</v>
      </c>
    </row>
    <row r="316" spans="1:21">
      <c r="A316">
        <v>315</v>
      </c>
      <c r="B316" s="3" t="s">
        <v>933</v>
      </c>
      <c r="C316" s="3" t="s">
        <v>932</v>
      </c>
      <c r="D316" s="3" t="s">
        <v>2866</v>
      </c>
      <c r="E316" s="3" t="s">
        <v>3222</v>
      </c>
      <c r="F316" s="3">
        <v>106</v>
      </c>
      <c r="G316" s="4">
        <v>40513.452777777777</v>
      </c>
      <c r="H316" s="3">
        <v>4</v>
      </c>
      <c r="I316" s="5">
        <v>13</v>
      </c>
      <c r="J316" t="s">
        <v>379</v>
      </c>
      <c r="K316" t="s">
        <v>4497</v>
      </c>
      <c r="L316">
        <v>536398</v>
      </c>
      <c r="M316" s="2">
        <v>22112</v>
      </c>
      <c r="N316">
        <v>4.95</v>
      </c>
      <c r="O316" s="6">
        <v>9</v>
      </c>
      <c r="P316" s="3">
        <v>0.1</v>
      </c>
      <c r="Q316" t="s">
        <v>4</v>
      </c>
      <c r="R316" s="7">
        <f t="shared" si="12"/>
        <v>44.550000000000004</v>
      </c>
      <c r="S316" s="7">
        <f t="shared" si="13"/>
        <v>4.455000000000001</v>
      </c>
      <c r="T316">
        <f>Table1[[#This Row],[Total price]]-Table1[[#This Row],[Discount Amount]]</f>
        <v>40.095000000000006</v>
      </c>
      <c r="U316">
        <f t="shared" si="14"/>
        <v>360.85500000000008</v>
      </c>
    </row>
    <row r="317" spans="1:21">
      <c r="A317">
        <v>316</v>
      </c>
      <c r="B317" s="3" t="s">
        <v>1785</v>
      </c>
      <c r="C317" s="3" t="s">
        <v>1206</v>
      </c>
      <c r="D317" s="3" t="s">
        <v>2866</v>
      </c>
      <c r="E317" s="3" t="s">
        <v>3223</v>
      </c>
      <c r="F317" s="3">
        <v>107</v>
      </c>
      <c r="G317" s="4">
        <v>40513.452777777777</v>
      </c>
      <c r="H317" s="3">
        <v>4</v>
      </c>
      <c r="I317" s="5">
        <v>19</v>
      </c>
      <c r="J317" t="s">
        <v>300</v>
      </c>
      <c r="K317" t="s">
        <v>4497</v>
      </c>
      <c r="L317">
        <v>536398</v>
      </c>
      <c r="M317" s="2">
        <v>21479</v>
      </c>
      <c r="N317">
        <v>3.75</v>
      </c>
      <c r="O317" s="6">
        <v>4</v>
      </c>
      <c r="P317" s="3">
        <v>0.2</v>
      </c>
      <c r="Q317" t="s">
        <v>4</v>
      </c>
      <c r="R317" s="7">
        <f t="shared" si="12"/>
        <v>15</v>
      </c>
      <c r="S317" s="7">
        <f t="shared" si="13"/>
        <v>3</v>
      </c>
      <c r="T317">
        <f>Table1[[#This Row],[Total price]]-Table1[[#This Row],[Discount Amount]]</f>
        <v>12</v>
      </c>
      <c r="U317">
        <f t="shared" si="14"/>
        <v>48</v>
      </c>
    </row>
    <row r="318" spans="1:21">
      <c r="A318">
        <v>317</v>
      </c>
      <c r="B318" s="3" t="s">
        <v>2542</v>
      </c>
      <c r="C318" s="3" t="s">
        <v>1008</v>
      </c>
      <c r="D318" s="3" t="s">
        <v>2866</v>
      </c>
      <c r="E318" s="3" t="s">
        <v>3224</v>
      </c>
      <c r="F318" s="3">
        <v>107</v>
      </c>
      <c r="G318" s="4">
        <v>40513.452777777777</v>
      </c>
      <c r="H318" s="3">
        <v>4</v>
      </c>
      <c r="I318" s="5">
        <v>13</v>
      </c>
      <c r="J318" t="s">
        <v>15</v>
      </c>
      <c r="K318" t="s">
        <v>4497</v>
      </c>
      <c r="L318">
        <v>536398</v>
      </c>
      <c r="M318" s="2">
        <v>22111</v>
      </c>
      <c r="N318">
        <v>4.95</v>
      </c>
      <c r="O318" s="6">
        <v>9</v>
      </c>
      <c r="P318" s="3">
        <v>0.1</v>
      </c>
      <c r="Q318" t="s">
        <v>4</v>
      </c>
      <c r="R318" s="7">
        <f t="shared" si="12"/>
        <v>44.550000000000004</v>
      </c>
      <c r="S318" s="7">
        <f t="shared" si="13"/>
        <v>4.455000000000001</v>
      </c>
      <c r="T318">
        <f>Table1[[#This Row],[Total price]]-Table1[[#This Row],[Discount Amount]]</f>
        <v>40.095000000000006</v>
      </c>
      <c r="U318">
        <f t="shared" si="14"/>
        <v>360.85500000000008</v>
      </c>
    </row>
    <row r="319" spans="1:21">
      <c r="A319">
        <v>318</v>
      </c>
      <c r="B319" s="3" t="s">
        <v>1021</v>
      </c>
      <c r="C319" s="3" t="s">
        <v>2316</v>
      </c>
      <c r="D319" s="3" t="s">
        <v>2866</v>
      </c>
      <c r="E319" s="3" t="s">
        <v>3225</v>
      </c>
      <c r="F319" s="3">
        <v>108</v>
      </c>
      <c r="G319" s="4">
        <v>40513.453472222223</v>
      </c>
      <c r="H319" s="3">
        <v>4</v>
      </c>
      <c r="I319" s="5">
        <v>11</v>
      </c>
      <c r="J319" t="s">
        <v>861</v>
      </c>
      <c r="K319" t="s">
        <v>4497</v>
      </c>
      <c r="L319">
        <v>536400</v>
      </c>
      <c r="M319" s="2">
        <v>22969</v>
      </c>
      <c r="N319">
        <v>1.45</v>
      </c>
      <c r="O319" s="6">
        <v>12</v>
      </c>
      <c r="P319" s="3">
        <v>0.1</v>
      </c>
      <c r="Q319" t="s">
        <v>4</v>
      </c>
      <c r="R319" s="7">
        <f t="shared" si="12"/>
        <v>17.399999999999999</v>
      </c>
      <c r="S319" s="7">
        <f t="shared" si="13"/>
        <v>1.74</v>
      </c>
      <c r="T319">
        <f>Table1[[#This Row],[Total price]]-Table1[[#This Row],[Discount Amount]]</f>
        <v>15.659999999999998</v>
      </c>
      <c r="U319">
        <f t="shared" si="14"/>
        <v>187.92</v>
      </c>
    </row>
    <row r="320" spans="1:21">
      <c r="A320">
        <v>319</v>
      </c>
      <c r="B320" s="3" t="s">
        <v>2541</v>
      </c>
      <c r="C320" s="3" t="s">
        <v>2540</v>
      </c>
      <c r="D320" s="3" t="s">
        <v>2866</v>
      </c>
      <c r="E320" s="3" t="s">
        <v>3226</v>
      </c>
      <c r="F320" s="3">
        <v>108</v>
      </c>
      <c r="G320" s="4">
        <v>40513.472916666666</v>
      </c>
      <c r="H320" s="3">
        <v>4</v>
      </c>
      <c r="I320" s="5">
        <v>22</v>
      </c>
      <c r="J320" t="s">
        <v>79</v>
      </c>
      <c r="K320" t="s">
        <v>4497</v>
      </c>
      <c r="L320">
        <v>536401</v>
      </c>
      <c r="M320" s="2">
        <v>22110</v>
      </c>
      <c r="N320">
        <v>2.5499999999999998</v>
      </c>
      <c r="O320" s="6">
        <v>1</v>
      </c>
      <c r="P320" s="3">
        <v>7.0000000000000007E-2</v>
      </c>
      <c r="Q320" t="s">
        <v>4</v>
      </c>
      <c r="R320" s="7">
        <f t="shared" si="12"/>
        <v>2.5499999999999998</v>
      </c>
      <c r="S320" s="7">
        <f t="shared" si="13"/>
        <v>0.17849999999999999</v>
      </c>
      <c r="T320">
        <f>Table1[[#This Row],[Total price]]-Table1[[#This Row],[Discount Amount]]</f>
        <v>2.3714999999999997</v>
      </c>
      <c r="U320">
        <f t="shared" si="14"/>
        <v>2.3714999999999997</v>
      </c>
    </row>
    <row r="321" spans="1:21">
      <c r="A321">
        <v>320</v>
      </c>
      <c r="B321" s="3" t="s">
        <v>2539</v>
      </c>
      <c r="C321" s="3" t="s">
        <v>2050</v>
      </c>
      <c r="D321" s="3" t="s">
        <v>3227</v>
      </c>
      <c r="E321" s="3" t="s">
        <v>3228</v>
      </c>
      <c r="F321" s="3">
        <v>108</v>
      </c>
      <c r="G321" s="4">
        <v>40513.472916666666</v>
      </c>
      <c r="H321" s="3">
        <v>4</v>
      </c>
      <c r="I321" s="5">
        <v>16</v>
      </c>
      <c r="J321" t="s">
        <v>382</v>
      </c>
      <c r="K321" t="s">
        <v>4497</v>
      </c>
      <c r="L321">
        <v>536401</v>
      </c>
      <c r="M321" s="2">
        <v>22098</v>
      </c>
      <c r="N321">
        <v>1.25</v>
      </c>
      <c r="O321" s="6">
        <v>1</v>
      </c>
      <c r="P321" s="3">
        <v>0.05</v>
      </c>
      <c r="Q321" t="s">
        <v>3</v>
      </c>
      <c r="R321" s="7">
        <f t="shared" si="12"/>
        <v>1.25</v>
      </c>
      <c r="S321" s="7">
        <f t="shared" si="13"/>
        <v>6.25E-2</v>
      </c>
      <c r="T321">
        <f>Table1[[#This Row],[Total price]]-Table1[[#This Row],[Discount Amount]]</f>
        <v>1.1875</v>
      </c>
      <c r="U321">
        <f t="shared" si="14"/>
        <v>1.1875</v>
      </c>
    </row>
    <row r="322" spans="1:21">
      <c r="A322">
        <v>321</v>
      </c>
      <c r="B322" s="3" t="s">
        <v>1532</v>
      </c>
      <c r="C322" s="3" t="s">
        <v>1268</v>
      </c>
      <c r="D322" s="3" t="s">
        <v>2866</v>
      </c>
      <c r="E322" s="3" t="s">
        <v>3229</v>
      </c>
      <c r="F322" s="3">
        <v>109</v>
      </c>
      <c r="G322" s="4">
        <v>40513.472916666666</v>
      </c>
      <c r="H322" s="3">
        <v>4</v>
      </c>
      <c r="I322" s="5">
        <v>22</v>
      </c>
      <c r="J322" t="s">
        <v>737</v>
      </c>
      <c r="K322" t="s">
        <v>4497</v>
      </c>
      <c r="L322">
        <v>536401</v>
      </c>
      <c r="M322" s="2">
        <v>22100</v>
      </c>
      <c r="N322">
        <v>1.25</v>
      </c>
      <c r="O322" s="6">
        <v>2</v>
      </c>
      <c r="P322" s="3">
        <v>0.1</v>
      </c>
      <c r="Q322" t="s">
        <v>3</v>
      </c>
      <c r="R322" s="7">
        <f t="shared" si="12"/>
        <v>2.5</v>
      </c>
      <c r="S322" s="7">
        <f t="shared" si="13"/>
        <v>0.25</v>
      </c>
      <c r="T322">
        <f>Table1[[#This Row],[Total price]]-Table1[[#This Row],[Discount Amount]]</f>
        <v>2.25</v>
      </c>
      <c r="U322">
        <f t="shared" si="14"/>
        <v>4.5</v>
      </c>
    </row>
    <row r="323" spans="1:21">
      <c r="A323">
        <v>322</v>
      </c>
      <c r="B323" s="3" t="s">
        <v>2538</v>
      </c>
      <c r="C323" s="3" t="s">
        <v>1862</v>
      </c>
      <c r="D323" s="3" t="s">
        <v>2866</v>
      </c>
      <c r="E323" s="3" t="s">
        <v>3230</v>
      </c>
      <c r="F323" s="3">
        <v>109</v>
      </c>
      <c r="G323" s="4">
        <v>40513.472916666666</v>
      </c>
      <c r="H323" s="3">
        <v>4</v>
      </c>
      <c r="I323" s="5">
        <v>6</v>
      </c>
      <c r="J323" t="s">
        <v>92</v>
      </c>
      <c r="K323" t="s">
        <v>4497</v>
      </c>
      <c r="L323">
        <v>536401</v>
      </c>
      <c r="M323" s="2">
        <v>22766</v>
      </c>
      <c r="N323">
        <v>2.95</v>
      </c>
      <c r="O323" s="6">
        <v>1</v>
      </c>
      <c r="P323" s="3">
        <v>7.0000000000000007E-2</v>
      </c>
      <c r="Q323" t="s">
        <v>3</v>
      </c>
      <c r="R323" s="7">
        <f t="shared" ref="R323:R386" si="15">N323*O323</f>
        <v>2.95</v>
      </c>
      <c r="S323" s="7">
        <f t="shared" ref="S323:S386" si="16">R323*P323</f>
        <v>0.20650000000000004</v>
      </c>
      <c r="T323">
        <f>Table1[[#This Row],[Total price]]-Table1[[#This Row],[Discount Amount]]</f>
        <v>2.7435</v>
      </c>
      <c r="U323">
        <f t="shared" ref="U323:U386" si="17">T323*O323</f>
        <v>2.7435</v>
      </c>
    </row>
    <row r="324" spans="1:21">
      <c r="A324">
        <v>323</v>
      </c>
      <c r="B324" s="3" t="s">
        <v>2537</v>
      </c>
      <c r="C324" s="3" t="s">
        <v>1756</v>
      </c>
      <c r="D324" s="3" t="s">
        <v>2866</v>
      </c>
      <c r="E324" s="3" t="s">
        <v>3231</v>
      </c>
      <c r="F324" s="3">
        <v>110</v>
      </c>
      <c r="G324" s="4">
        <v>40513.472916666666</v>
      </c>
      <c r="H324" s="3">
        <v>4</v>
      </c>
      <c r="I324" s="5">
        <v>14</v>
      </c>
      <c r="J324" t="s">
        <v>714</v>
      </c>
      <c r="K324" t="s">
        <v>4497</v>
      </c>
      <c r="L324">
        <v>536401</v>
      </c>
      <c r="M324" s="2">
        <v>22451</v>
      </c>
      <c r="N324">
        <v>3.35</v>
      </c>
      <c r="O324" s="6">
        <v>1</v>
      </c>
      <c r="P324" s="3">
        <v>0.1</v>
      </c>
      <c r="Q324" t="s">
        <v>3</v>
      </c>
      <c r="R324" s="7">
        <f t="shared" si="15"/>
        <v>3.35</v>
      </c>
      <c r="S324" s="7">
        <f t="shared" si="16"/>
        <v>0.33500000000000002</v>
      </c>
      <c r="T324">
        <f>Table1[[#This Row],[Total price]]-Table1[[#This Row],[Discount Amount]]</f>
        <v>3.0150000000000001</v>
      </c>
      <c r="U324">
        <f t="shared" si="17"/>
        <v>3.0150000000000001</v>
      </c>
    </row>
    <row r="325" spans="1:21">
      <c r="A325">
        <v>324</v>
      </c>
      <c r="B325" s="3" t="s">
        <v>2403</v>
      </c>
      <c r="C325" s="3" t="s">
        <v>2202</v>
      </c>
      <c r="D325" s="3" t="s">
        <v>2866</v>
      </c>
      <c r="E325" s="3" t="s">
        <v>3232</v>
      </c>
      <c r="F325" s="3">
        <v>111</v>
      </c>
      <c r="G325" s="4">
        <v>40513.472916666666</v>
      </c>
      <c r="H325" s="3">
        <v>4</v>
      </c>
      <c r="I325" s="5">
        <v>14</v>
      </c>
      <c r="J325" t="s">
        <v>416</v>
      </c>
      <c r="K325" t="s">
        <v>4497</v>
      </c>
      <c r="L325">
        <v>536401</v>
      </c>
      <c r="M325" s="2">
        <v>22549</v>
      </c>
      <c r="N325">
        <v>1.45</v>
      </c>
      <c r="O325" s="6">
        <v>1</v>
      </c>
      <c r="P325" s="3">
        <v>0.1</v>
      </c>
      <c r="Q325" t="s">
        <v>3</v>
      </c>
      <c r="R325" s="7">
        <f t="shared" si="15"/>
        <v>1.45</v>
      </c>
      <c r="S325" s="7">
        <f t="shared" si="16"/>
        <v>0.14499999999999999</v>
      </c>
      <c r="T325">
        <f>Table1[[#This Row],[Total price]]-Table1[[#This Row],[Discount Amount]]</f>
        <v>1.3049999999999999</v>
      </c>
      <c r="U325">
        <f t="shared" si="17"/>
        <v>1.3049999999999999</v>
      </c>
    </row>
    <row r="326" spans="1:21">
      <c r="A326">
        <v>325</v>
      </c>
      <c r="B326" s="3" t="s">
        <v>2536</v>
      </c>
      <c r="C326" s="3" t="s">
        <v>2122</v>
      </c>
      <c r="D326" s="3" t="s">
        <v>2866</v>
      </c>
      <c r="E326" s="3" t="s">
        <v>3233</v>
      </c>
      <c r="F326" s="3">
        <v>111</v>
      </c>
      <c r="G326" s="4">
        <v>40513.472916666666</v>
      </c>
      <c r="H326" s="3">
        <v>4</v>
      </c>
      <c r="I326" s="5">
        <v>12</v>
      </c>
      <c r="J326" t="s">
        <v>825</v>
      </c>
      <c r="K326" t="s">
        <v>4497</v>
      </c>
      <c r="L326">
        <v>536401</v>
      </c>
      <c r="M326" s="2">
        <v>84744</v>
      </c>
      <c r="N326">
        <v>1.25</v>
      </c>
      <c r="O326" s="6">
        <v>1</v>
      </c>
      <c r="P326" s="3">
        <v>7.0000000000000007E-2</v>
      </c>
      <c r="Q326" t="s">
        <v>3</v>
      </c>
      <c r="R326" s="7">
        <f t="shared" si="15"/>
        <v>1.25</v>
      </c>
      <c r="S326" s="7">
        <f t="shared" si="16"/>
        <v>8.7500000000000008E-2</v>
      </c>
      <c r="T326">
        <f>Table1[[#This Row],[Total price]]-Table1[[#This Row],[Discount Amount]]</f>
        <v>1.1625000000000001</v>
      </c>
      <c r="U326">
        <f t="shared" si="17"/>
        <v>1.1625000000000001</v>
      </c>
    </row>
    <row r="327" spans="1:21">
      <c r="A327">
        <v>326</v>
      </c>
      <c r="B327" s="3" t="s">
        <v>2535</v>
      </c>
      <c r="C327" s="3" t="s">
        <v>1716</v>
      </c>
      <c r="D327" s="3" t="s">
        <v>2866</v>
      </c>
      <c r="E327" s="3" t="s">
        <v>3234</v>
      </c>
      <c r="F327" s="3">
        <v>112</v>
      </c>
      <c r="G327" s="4">
        <v>40513.472916666666</v>
      </c>
      <c r="H327" s="3">
        <v>4</v>
      </c>
      <c r="I327" s="5">
        <v>23</v>
      </c>
      <c r="J327" t="s">
        <v>351</v>
      </c>
      <c r="K327" t="s">
        <v>4497</v>
      </c>
      <c r="L327">
        <v>536401</v>
      </c>
      <c r="M327" s="2" t="s">
        <v>350</v>
      </c>
      <c r="N327">
        <v>1.25</v>
      </c>
      <c r="O327" s="6">
        <v>2</v>
      </c>
      <c r="P327" s="3">
        <v>0.2</v>
      </c>
      <c r="Q327" t="s">
        <v>3</v>
      </c>
      <c r="R327" s="7">
        <f t="shared" si="15"/>
        <v>2.5</v>
      </c>
      <c r="S327" s="7">
        <f t="shared" si="16"/>
        <v>0.5</v>
      </c>
      <c r="T327">
        <f>Table1[[#This Row],[Total price]]-Table1[[#This Row],[Discount Amount]]</f>
        <v>2</v>
      </c>
      <c r="U327">
        <f t="shared" si="17"/>
        <v>4</v>
      </c>
    </row>
    <row r="328" spans="1:21">
      <c r="A328">
        <v>327</v>
      </c>
      <c r="B328" s="3" t="s">
        <v>2079</v>
      </c>
      <c r="C328" s="3" t="s">
        <v>1481</v>
      </c>
      <c r="D328" s="3" t="s">
        <v>3235</v>
      </c>
      <c r="E328" s="3" t="s">
        <v>3236</v>
      </c>
      <c r="F328" s="3">
        <v>112</v>
      </c>
      <c r="G328" s="4">
        <v>40513.472916666666</v>
      </c>
      <c r="H328" s="3">
        <v>4</v>
      </c>
      <c r="I328" s="5">
        <v>25</v>
      </c>
      <c r="J328" t="s">
        <v>346</v>
      </c>
      <c r="K328" t="s">
        <v>4497</v>
      </c>
      <c r="L328">
        <v>536401</v>
      </c>
      <c r="M328" s="2">
        <v>21328</v>
      </c>
      <c r="N328">
        <v>1.65</v>
      </c>
      <c r="O328" s="6">
        <v>1</v>
      </c>
      <c r="P328" s="3">
        <v>7.0000000000000007E-2</v>
      </c>
      <c r="Q328" t="s">
        <v>3</v>
      </c>
      <c r="R328" s="7">
        <f t="shared" si="15"/>
        <v>1.65</v>
      </c>
      <c r="S328" s="7">
        <f t="shared" si="16"/>
        <v>0.11550000000000001</v>
      </c>
      <c r="T328">
        <f>Table1[[#This Row],[Total price]]-Table1[[#This Row],[Discount Amount]]</f>
        <v>1.5345</v>
      </c>
      <c r="U328">
        <f t="shared" si="17"/>
        <v>1.5345</v>
      </c>
    </row>
    <row r="329" spans="1:21">
      <c r="A329">
        <v>328</v>
      </c>
      <c r="B329" s="3" t="s">
        <v>2260</v>
      </c>
      <c r="C329" s="3" t="s">
        <v>1062</v>
      </c>
      <c r="D329" s="3" t="s">
        <v>2866</v>
      </c>
      <c r="E329" s="3" t="s">
        <v>3237</v>
      </c>
      <c r="F329" s="3">
        <v>112</v>
      </c>
      <c r="G329" s="4">
        <v>40513.472916666666</v>
      </c>
      <c r="H329" s="3">
        <v>4</v>
      </c>
      <c r="I329" s="5">
        <v>24</v>
      </c>
      <c r="J329" t="s">
        <v>876</v>
      </c>
      <c r="K329" t="s">
        <v>4497</v>
      </c>
      <c r="L329">
        <v>536401</v>
      </c>
      <c r="M329" s="2">
        <v>22961</v>
      </c>
      <c r="N329">
        <v>1.45</v>
      </c>
      <c r="O329" s="6">
        <v>4</v>
      </c>
      <c r="P329" s="3">
        <v>0.05</v>
      </c>
      <c r="Q329" t="s">
        <v>3</v>
      </c>
      <c r="R329" s="7">
        <f t="shared" si="15"/>
        <v>5.8</v>
      </c>
      <c r="S329" s="7">
        <f t="shared" si="16"/>
        <v>0.28999999999999998</v>
      </c>
      <c r="T329">
        <f>Table1[[#This Row],[Total price]]-Table1[[#This Row],[Discount Amount]]</f>
        <v>5.51</v>
      </c>
      <c r="U329">
        <f t="shared" si="17"/>
        <v>22.04</v>
      </c>
    </row>
    <row r="330" spans="1:21">
      <c r="A330">
        <v>329</v>
      </c>
      <c r="B330" s="3" t="s">
        <v>2534</v>
      </c>
      <c r="C330" s="3" t="s">
        <v>1331</v>
      </c>
      <c r="D330" s="3" t="s">
        <v>2866</v>
      </c>
      <c r="E330" s="3" t="s">
        <v>3238</v>
      </c>
      <c r="F330" s="3">
        <v>112</v>
      </c>
      <c r="G330" s="4">
        <v>40513.472916666666</v>
      </c>
      <c r="H330" s="3">
        <v>4</v>
      </c>
      <c r="I330" s="5">
        <v>5</v>
      </c>
      <c r="J330" t="s">
        <v>758</v>
      </c>
      <c r="K330" t="s">
        <v>4497</v>
      </c>
      <c r="L330">
        <v>536401</v>
      </c>
      <c r="M330" s="2" t="s">
        <v>757</v>
      </c>
      <c r="N330">
        <v>1.25</v>
      </c>
      <c r="O330" s="6">
        <v>1</v>
      </c>
      <c r="P330" s="3">
        <v>0.2</v>
      </c>
      <c r="Q330" t="s">
        <v>3</v>
      </c>
      <c r="R330" s="7">
        <f t="shared" si="15"/>
        <v>1.25</v>
      </c>
      <c r="S330" s="7">
        <f t="shared" si="16"/>
        <v>0.25</v>
      </c>
      <c r="T330">
        <f>Table1[[#This Row],[Total price]]-Table1[[#This Row],[Discount Amount]]</f>
        <v>1</v>
      </c>
      <c r="U330">
        <f t="shared" si="17"/>
        <v>1</v>
      </c>
    </row>
    <row r="331" spans="1:21">
      <c r="A331">
        <v>330</v>
      </c>
      <c r="B331" s="3" t="s">
        <v>2533</v>
      </c>
      <c r="C331" s="3" t="s">
        <v>1395</v>
      </c>
      <c r="D331" s="3" t="s">
        <v>2866</v>
      </c>
      <c r="E331" s="3" t="s">
        <v>3239</v>
      </c>
      <c r="F331" s="3">
        <v>113</v>
      </c>
      <c r="G331" s="4">
        <v>40513.472916666666</v>
      </c>
      <c r="H331" s="3">
        <v>4</v>
      </c>
      <c r="I331" s="5">
        <v>12</v>
      </c>
      <c r="J331" t="s">
        <v>642</v>
      </c>
      <c r="K331" t="s">
        <v>4497</v>
      </c>
      <c r="L331">
        <v>536401</v>
      </c>
      <c r="M331" s="2">
        <v>22473</v>
      </c>
      <c r="N331">
        <v>4.95</v>
      </c>
      <c r="O331" s="6">
        <v>1</v>
      </c>
      <c r="P331" s="3">
        <v>7.0000000000000007E-2</v>
      </c>
      <c r="Q331" t="s">
        <v>3</v>
      </c>
      <c r="R331" s="7">
        <f t="shared" si="15"/>
        <v>4.95</v>
      </c>
      <c r="S331" s="7">
        <f t="shared" si="16"/>
        <v>0.34650000000000003</v>
      </c>
      <c r="T331">
        <f>Table1[[#This Row],[Total price]]-Table1[[#This Row],[Discount Amount]]</f>
        <v>4.6035000000000004</v>
      </c>
      <c r="U331">
        <f t="shared" si="17"/>
        <v>4.6035000000000004</v>
      </c>
    </row>
    <row r="332" spans="1:21">
      <c r="A332">
        <v>331</v>
      </c>
      <c r="B332" s="3" t="s">
        <v>2463</v>
      </c>
      <c r="C332" s="3" t="s">
        <v>1198</v>
      </c>
      <c r="D332" s="3" t="s">
        <v>2866</v>
      </c>
      <c r="E332" s="3" t="s">
        <v>3240</v>
      </c>
      <c r="F332" s="3">
        <v>113</v>
      </c>
      <c r="G332" s="4">
        <v>40513.472916666666</v>
      </c>
      <c r="H332" s="3">
        <v>4</v>
      </c>
      <c r="I332" s="5">
        <v>24</v>
      </c>
      <c r="J332" t="s">
        <v>401</v>
      </c>
      <c r="K332" t="s">
        <v>4497</v>
      </c>
      <c r="L332">
        <v>536401</v>
      </c>
      <c r="M332" s="2" t="s">
        <v>400</v>
      </c>
      <c r="N332">
        <v>3.75</v>
      </c>
      <c r="O332" s="6">
        <v>2</v>
      </c>
      <c r="P332" s="3">
        <v>0.1</v>
      </c>
      <c r="Q332" t="s">
        <v>3</v>
      </c>
      <c r="R332" s="7">
        <f t="shared" si="15"/>
        <v>7.5</v>
      </c>
      <c r="S332" s="7">
        <f t="shared" si="16"/>
        <v>0.75</v>
      </c>
      <c r="T332">
        <f>Table1[[#This Row],[Total price]]-Table1[[#This Row],[Discount Amount]]</f>
        <v>6.75</v>
      </c>
      <c r="U332">
        <f t="shared" si="17"/>
        <v>13.5</v>
      </c>
    </row>
    <row r="333" spans="1:21">
      <c r="A333">
        <v>332</v>
      </c>
      <c r="B333" s="3" t="s">
        <v>2532</v>
      </c>
      <c r="C333" s="3" t="s">
        <v>1343</v>
      </c>
      <c r="D333" s="3" t="s">
        <v>2866</v>
      </c>
      <c r="E333" s="3" t="s">
        <v>3241</v>
      </c>
      <c r="F333" s="3">
        <v>113</v>
      </c>
      <c r="G333" s="4">
        <v>40513.472916666666</v>
      </c>
      <c r="H333" s="3">
        <v>4</v>
      </c>
      <c r="I333" s="5">
        <v>6</v>
      </c>
      <c r="J333" t="s">
        <v>403</v>
      </c>
      <c r="K333" t="s">
        <v>4497</v>
      </c>
      <c r="L333">
        <v>536401</v>
      </c>
      <c r="M333" s="2" t="s">
        <v>402</v>
      </c>
      <c r="N333">
        <v>1.25</v>
      </c>
      <c r="O333" s="6">
        <v>2</v>
      </c>
      <c r="P333" s="3">
        <v>7.0000000000000007E-2</v>
      </c>
      <c r="Q333" t="s">
        <v>3</v>
      </c>
      <c r="R333" s="7">
        <f t="shared" si="15"/>
        <v>2.5</v>
      </c>
      <c r="S333" s="7">
        <f t="shared" si="16"/>
        <v>0.17500000000000002</v>
      </c>
      <c r="T333">
        <f>Table1[[#This Row],[Total price]]-Table1[[#This Row],[Discount Amount]]</f>
        <v>2.3250000000000002</v>
      </c>
      <c r="U333">
        <f t="shared" si="17"/>
        <v>4.6500000000000004</v>
      </c>
    </row>
    <row r="334" spans="1:21">
      <c r="A334">
        <v>333</v>
      </c>
      <c r="B334" s="3" t="s">
        <v>2531</v>
      </c>
      <c r="C334" s="3" t="s">
        <v>1743</v>
      </c>
      <c r="D334" s="3" t="s">
        <v>2866</v>
      </c>
      <c r="E334" s="3" t="s">
        <v>3242</v>
      </c>
      <c r="F334" s="3">
        <v>113</v>
      </c>
      <c r="G334" s="4">
        <v>40513.472916666666</v>
      </c>
      <c r="H334" s="3">
        <v>4</v>
      </c>
      <c r="I334" s="5">
        <v>23</v>
      </c>
      <c r="J334" t="s">
        <v>479</v>
      </c>
      <c r="K334" t="s">
        <v>4497</v>
      </c>
      <c r="L334">
        <v>536401</v>
      </c>
      <c r="M334" s="2">
        <v>22767</v>
      </c>
      <c r="N334">
        <v>9.9499999999999993</v>
      </c>
      <c r="O334" s="6">
        <v>2</v>
      </c>
      <c r="P334" s="3">
        <v>0.2</v>
      </c>
      <c r="Q334" t="s">
        <v>3</v>
      </c>
      <c r="R334" s="7">
        <f t="shared" si="15"/>
        <v>19.899999999999999</v>
      </c>
      <c r="S334" s="7">
        <f t="shared" si="16"/>
        <v>3.98</v>
      </c>
      <c r="T334">
        <f>Table1[[#This Row],[Total price]]-Table1[[#This Row],[Discount Amount]]</f>
        <v>15.919999999999998</v>
      </c>
      <c r="U334">
        <f t="shared" si="17"/>
        <v>31.839999999999996</v>
      </c>
    </row>
    <row r="335" spans="1:21">
      <c r="A335">
        <v>334</v>
      </c>
      <c r="B335" s="3" t="s">
        <v>2530</v>
      </c>
      <c r="C335" s="3" t="s">
        <v>2529</v>
      </c>
      <c r="D335" s="3" t="s">
        <v>2866</v>
      </c>
      <c r="E335" s="3" t="s">
        <v>3243</v>
      </c>
      <c r="F335" s="3">
        <v>113</v>
      </c>
      <c r="G335" s="4">
        <v>40513.472916666666</v>
      </c>
      <c r="H335" s="3">
        <v>4</v>
      </c>
      <c r="I335" s="5">
        <v>5</v>
      </c>
      <c r="J335" t="s">
        <v>205</v>
      </c>
      <c r="K335" t="s">
        <v>4497</v>
      </c>
      <c r="L335">
        <v>536401</v>
      </c>
      <c r="M335" s="2">
        <v>22768</v>
      </c>
      <c r="N335">
        <v>9.9499999999999993</v>
      </c>
      <c r="O335" s="6">
        <v>1</v>
      </c>
      <c r="P335" s="3">
        <v>0.2</v>
      </c>
      <c r="Q335" t="s">
        <v>3</v>
      </c>
      <c r="R335" s="7">
        <f t="shared" si="15"/>
        <v>9.9499999999999993</v>
      </c>
      <c r="S335" s="7">
        <f t="shared" si="16"/>
        <v>1.99</v>
      </c>
      <c r="T335">
        <f>Table1[[#This Row],[Total price]]-Table1[[#This Row],[Discount Amount]]</f>
        <v>7.9599999999999991</v>
      </c>
      <c r="U335">
        <f t="shared" si="17"/>
        <v>7.9599999999999991</v>
      </c>
    </row>
    <row r="336" spans="1:21">
      <c r="A336">
        <v>335</v>
      </c>
      <c r="B336" s="3" t="s">
        <v>2528</v>
      </c>
      <c r="C336" s="3" t="s">
        <v>1270</v>
      </c>
      <c r="D336" s="3" t="s">
        <v>2866</v>
      </c>
      <c r="E336" s="3" t="s">
        <v>3244</v>
      </c>
      <c r="F336" s="3">
        <v>114</v>
      </c>
      <c r="G336" s="4">
        <v>40513.472916666666</v>
      </c>
      <c r="H336" s="3">
        <v>4</v>
      </c>
      <c r="I336" s="5">
        <v>12</v>
      </c>
      <c r="J336" t="s">
        <v>179</v>
      </c>
      <c r="K336" t="s">
        <v>4497</v>
      </c>
      <c r="L336">
        <v>536401</v>
      </c>
      <c r="M336" s="2">
        <v>21463</v>
      </c>
      <c r="N336">
        <v>5.95</v>
      </c>
      <c r="O336" s="6">
        <v>1</v>
      </c>
      <c r="P336" s="3">
        <v>0.05</v>
      </c>
      <c r="Q336" t="s">
        <v>3</v>
      </c>
      <c r="R336" s="7">
        <f t="shared" si="15"/>
        <v>5.95</v>
      </c>
      <c r="S336" s="7">
        <f t="shared" si="16"/>
        <v>0.29750000000000004</v>
      </c>
      <c r="T336">
        <f>Table1[[#This Row],[Total price]]-Table1[[#This Row],[Discount Amount]]</f>
        <v>5.6524999999999999</v>
      </c>
      <c r="U336">
        <f t="shared" si="17"/>
        <v>5.6524999999999999</v>
      </c>
    </row>
    <row r="337" spans="1:21">
      <c r="A337">
        <v>336</v>
      </c>
      <c r="B337" s="3" t="s">
        <v>2527</v>
      </c>
      <c r="C337" s="3" t="s">
        <v>1928</v>
      </c>
      <c r="D337" s="3" t="s">
        <v>3245</v>
      </c>
      <c r="E337" s="3" t="s">
        <v>3246</v>
      </c>
      <c r="F337" s="3">
        <v>114</v>
      </c>
      <c r="G337" s="4">
        <v>40513.472916666666</v>
      </c>
      <c r="H337" s="3">
        <v>4</v>
      </c>
      <c r="I337" s="5">
        <v>2</v>
      </c>
      <c r="J337" t="s">
        <v>181</v>
      </c>
      <c r="K337" t="s">
        <v>4497</v>
      </c>
      <c r="L337">
        <v>536401</v>
      </c>
      <c r="M337" s="2">
        <v>21464</v>
      </c>
      <c r="N337">
        <v>4.25</v>
      </c>
      <c r="O337" s="6">
        <v>1</v>
      </c>
      <c r="P337" s="3">
        <v>7.0000000000000007E-2</v>
      </c>
      <c r="Q337" t="s">
        <v>3</v>
      </c>
      <c r="R337" s="7">
        <f t="shared" si="15"/>
        <v>4.25</v>
      </c>
      <c r="S337" s="7">
        <f t="shared" si="16"/>
        <v>0.29750000000000004</v>
      </c>
      <c r="T337">
        <f>Table1[[#This Row],[Total price]]-Table1[[#This Row],[Discount Amount]]</f>
        <v>3.9525000000000001</v>
      </c>
      <c r="U337">
        <f t="shared" si="17"/>
        <v>3.9525000000000001</v>
      </c>
    </row>
    <row r="338" spans="1:21">
      <c r="A338">
        <v>337</v>
      </c>
      <c r="B338" s="3" t="s">
        <v>2073</v>
      </c>
      <c r="C338" s="3" t="s">
        <v>2384</v>
      </c>
      <c r="D338" s="3" t="s">
        <v>2866</v>
      </c>
      <c r="E338" s="3" t="s">
        <v>3247</v>
      </c>
      <c r="F338" s="3">
        <v>114</v>
      </c>
      <c r="G338" s="4">
        <v>40513.472916666666</v>
      </c>
      <c r="H338" s="3">
        <v>4</v>
      </c>
      <c r="I338" s="5">
        <v>13</v>
      </c>
      <c r="J338" t="s">
        <v>791</v>
      </c>
      <c r="K338" t="s">
        <v>4497</v>
      </c>
      <c r="L338">
        <v>536401</v>
      </c>
      <c r="M338" s="2">
        <v>20820</v>
      </c>
      <c r="N338">
        <v>4.95</v>
      </c>
      <c r="O338" s="6">
        <v>3</v>
      </c>
      <c r="P338" s="3">
        <v>0.1</v>
      </c>
      <c r="Q338" t="s">
        <v>3</v>
      </c>
      <c r="R338" s="7">
        <f t="shared" si="15"/>
        <v>14.850000000000001</v>
      </c>
      <c r="S338" s="7">
        <f t="shared" si="16"/>
        <v>1.4850000000000003</v>
      </c>
      <c r="T338">
        <f>Table1[[#This Row],[Total price]]-Table1[[#This Row],[Discount Amount]]</f>
        <v>13.365000000000002</v>
      </c>
      <c r="U338">
        <f t="shared" si="17"/>
        <v>40.095000000000006</v>
      </c>
    </row>
    <row r="339" spans="1:21">
      <c r="A339">
        <v>338</v>
      </c>
      <c r="B339" s="3" t="s">
        <v>2526</v>
      </c>
      <c r="C339" s="3" t="s">
        <v>2525</v>
      </c>
      <c r="D339" s="3" t="s">
        <v>2866</v>
      </c>
      <c r="E339" s="3" t="s">
        <v>3248</v>
      </c>
      <c r="F339" s="3">
        <v>115</v>
      </c>
      <c r="G339" s="4">
        <v>40513.472916666666</v>
      </c>
      <c r="H339" s="3">
        <v>4</v>
      </c>
      <c r="I339" s="5">
        <v>22</v>
      </c>
      <c r="J339" t="s">
        <v>404</v>
      </c>
      <c r="K339" t="s">
        <v>4497</v>
      </c>
      <c r="L339">
        <v>536401</v>
      </c>
      <c r="M339" s="2">
        <v>85150</v>
      </c>
      <c r="N339">
        <v>2.5499999999999998</v>
      </c>
      <c r="O339" s="6">
        <v>1</v>
      </c>
      <c r="P339" s="3">
        <v>0.2</v>
      </c>
      <c r="Q339" t="s">
        <v>3</v>
      </c>
      <c r="R339" s="7">
        <f t="shared" si="15"/>
        <v>2.5499999999999998</v>
      </c>
      <c r="S339" s="7">
        <f t="shared" si="16"/>
        <v>0.51</v>
      </c>
      <c r="T339">
        <f>Table1[[#This Row],[Total price]]-Table1[[#This Row],[Discount Amount]]</f>
        <v>2.04</v>
      </c>
      <c r="U339">
        <f t="shared" si="17"/>
        <v>2.04</v>
      </c>
    </row>
    <row r="340" spans="1:21">
      <c r="A340">
        <v>339</v>
      </c>
      <c r="B340" s="3" t="s">
        <v>2524</v>
      </c>
      <c r="C340" s="3" t="s">
        <v>2523</v>
      </c>
      <c r="D340" s="3" t="s">
        <v>2866</v>
      </c>
      <c r="E340" s="3" t="s">
        <v>3249</v>
      </c>
      <c r="F340" s="3">
        <v>115</v>
      </c>
      <c r="G340" s="4">
        <v>40513.472916666666</v>
      </c>
      <c r="H340" s="3">
        <v>4</v>
      </c>
      <c r="I340" s="5">
        <v>19</v>
      </c>
      <c r="J340" t="s">
        <v>394</v>
      </c>
      <c r="K340" t="s">
        <v>4497</v>
      </c>
      <c r="L340">
        <v>536401</v>
      </c>
      <c r="M340" s="2">
        <v>22117</v>
      </c>
      <c r="N340">
        <v>2.95</v>
      </c>
      <c r="O340" s="6">
        <v>1</v>
      </c>
      <c r="P340" s="3">
        <v>0.1</v>
      </c>
      <c r="Q340" t="s">
        <v>3</v>
      </c>
      <c r="R340" s="7">
        <f t="shared" si="15"/>
        <v>2.95</v>
      </c>
      <c r="S340" s="7">
        <f t="shared" si="16"/>
        <v>0.29500000000000004</v>
      </c>
      <c r="T340">
        <f>Table1[[#This Row],[Total price]]-Table1[[#This Row],[Discount Amount]]</f>
        <v>2.6550000000000002</v>
      </c>
      <c r="U340">
        <f t="shared" si="17"/>
        <v>2.6550000000000002</v>
      </c>
    </row>
    <row r="341" spans="1:21">
      <c r="A341">
        <v>340</v>
      </c>
      <c r="B341" s="3" t="s">
        <v>2522</v>
      </c>
      <c r="C341" s="3" t="s">
        <v>2521</v>
      </c>
      <c r="D341" s="3" t="s">
        <v>2866</v>
      </c>
      <c r="E341" s="3" t="s">
        <v>3250</v>
      </c>
      <c r="F341" s="3">
        <v>116</v>
      </c>
      <c r="G341" s="4">
        <v>40513.472916666666</v>
      </c>
      <c r="H341" s="3">
        <v>4</v>
      </c>
      <c r="I341" s="5">
        <v>26</v>
      </c>
      <c r="J341" t="s">
        <v>247</v>
      </c>
      <c r="K341" t="s">
        <v>4497</v>
      </c>
      <c r="L341">
        <v>536401</v>
      </c>
      <c r="M341" s="2">
        <v>21169</v>
      </c>
      <c r="N341">
        <v>1.69</v>
      </c>
      <c r="O341" s="6">
        <v>2</v>
      </c>
      <c r="P341" s="3">
        <v>0.05</v>
      </c>
      <c r="Q341" t="s">
        <v>3</v>
      </c>
      <c r="R341" s="7">
        <f t="shared" si="15"/>
        <v>3.38</v>
      </c>
      <c r="S341" s="7">
        <f t="shared" si="16"/>
        <v>0.16900000000000001</v>
      </c>
      <c r="T341">
        <f>Table1[[#This Row],[Total price]]-Table1[[#This Row],[Discount Amount]]</f>
        <v>3.2109999999999999</v>
      </c>
      <c r="U341">
        <f t="shared" si="17"/>
        <v>6.4219999999999997</v>
      </c>
    </row>
    <row r="342" spans="1:21">
      <c r="A342">
        <v>341</v>
      </c>
      <c r="B342" s="3" t="s">
        <v>1763</v>
      </c>
      <c r="C342" s="3" t="s">
        <v>2520</v>
      </c>
      <c r="D342" s="3" t="s">
        <v>2866</v>
      </c>
      <c r="E342" s="3" t="s">
        <v>3251</v>
      </c>
      <c r="F342" s="3">
        <v>117</v>
      </c>
      <c r="G342" s="4">
        <v>40513.472916666666</v>
      </c>
      <c r="H342" s="3">
        <v>4</v>
      </c>
      <c r="I342" s="5">
        <v>22</v>
      </c>
      <c r="J342" t="s">
        <v>71</v>
      </c>
      <c r="K342" t="s">
        <v>4497</v>
      </c>
      <c r="L342">
        <v>536401</v>
      </c>
      <c r="M342" s="2">
        <v>48129</v>
      </c>
      <c r="N342">
        <v>7.95</v>
      </c>
      <c r="O342" s="6">
        <v>1</v>
      </c>
      <c r="P342" s="3">
        <v>0.2</v>
      </c>
      <c r="Q342" t="s">
        <v>3</v>
      </c>
      <c r="R342" s="7">
        <f t="shared" si="15"/>
        <v>7.95</v>
      </c>
      <c r="S342" s="7">
        <f t="shared" si="16"/>
        <v>1.59</v>
      </c>
      <c r="T342">
        <f>Table1[[#This Row],[Total price]]-Table1[[#This Row],[Discount Amount]]</f>
        <v>6.36</v>
      </c>
      <c r="U342">
        <f t="shared" si="17"/>
        <v>6.36</v>
      </c>
    </row>
    <row r="343" spans="1:21">
      <c r="A343">
        <v>342</v>
      </c>
      <c r="B343" s="3" t="s">
        <v>2519</v>
      </c>
      <c r="C343" s="3" t="s">
        <v>2518</v>
      </c>
      <c r="D343" s="3" t="s">
        <v>2866</v>
      </c>
      <c r="E343" s="3" t="s">
        <v>3252</v>
      </c>
      <c r="F343" s="3">
        <v>117</v>
      </c>
      <c r="G343" s="4">
        <v>40513.472916666666</v>
      </c>
      <c r="H343" s="3">
        <v>4</v>
      </c>
      <c r="I343" s="5">
        <v>26</v>
      </c>
      <c r="J343" t="s">
        <v>317</v>
      </c>
      <c r="K343" t="s">
        <v>4497</v>
      </c>
      <c r="L343">
        <v>536401</v>
      </c>
      <c r="M343" s="2">
        <v>82580</v>
      </c>
      <c r="N343">
        <v>0.55000000000000004</v>
      </c>
      <c r="O343" s="6">
        <v>1</v>
      </c>
      <c r="P343" s="3">
        <v>0.05</v>
      </c>
      <c r="Q343" t="s">
        <v>3</v>
      </c>
      <c r="R343" s="7">
        <f t="shared" si="15"/>
        <v>0.55000000000000004</v>
      </c>
      <c r="S343" s="7">
        <f t="shared" si="16"/>
        <v>2.7500000000000004E-2</v>
      </c>
      <c r="T343">
        <f>Table1[[#This Row],[Total price]]-Table1[[#This Row],[Discount Amount]]</f>
        <v>0.52250000000000008</v>
      </c>
      <c r="U343">
        <f t="shared" si="17"/>
        <v>0.52250000000000008</v>
      </c>
    </row>
    <row r="344" spans="1:21">
      <c r="A344">
        <v>343</v>
      </c>
      <c r="B344" s="3" t="s">
        <v>2517</v>
      </c>
      <c r="C344" s="3" t="s">
        <v>992</v>
      </c>
      <c r="D344" s="3" t="s">
        <v>2866</v>
      </c>
      <c r="E344" s="3" t="s">
        <v>3253</v>
      </c>
      <c r="F344" s="3">
        <v>117</v>
      </c>
      <c r="G344" s="4">
        <v>40513.472916666666</v>
      </c>
      <c r="H344" s="3">
        <v>4</v>
      </c>
      <c r="I344" s="5">
        <v>14</v>
      </c>
      <c r="J344" t="s">
        <v>315</v>
      </c>
      <c r="K344" t="s">
        <v>4497</v>
      </c>
      <c r="L344">
        <v>536401</v>
      </c>
      <c r="M344" s="2">
        <v>82578</v>
      </c>
      <c r="N344">
        <v>0.55000000000000004</v>
      </c>
      <c r="O344" s="6">
        <v>1</v>
      </c>
      <c r="P344" s="3">
        <v>0.2</v>
      </c>
      <c r="Q344" t="s">
        <v>3</v>
      </c>
      <c r="R344" s="7">
        <f t="shared" si="15"/>
        <v>0.55000000000000004</v>
      </c>
      <c r="S344" s="7">
        <f t="shared" si="16"/>
        <v>0.11000000000000001</v>
      </c>
      <c r="T344">
        <f>Table1[[#This Row],[Total price]]-Table1[[#This Row],[Discount Amount]]</f>
        <v>0.44000000000000006</v>
      </c>
      <c r="U344">
        <f t="shared" si="17"/>
        <v>0.44000000000000006</v>
      </c>
    </row>
    <row r="345" spans="1:21">
      <c r="A345">
        <v>344</v>
      </c>
      <c r="B345" s="3" t="s">
        <v>2516</v>
      </c>
      <c r="C345" s="3" t="s">
        <v>902</v>
      </c>
      <c r="D345" s="3" t="s">
        <v>2866</v>
      </c>
      <c r="E345" s="3" t="s">
        <v>3254</v>
      </c>
      <c r="F345" s="3">
        <v>117</v>
      </c>
      <c r="G345" s="4">
        <v>40513.472916666666</v>
      </c>
      <c r="H345" s="3">
        <v>4</v>
      </c>
      <c r="I345" s="5">
        <v>19</v>
      </c>
      <c r="J345" t="s">
        <v>316</v>
      </c>
      <c r="K345" t="s">
        <v>4497</v>
      </c>
      <c r="L345">
        <v>536401</v>
      </c>
      <c r="M345" s="2">
        <v>82581</v>
      </c>
      <c r="N345">
        <v>0.55000000000000004</v>
      </c>
      <c r="O345" s="6">
        <v>2</v>
      </c>
      <c r="P345" s="3">
        <v>0.05</v>
      </c>
      <c r="Q345" t="s">
        <v>3</v>
      </c>
      <c r="R345" s="7">
        <f t="shared" si="15"/>
        <v>1.1000000000000001</v>
      </c>
      <c r="S345" s="7">
        <f t="shared" si="16"/>
        <v>5.5000000000000007E-2</v>
      </c>
      <c r="T345">
        <f>Table1[[#This Row],[Total price]]-Table1[[#This Row],[Discount Amount]]</f>
        <v>1.0450000000000002</v>
      </c>
      <c r="U345">
        <f t="shared" si="17"/>
        <v>2.0900000000000003</v>
      </c>
    </row>
    <row r="346" spans="1:21">
      <c r="A346">
        <v>345</v>
      </c>
      <c r="B346" s="3" t="s">
        <v>2515</v>
      </c>
      <c r="C346" s="3" t="s">
        <v>2514</v>
      </c>
      <c r="D346" s="3" t="s">
        <v>3255</v>
      </c>
      <c r="E346" s="3" t="s">
        <v>3256</v>
      </c>
      <c r="F346" s="3">
        <v>118</v>
      </c>
      <c r="G346" s="4">
        <v>40513.472916666666</v>
      </c>
      <c r="H346" s="3">
        <v>4</v>
      </c>
      <c r="I346" s="5">
        <v>18</v>
      </c>
      <c r="J346" t="s">
        <v>306</v>
      </c>
      <c r="K346" t="s">
        <v>4497</v>
      </c>
      <c r="L346">
        <v>536401</v>
      </c>
      <c r="M346" s="2">
        <v>22413</v>
      </c>
      <c r="N346">
        <v>2.95</v>
      </c>
      <c r="O346" s="6">
        <v>4</v>
      </c>
      <c r="P346" s="3">
        <v>7.0000000000000007E-2</v>
      </c>
      <c r="Q346" t="s">
        <v>3</v>
      </c>
      <c r="R346" s="7">
        <f t="shared" si="15"/>
        <v>11.8</v>
      </c>
      <c r="S346" s="7">
        <f t="shared" si="16"/>
        <v>0.82600000000000018</v>
      </c>
      <c r="T346">
        <f>Table1[[#This Row],[Total price]]-Table1[[#This Row],[Discount Amount]]</f>
        <v>10.974</v>
      </c>
      <c r="U346">
        <f t="shared" si="17"/>
        <v>43.896000000000001</v>
      </c>
    </row>
    <row r="347" spans="1:21">
      <c r="A347">
        <v>346</v>
      </c>
      <c r="B347" s="3" t="s">
        <v>2513</v>
      </c>
      <c r="C347" s="3" t="s">
        <v>2020</v>
      </c>
      <c r="D347" s="3" t="s">
        <v>2866</v>
      </c>
      <c r="E347" s="3" t="s">
        <v>3257</v>
      </c>
      <c r="F347" s="3">
        <v>118</v>
      </c>
      <c r="G347" s="4">
        <v>40513.472916666666</v>
      </c>
      <c r="H347" s="3">
        <v>4</v>
      </c>
      <c r="I347" s="5">
        <v>4</v>
      </c>
      <c r="J347" t="s">
        <v>305</v>
      </c>
      <c r="K347" t="s">
        <v>4497</v>
      </c>
      <c r="L347">
        <v>536401</v>
      </c>
      <c r="M347" s="2">
        <v>21907</v>
      </c>
      <c r="N347">
        <v>2.1</v>
      </c>
      <c r="O347" s="6">
        <v>2</v>
      </c>
      <c r="P347" s="3">
        <v>7.0000000000000007E-2</v>
      </c>
      <c r="Q347" t="s">
        <v>3</v>
      </c>
      <c r="R347" s="7">
        <f t="shared" si="15"/>
        <v>4.2</v>
      </c>
      <c r="S347" s="7">
        <f t="shared" si="16"/>
        <v>0.29400000000000004</v>
      </c>
      <c r="T347">
        <f>Table1[[#This Row],[Total price]]-Table1[[#This Row],[Discount Amount]]</f>
        <v>3.9060000000000001</v>
      </c>
      <c r="U347">
        <f t="shared" si="17"/>
        <v>7.8120000000000003</v>
      </c>
    </row>
    <row r="348" spans="1:21">
      <c r="A348">
        <v>347</v>
      </c>
      <c r="B348" s="3" t="s">
        <v>2512</v>
      </c>
      <c r="C348" s="3" t="s">
        <v>2137</v>
      </c>
      <c r="D348" s="3" t="s">
        <v>3258</v>
      </c>
      <c r="E348" s="3" t="s">
        <v>3259</v>
      </c>
      <c r="F348" s="3">
        <v>118</v>
      </c>
      <c r="G348" s="4">
        <v>40513.472916666666</v>
      </c>
      <c r="H348" s="3">
        <v>4</v>
      </c>
      <c r="I348" s="5">
        <v>6</v>
      </c>
      <c r="J348" t="s">
        <v>476</v>
      </c>
      <c r="K348" t="s">
        <v>4497</v>
      </c>
      <c r="L348">
        <v>536401</v>
      </c>
      <c r="M348" s="2">
        <v>22441</v>
      </c>
      <c r="N348">
        <v>2.1</v>
      </c>
      <c r="O348" s="6">
        <v>1</v>
      </c>
      <c r="P348" s="3">
        <v>7.0000000000000007E-2</v>
      </c>
      <c r="Q348" t="s">
        <v>3</v>
      </c>
      <c r="R348" s="7">
        <f t="shared" si="15"/>
        <v>2.1</v>
      </c>
      <c r="S348" s="7">
        <f t="shared" si="16"/>
        <v>0.14700000000000002</v>
      </c>
      <c r="T348">
        <f>Table1[[#This Row],[Total price]]-Table1[[#This Row],[Discount Amount]]</f>
        <v>1.9530000000000001</v>
      </c>
      <c r="U348">
        <f t="shared" si="17"/>
        <v>1.9530000000000001</v>
      </c>
    </row>
    <row r="349" spans="1:21">
      <c r="A349">
        <v>348</v>
      </c>
      <c r="B349" s="3" t="s">
        <v>2511</v>
      </c>
      <c r="C349" s="3" t="s">
        <v>2510</v>
      </c>
      <c r="D349" s="3" t="s">
        <v>2866</v>
      </c>
      <c r="E349" s="3" t="s">
        <v>3260</v>
      </c>
      <c r="F349" s="3">
        <v>118</v>
      </c>
      <c r="G349" s="4">
        <v>40513.472916666666</v>
      </c>
      <c r="H349" s="3">
        <v>4</v>
      </c>
      <c r="I349" s="5">
        <v>3</v>
      </c>
      <c r="J349" t="s">
        <v>423</v>
      </c>
      <c r="K349" t="s">
        <v>4497</v>
      </c>
      <c r="L349">
        <v>536401</v>
      </c>
      <c r="M349" s="2">
        <v>21122</v>
      </c>
      <c r="N349">
        <v>1.25</v>
      </c>
      <c r="O349" s="6">
        <v>1</v>
      </c>
      <c r="P349" s="3">
        <v>0.1</v>
      </c>
      <c r="Q349" t="s">
        <v>3</v>
      </c>
      <c r="R349" s="7">
        <f t="shared" si="15"/>
        <v>1.25</v>
      </c>
      <c r="S349" s="7">
        <f t="shared" si="16"/>
        <v>0.125</v>
      </c>
      <c r="T349">
        <f>Table1[[#This Row],[Total price]]-Table1[[#This Row],[Discount Amount]]</f>
        <v>1.125</v>
      </c>
      <c r="U349">
        <f t="shared" si="17"/>
        <v>1.125</v>
      </c>
    </row>
    <row r="350" spans="1:21">
      <c r="A350">
        <v>349</v>
      </c>
      <c r="B350" s="3" t="s">
        <v>2509</v>
      </c>
      <c r="C350" s="3" t="s">
        <v>1191</v>
      </c>
      <c r="D350" s="3" t="s">
        <v>2866</v>
      </c>
      <c r="E350" s="3" t="s">
        <v>3261</v>
      </c>
      <c r="F350" s="3">
        <v>118</v>
      </c>
      <c r="G350" s="4">
        <v>40513.472916666666</v>
      </c>
      <c r="H350" s="3">
        <v>3</v>
      </c>
      <c r="I350" s="5">
        <v>23</v>
      </c>
      <c r="J350" t="s">
        <v>118</v>
      </c>
      <c r="K350" t="s">
        <v>4497</v>
      </c>
      <c r="L350">
        <v>536401</v>
      </c>
      <c r="M350" s="2">
        <v>22851</v>
      </c>
      <c r="N350">
        <v>0.85</v>
      </c>
      <c r="O350" s="6">
        <v>1</v>
      </c>
      <c r="P350" s="3">
        <v>7.0000000000000007E-2</v>
      </c>
      <c r="Q350" t="s">
        <v>3</v>
      </c>
      <c r="R350" s="7">
        <f t="shared" si="15"/>
        <v>0.85</v>
      </c>
      <c r="S350" s="7">
        <f t="shared" si="16"/>
        <v>5.9500000000000004E-2</v>
      </c>
      <c r="T350">
        <f>Table1[[#This Row],[Total price]]-Table1[[#This Row],[Discount Amount]]</f>
        <v>0.79049999999999998</v>
      </c>
      <c r="U350">
        <f t="shared" si="17"/>
        <v>0.79049999999999998</v>
      </c>
    </row>
    <row r="351" spans="1:21">
      <c r="A351">
        <v>350</v>
      </c>
      <c r="B351" s="3" t="s">
        <v>2091</v>
      </c>
      <c r="C351" s="3" t="s">
        <v>2247</v>
      </c>
      <c r="D351" s="3" t="s">
        <v>2866</v>
      </c>
      <c r="E351" s="3" t="s">
        <v>3262</v>
      </c>
      <c r="F351" s="3">
        <v>119</v>
      </c>
      <c r="G351" s="4">
        <v>40513.472916666666</v>
      </c>
      <c r="H351" s="3">
        <v>3</v>
      </c>
      <c r="I351" s="5">
        <v>25</v>
      </c>
      <c r="J351" t="s">
        <v>44</v>
      </c>
      <c r="K351" t="s">
        <v>4497</v>
      </c>
      <c r="L351">
        <v>536401</v>
      </c>
      <c r="M351" s="2">
        <v>84991</v>
      </c>
      <c r="N351">
        <v>0.55000000000000004</v>
      </c>
      <c r="O351" s="6">
        <v>3</v>
      </c>
      <c r="P351" s="3">
        <v>0.05</v>
      </c>
      <c r="Q351" t="s">
        <v>3</v>
      </c>
      <c r="R351" s="7">
        <f t="shared" si="15"/>
        <v>1.6500000000000001</v>
      </c>
      <c r="S351" s="7">
        <f t="shared" si="16"/>
        <v>8.2500000000000018E-2</v>
      </c>
      <c r="T351">
        <f>Table1[[#This Row],[Total price]]-Table1[[#This Row],[Discount Amount]]</f>
        <v>1.5675000000000001</v>
      </c>
      <c r="U351">
        <f t="shared" si="17"/>
        <v>4.7025000000000006</v>
      </c>
    </row>
    <row r="352" spans="1:21">
      <c r="A352">
        <v>351</v>
      </c>
      <c r="B352" s="3" t="s">
        <v>2508</v>
      </c>
      <c r="C352" s="3" t="s">
        <v>1925</v>
      </c>
      <c r="D352" s="3" t="s">
        <v>2866</v>
      </c>
      <c r="E352" s="3" t="s">
        <v>3263</v>
      </c>
      <c r="F352" s="3">
        <v>120</v>
      </c>
      <c r="G352" s="4">
        <v>40513.472916666666</v>
      </c>
      <c r="H352" s="3">
        <v>4</v>
      </c>
      <c r="I352" s="5">
        <v>13</v>
      </c>
      <c r="J352" t="s">
        <v>467</v>
      </c>
      <c r="K352" t="s">
        <v>4497</v>
      </c>
      <c r="L352">
        <v>536401</v>
      </c>
      <c r="M352" s="2">
        <v>22810</v>
      </c>
      <c r="N352">
        <v>2.95</v>
      </c>
      <c r="O352" s="6">
        <v>1</v>
      </c>
      <c r="P352" s="3">
        <v>0.05</v>
      </c>
      <c r="Q352" t="s">
        <v>3</v>
      </c>
      <c r="R352" s="7">
        <f t="shared" si="15"/>
        <v>2.95</v>
      </c>
      <c r="S352" s="7">
        <f t="shared" si="16"/>
        <v>0.14750000000000002</v>
      </c>
      <c r="T352">
        <f>Table1[[#This Row],[Total price]]-Table1[[#This Row],[Discount Amount]]</f>
        <v>2.8025000000000002</v>
      </c>
      <c r="U352">
        <f t="shared" si="17"/>
        <v>2.8025000000000002</v>
      </c>
    </row>
    <row r="353" spans="1:21">
      <c r="A353">
        <v>352</v>
      </c>
      <c r="B353" s="3" t="s">
        <v>2507</v>
      </c>
      <c r="C353" s="3" t="s">
        <v>2007</v>
      </c>
      <c r="D353" s="3" t="s">
        <v>2866</v>
      </c>
      <c r="E353" s="3" t="s">
        <v>3264</v>
      </c>
      <c r="F353" s="3">
        <v>120</v>
      </c>
      <c r="G353" s="4">
        <v>40513.472916666666</v>
      </c>
      <c r="H353" s="3">
        <v>4</v>
      </c>
      <c r="I353" s="5">
        <v>6</v>
      </c>
      <c r="J353" t="s">
        <v>464</v>
      </c>
      <c r="K353" t="s">
        <v>4497</v>
      </c>
      <c r="L353">
        <v>536401</v>
      </c>
      <c r="M353" s="2">
        <v>22809</v>
      </c>
      <c r="N353">
        <v>2.95</v>
      </c>
      <c r="O353" s="6">
        <v>1</v>
      </c>
      <c r="P353" s="3">
        <v>0.05</v>
      </c>
      <c r="Q353" t="s">
        <v>3</v>
      </c>
      <c r="R353" s="7">
        <f t="shared" si="15"/>
        <v>2.95</v>
      </c>
      <c r="S353" s="7">
        <f t="shared" si="16"/>
        <v>0.14750000000000002</v>
      </c>
      <c r="T353">
        <f>Table1[[#This Row],[Total price]]-Table1[[#This Row],[Discount Amount]]</f>
        <v>2.8025000000000002</v>
      </c>
      <c r="U353">
        <f t="shared" si="17"/>
        <v>2.8025000000000002</v>
      </c>
    </row>
    <row r="354" spans="1:21">
      <c r="A354">
        <v>353</v>
      </c>
      <c r="B354" s="3" t="s">
        <v>2506</v>
      </c>
      <c r="C354" s="3" t="s">
        <v>2316</v>
      </c>
      <c r="D354" s="3" t="s">
        <v>2866</v>
      </c>
      <c r="E354" s="3" t="s">
        <v>3265</v>
      </c>
      <c r="F354" s="3">
        <v>120</v>
      </c>
      <c r="G354" s="4">
        <v>40513.472916666666</v>
      </c>
      <c r="H354" s="3">
        <v>4</v>
      </c>
      <c r="I354" s="5">
        <v>10</v>
      </c>
      <c r="J354" t="s">
        <v>428</v>
      </c>
      <c r="K354" t="s">
        <v>4497</v>
      </c>
      <c r="L354">
        <v>536401</v>
      </c>
      <c r="M354" s="2">
        <v>22435</v>
      </c>
      <c r="N354">
        <v>1.25</v>
      </c>
      <c r="O354" s="6">
        <v>2</v>
      </c>
      <c r="P354" s="3">
        <v>0.05</v>
      </c>
      <c r="Q354" t="s">
        <v>3</v>
      </c>
      <c r="R354" s="7">
        <f t="shared" si="15"/>
        <v>2.5</v>
      </c>
      <c r="S354" s="7">
        <f t="shared" si="16"/>
        <v>0.125</v>
      </c>
      <c r="T354">
        <f>Table1[[#This Row],[Total price]]-Table1[[#This Row],[Discount Amount]]</f>
        <v>2.375</v>
      </c>
      <c r="U354">
        <f t="shared" si="17"/>
        <v>4.75</v>
      </c>
    </row>
    <row r="355" spans="1:21">
      <c r="A355">
        <v>354</v>
      </c>
      <c r="B355" s="3" t="s">
        <v>1521</v>
      </c>
      <c r="C355" s="3" t="s">
        <v>2505</v>
      </c>
      <c r="D355" s="3" t="s">
        <v>2866</v>
      </c>
      <c r="E355" s="3" t="s">
        <v>3266</v>
      </c>
      <c r="F355" s="3">
        <v>120</v>
      </c>
      <c r="G355" s="4">
        <v>40513.472916666666</v>
      </c>
      <c r="H355" s="3">
        <v>4</v>
      </c>
      <c r="I355" s="5">
        <v>17</v>
      </c>
      <c r="J355" t="s">
        <v>511</v>
      </c>
      <c r="K355" t="s">
        <v>4497</v>
      </c>
      <c r="L355">
        <v>536401</v>
      </c>
      <c r="M355" s="2">
        <v>20966</v>
      </c>
      <c r="N355">
        <v>1.25</v>
      </c>
      <c r="O355" s="6">
        <v>3</v>
      </c>
      <c r="P355" s="3">
        <v>0.05</v>
      </c>
      <c r="Q355" t="s">
        <v>3</v>
      </c>
      <c r="R355" s="7">
        <f t="shared" si="15"/>
        <v>3.75</v>
      </c>
      <c r="S355" s="7">
        <f t="shared" si="16"/>
        <v>0.1875</v>
      </c>
      <c r="T355">
        <f>Table1[[#This Row],[Total price]]-Table1[[#This Row],[Discount Amount]]</f>
        <v>3.5625</v>
      </c>
      <c r="U355">
        <f t="shared" si="17"/>
        <v>10.6875</v>
      </c>
    </row>
    <row r="356" spans="1:21">
      <c r="A356">
        <v>355</v>
      </c>
      <c r="B356" s="3" t="s">
        <v>2504</v>
      </c>
      <c r="C356" s="3" t="s">
        <v>2174</v>
      </c>
      <c r="D356" s="3" t="s">
        <v>2866</v>
      </c>
      <c r="E356" s="3" t="s">
        <v>3267</v>
      </c>
      <c r="F356" s="3">
        <v>120</v>
      </c>
      <c r="G356" s="4">
        <v>40513.472916666666</v>
      </c>
      <c r="H356" s="3">
        <v>4</v>
      </c>
      <c r="I356" s="5">
        <v>16</v>
      </c>
      <c r="J356" t="s">
        <v>470</v>
      </c>
      <c r="K356" t="s">
        <v>4497</v>
      </c>
      <c r="L356">
        <v>536401</v>
      </c>
      <c r="M356" s="2">
        <v>20963</v>
      </c>
      <c r="N356">
        <v>1.25</v>
      </c>
      <c r="O356" s="6">
        <v>1</v>
      </c>
      <c r="P356" s="3">
        <v>0.2</v>
      </c>
      <c r="Q356" t="s">
        <v>3</v>
      </c>
      <c r="R356" s="7">
        <f t="shared" si="15"/>
        <v>1.25</v>
      </c>
      <c r="S356" s="7">
        <f t="shared" si="16"/>
        <v>0.25</v>
      </c>
      <c r="T356">
        <f>Table1[[#This Row],[Total price]]-Table1[[#This Row],[Discount Amount]]</f>
        <v>1</v>
      </c>
      <c r="U356">
        <f t="shared" si="17"/>
        <v>1</v>
      </c>
    </row>
    <row r="357" spans="1:21">
      <c r="A357">
        <v>356</v>
      </c>
      <c r="B357" s="3" t="s">
        <v>2503</v>
      </c>
      <c r="C357" s="3" t="s">
        <v>1024</v>
      </c>
      <c r="D357" s="3" t="s">
        <v>2866</v>
      </c>
      <c r="E357" s="3" t="s">
        <v>3268</v>
      </c>
      <c r="F357" s="3">
        <v>121</v>
      </c>
      <c r="G357" s="4">
        <v>40513.472916666666</v>
      </c>
      <c r="H357" s="3">
        <v>4</v>
      </c>
      <c r="I357" s="5">
        <v>5</v>
      </c>
      <c r="J357" t="s">
        <v>510</v>
      </c>
      <c r="K357" t="s">
        <v>4497</v>
      </c>
      <c r="L357">
        <v>536401</v>
      </c>
      <c r="M357" s="2">
        <v>20961</v>
      </c>
      <c r="N357">
        <v>1.25</v>
      </c>
      <c r="O357" s="6">
        <v>1</v>
      </c>
      <c r="P357" s="3">
        <v>0.2</v>
      </c>
      <c r="Q357" t="s">
        <v>3</v>
      </c>
      <c r="R357" s="7">
        <f t="shared" si="15"/>
        <v>1.25</v>
      </c>
      <c r="S357" s="7">
        <f t="shared" si="16"/>
        <v>0.25</v>
      </c>
      <c r="T357">
        <f>Table1[[#This Row],[Total price]]-Table1[[#This Row],[Discount Amount]]</f>
        <v>1</v>
      </c>
      <c r="U357">
        <f t="shared" si="17"/>
        <v>1</v>
      </c>
    </row>
    <row r="358" spans="1:21">
      <c r="A358">
        <v>357</v>
      </c>
      <c r="B358" s="3" t="s">
        <v>2502</v>
      </c>
      <c r="C358" s="3" t="s">
        <v>934</v>
      </c>
      <c r="D358" s="3" t="s">
        <v>3269</v>
      </c>
      <c r="E358" s="3" t="s">
        <v>3270</v>
      </c>
      <c r="F358" s="3">
        <v>121</v>
      </c>
      <c r="G358" s="4">
        <v>40513.472916666666</v>
      </c>
      <c r="H358" s="3">
        <v>3</v>
      </c>
      <c r="I358" s="5">
        <v>14</v>
      </c>
      <c r="J358" t="s">
        <v>588</v>
      </c>
      <c r="K358" t="s">
        <v>4497</v>
      </c>
      <c r="L358">
        <v>536401</v>
      </c>
      <c r="M358" s="2">
        <v>22068</v>
      </c>
      <c r="N358">
        <v>1.65</v>
      </c>
      <c r="O358" s="6">
        <v>2</v>
      </c>
      <c r="P358" s="3">
        <v>0.1</v>
      </c>
      <c r="Q358" t="s">
        <v>3</v>
      </c>
      <c r="R358" s="7">
        <f t="shared" si="15"/>
        <v>3.3</v>
      </c>
      <c r="S358" s="7">
        <f t="shared" si="16"/>
        <v>0.33</v>
      </c>
      <c r="T358">
        <f>Table1[[#This Row],[Total price]]-Table1[[#This Row],[Discount Amount]]</f>
        <v>2.9699999999999998</v>
      </c>
      <c r="U358">
        <f t="shared" si="17"/>
        <v>5.9399999999999995</v>
      </c>
    </row>
    <row r="359" spans="1:21">
      <c r="A359">
        <v>358</v>
      </c>
      <c r="B359" s="3" t="s">
        <v>1440</v>
      </c>
      <c r="C359" s="3" t="s">
        <v>1325</v>
      </c>
      <c r="D359" s="3" t="s">
        <v>2866</v>
      </c>
      <c r="E359" s="3" t="s">
        <v>3271</v>
      </c>
      <c r="F359" s="3">
        <v>121</v>
      </c>
      <c r="G359" s="4">
        <v>40513.472916666666</v>
      </c>
      <c r="H359" s="3">
        <v>4</v>
      </c>
      <c r="I359" s="5">
        <v>4</v>
      </c>
      <c r="J359" t="s">
        <v>569</v>
      </c>
      <c r="K359" t="s">
        <v>4497</v>
      </c>
      <c r="L359">
        <v>536401</v>
      </c>
      <c r="M359" s="2">
        <v>21743</v>
      </c>
      <c r="N359">
        <v>2.95</v>
      </c>
      <c r="O359" s="6">
        <v>2</v>
      </c>
      <c r="P359" s="3">
        <v>0.1</v>
      </c>
      <c r="Q359" t="s">
        <v>3</v>
      </c>
      <c r="R359" s="7">
        <f t="shared" si="15"/>
        <v>5.9</v>
      </c>
      <c r="S359" s="7">
        <f t="shared" si="16"/>
        <v>0.59000000000000008</v>
      </c>
      <c r="T359">
        <f>Table1[[#This Row],[Total price]]-Table1[[#This Row],[Discount Amount]]</f>
        <v>5.3100000000000005</v>
      </c>
      <c r="U359">
        <f t="shared" si="17"/>
        <v>10.620000000000001</v>
      </c>
    </row>
    <row r="360" spans="1:21">
      <c r="A360">
        <v>359</v>
      </c>
      <c r="B360" s="3" t="s">
        <v>2501</v>
      </c>
      <c r="C360" s="3" t="s">
        <v>2309</v>
      </c>
      <c r="D360" s="3" t="s">
        <v>2866</v>
      </c>
      <c r="E360" s="3" t="s">
        <v>3272</v>
      </c>
      <c r="F360" s="3">
        <v>121</v>
      </c>
      <c r="G360" s="4">
        <v>40513.472916666666</v>
      </c>
      <c r="H360" s="3">
        <v>4</v>
      </c>
      <c r="I360" s="5">
        <v>24</v>
      </c>
      <c r="J360" t="s">
        <v>358</v>
      </c>
      <c r="K360" t="s">
        <v>4497</v>
      </c>
      <c r="L360">
        <v>536401</v>
      </c>
      <c r="M360" s="2">
        <v>21744</v>
      </c>
      <c r="N360">
        <v>2.95</v>
      </c>
      <c r="O360" s="6">
        <v>2</v>
      </c>
      <c r="P360" s="3">
        <v>7.0000000000000007E-2</v>
      </c>
      <c r="Q360" t="s">
        <v>3</v>
      </c>
      <c r="R360" s="7">
        <f t="shared" si="15"/>
        <v>5.9</v>
      </c>
      <c r="S360" s="7">
        <f t="shared" si="16"/>
        <v>0.41300000000000009</v>
      </c>
      <c r="T360">
        <f>Table1[[#This Row],[Total price]]-Table1[[#This Row],[Discount Amount]]</f>
        <v>5.4870000000000001</v>
      </c>
      <c r="U360">
        <f t="shared" si="17"/>
        <v>10.974</v>
      </c>
    </row>
    <row r="361" spans="1:21">
      <c r="A361">
        <v>360</v>
      </c>
      <c r="B361" s="3" t="s">
        <v>2500</v>
      </c>
      <c r="C361" s="3" t="s">
        <v>2499</v>
      </c>
      <c r="D361" s="3" t="s">
        <v>3273</v>
      </c>
      <c r="E361" s="3" t="s">
        <v>3274</v>
      </c>
      <c r="F361" s="3">
        <v>121</v>
      </c>
      <c r="G361" s="4">
        <v>40513.472916666666</v>
      </c>
      <c r="H361" s="3">
        <v>4</v>
      </c>
      <c r="I361" s="5">
        <v>2</v>
      </c>
      <c r="J361" t="s">
        <v>776</v>
      </c>
      <c r="K361" t="s">
        <v>4497</v>
      </c>
      <c r="L361">
        <v>536401</v>
      </c>
      <c r="M361" s="2" t="s">
        <v>775</v>
      </c>
      <c r="N361">
        <v>5.95</v>
      </c>
      <c r="O361" s="6">
        <v>1</v>
      </c>
      <c r="P361" s="3">
        <v>0.05</v>
      </c>
      <c r="Q361" t="s">
        <v>3</v>
      </c>
      <c r="R361" s="7">
        <f t="shared" si="15"/>
        <v>5.95</v>
      </c>
      <c r="S361" s="7">
        <f t="shared" si="16"/>
        <v>0.29750000000000004</v>
      </c>
      <c r="T361">
        <f>Table1[[#This Row],[Total price]]-Table1[[#This Row],[Discount Amount]]</f>
        <v>5.6524999999999999</v>
      </c>
      <c r="U361">
        <f t="shared" si="17"/>
        <v>5.6524999999999999</v>
      </c>
    </row>
    <row r="362" spans="1:21">
      <c r="A362">
        <v>361</v>
      </c>
      <c r="B362" s="3" t="s">
        <v>2498</v>
      </c>
      <c r="C362" s="3" t="s">
        <v>1157</v>
      </c>
      <c r="D362" s="3" t="s">
        <v>2866</v>
      </c>
      <c r="E362" s="3" t="s">
        <v>3275</v>
      </c>
      <c r="F362" s="3">
        <v>122</v>
      </c>
      <c r="G362" s="4">
        <v>40513.472916666666</v>
      </c>
      <c r="H362" s="3">
        <v>4</v>
      </c>
      <c r="I362" s="5">
        <v>16</v>
      </c>
      <c r="J362" t="s">
        <v>683</v>
      </c>
      <c r="K362" t="s">
        <v>4497</v>
      </c>
      <c r="L362">
        <v>536401</v>
      </c>
      <c r="M362" s="2">
        <v>21592</v>
      </c>
      <c r="N362">
        <v>1.25</v>
      </c>
      <c r="O362" s="6">
        <v>1</v>
      </c>
      <c r="P362" s="3">
        <v>0.1</v>
      </c>
      <c r="Q362" t="s">
        <v>3</v>
      </c>
      <c r="R362" s="7">
        <f t="shared" si="15"/>
        <v>1.25</v>
      </c>
      <c r="S362" s="7">
        <f t="shared" si="16"/>
        <v>0.125</v>
      </c>
      <c r="T362">
        <f>Table1[[#This Row],[Total price]]-Table1[[#This Row],[Discount Amount]]</f>
        <v>1.125</v>
      </c>
      <c r="U362">
        <f t="shared" si="17"/>
        <v>1.125</v>
      </c>
    </row>
    <row r="363" spans="1:21">
      <c r="A363">
        <v>362</v>
      </c>
      <c r="B363" s="3" t="s">
        <v>2497</v>
      </c>
      <c r="C363" s="3" t="s">
        <v>2496</v>
      </c>
      <c r="D363" s="3" t="s">
        <v>2866</v>
      </c>
      <c r="E363" s="3" t="s">
        <v>3276</v>
      </c>
      <c r="F363" s="3">
        <v>123</v>
      </c>
      <c r="G363" s="4">
        <v>40513.472916666666</v>
      </c>
      <c r="H363" s="3">
        <v>4</v>
      </c>
      <c r="I363" s="5">
        <v>12</v>
      </c>
      <c r="J363" t="s">
        <v>293</v>
      </c>
      <c r="K363" t="s">
        <v>4497</v>
      </c>
      <c r="L363">
        <v>536401</v>
      </c>
      <c r="M363" s="2">
        <v>21587</v>
      </c>
      <c r="N363">
        <v>2.5499999999999998</v>
      </c>
      <c r="O363" s="6">
        <v>2</v>
      </c>
      <c r="P363" s="3">
        <v>0.1</v>
      </c>
      <c r="Q363" t="s">
        <v>3</v>
      </c>
      <c r="R363" s="7">
        <f t="shared" si="15"/>
        <v>5.0999999999999996</v>
      </c>
      <c r="S363" s="7">
        <f t="shared" si="16"/>
        <v>0.51</v>
      </c>
      <c r="T363">
        <f>Table1[[#This Row],[Total price]]-Table1[[#This Row],[Discount Amount]]</f>
        <v>4.59</v>
      </c>
      <c r="U363">
        <f t="shared" si="17"/>
        <v>9.18</v>
      </c>
    </row>
    <row r="364" spans="1:21">
      <c r="A364">
        <v>363</v>
      </c>
      <c r="B364" s="3" t="s">
        <v>2495</v>
      </c>
      <c r="C364" s="3" t="s">
        <v>1960</v>
      </c>
      <c r="D364" s="3" t="s">
        <v>2866</v>
      </c>
      <c r="E364" s="3" t="s">
        <v>3277</v>
      </c>
      <c r="F364" s="3">
        <v>124</v>
      </c>
      <c r="G364" s="4">
        <v>40513.472916666666</v>
      </c>
      <c r="H364" s="3">
        <v>4</v>
      </c>
      <c r="I364" s="5">
        <v>16</v>
      </c>
      <c r="J364" t="s">
        <v>176</v>
      </c>
      <c r="K364" t="s">
        <v>4497</v>
      </c>
      <c r="L364">
        <v>536401</v>
      </c>
      <c r="M364" s="2">
        <v>20992</v>
      </c>
      <c r="N364">
        <v>0.85</v>
      </c>
      <c r="O364" s="6">
        <v>9</v>
      </c>
      <c r="P364" s="3">
        <v>0.05</v>
      </c>
      <c r="Q364" t="s">
        <v>3</v>
      </c>
      <c r="R364" s="7">
        <f t="shared" si="15"/>
        <v>7.6499999999999995</v>
      </c>
      <c r="S364" s="7">
        <f t="shared" si="16"/>
        <v>0.38250000000000001</v>
      </c>
      <c r="T364">
        <f>Table1[[#This Row],[Total price]]-Table1[[#This Row],[Discount Amount]]</f>
        <v>7.2674999999999992</v>
      </c>
      <c r="U364">
        <f t="shared" si="17"/>
        <v>65.407499999999999</v>
      </c>
    </row>
    <row r="365" spans="1:21">
      <c r="A365">
        <v>364</v>
      </c>
      <c r="B365" s="3" t="s">
        <v>2494</v>
      </c>
      <c r="C365" s="3" t="s">
        <v>2095</v>
      </c>
      <c r="D365" s="3" t="s">
        <v>2866</v>
      </c>
      <c r="E365" s="3" t="s">
        <v>3278</v>
      </c>
      <c r="F365" s="3">
        <v>124</v>
      </c>
      <c r="G365" s="4">
        <v>40513.472916666666</v>
      </c>
      <c r="H365" s="3">
        <v>4</v>
      </c>
      <c r="I365" s="5">
        <v>4</v>
      </c>
      <c r="J365" t="s">
        <v>582</v>
      </c>
      <c r="K365" t="s">
        <v>4497</v>
      </c>
      <c r="L365">
        <v>536401</v>
      </c>
      <c r="M365" s="2">
        <v>22662</v>
      </c>
      <c r="N365">
        <v>1.65</v>
      </c>
      <c r="O365" s="6">
        <v>1</v>
      </c>
      <c r="P365" s="3">
        <v>7.0000000000000007E-2</v>
      </c>
      <c r="Q365" t="s">
        <v>3</v>
      </c>
      <c r="R365" s="7">
        <f t="shared" si="15"/>
        <v>1.65</v>
      </c>
      <c r="S365" s="7">
        <f t="shared" si="16"/>
        <v>0.11550000000000001</v>
      </c>
      <c r="T365">
        <f>Table1[[#This Row],[Total price]]-Table1[[#This Row],[Discount Amount]]</f>
        <v>1.5345</v>
      </c>
      <c r="U365">
        <f t="shared" si="17"/>
        <v>1.5345</v>
      </c>
    </row>
    <row r="366" spans="1:21">
      <c r="A366">
        <v>365</v>
      </c>
      <c r="B366" s="3" t="s">
        <v>2493</v>
      </c>
      <c r="C366" s="3" t="s">
        <v>1038</v>
      </c>
      <c r="D366" s="3" t="s">
        <v>2866</v>
      </c>
      <c r="E366" s="3" t="s">
        <v>3279</v>
      </c>
      <c r="F366" s="3">
        <v>124</v>
      </c>
      <c r="G366" s="4">
        <v>40513.472916666666</v>
      </c>
      <c r="H366" s="3">
        <v>4</v>
      </c>
      <c r="I366" s="5">
        <v>7</v>
      </c>
      <c r="J366" t="s">
        <v>24</v>
      </c>
      <c r="K366" t="s">
        <v>4497</v>
      </c>
      <c r="L366">
        <v>536401</v>
      </c>
      <c r="M366" s="2" t="s">
        <v>23</v>
      </c>
      <c r="N366">
        <v>2.95</v>
      </c>
      <c r="O366" s="6">
        <v>4</v>
      </c>
      <c r="P366" s="3">
        <v>0.05</v>
      </c>
      <c r="Q366" t="s">
        <v>3</v>
      </c>
      <c r="R366" s="7">
        <f t="shared" si="15"/>
        <v>11.8</v>
      </c>
      <c r="S366" s="7">
        <f t="shared" si="16"/>
        <v>0.59000000000000008</v>
      </c>
      <c r="T366">
        <f>Table1[[#This Row],[Total price]]-Table1[[#This Row],[Discount Amount]]</f>
        <v>11.21</v>
      </c>
      <c r="U366">
        <f t="shared" si="17"/>
        <v>44.84</v>
      </c>
    </row>
    <row r="367" spans="1:21">
      <c r="A367">
        <v>366</v>
      </c>
      <c r="B367" s="3" t="s">
        <v>2492</v>
      </c>
      <c r="C367" s="3" t="s">
        <v>1185</v>
      </c>
      <c r="D367" s="3" t="s">
        <v>2866</v>
      </c>
      <c r="E367" s="3" t="s">
        <v>3280</v>
      </c>
      <c r="F367" s="3">
        <v>125</v>
      </c>
      <c r="G367" s="4">
        <v>40513.472916666666</v>
      </c>
      <c r="H367" s="3">
        <v>4</v>
      </c>
      <c r="I367" s="5">
        <v>17</v>
      </c>
      <c r="J367" t="s">
        <v>393</v>
      </c>
      <c r="K367" t="s">
        <v>4497</v>
      </c>
      <c r="L367">
        <v>536401</v>
      </c>
      <c r="M367" s="2">
        <v>22804</v>
      </c>
      <c r="N367">
        <v>2.95</v>
      </c>
      <c r="O367" s="6">
        <v>3</v>
      </c>
      <c r="P367" s="3">
        <v>0.1</v>
      </c>
      <c r="Q367" t="s">
        <v>3</v>
      </c>
      <c r="R367" s="7">
        <f t="shared" si="15"/>
        <v>8.8500000000000014</v>
      </c>
      <c r="S367" s="7">
        <f t="shared" si="16"/>
        <v>0.88500000000000023</v>
      </c>
      <c r="T367">
        <f>Table1[[#This Row],[Total price]]-Table1[[#This Row],[Discount Amount]]</f>
        <v>7.9650000000000016</v>
      </c>
      <c r="U367">
        <f t="shared" si="17"/>
        <v>23.895000000000003</v>
      </c>
    </row>
    <row r="368" spans="1:21">
      <c r="A368">
        <v>367</v>
      </c>
      <c r="B368" s="3" t="s">
        <v>2491</v>
      </c>
      <c r="C368" s="3" t="s">
        <v>2490</v>
      </c>
      <c r="D368" s="3" t="s">
        <v>2866</v>
      </c>
      <c r="E368" s="3" t="s">
        <v>3281</v>
      </c>
      <c r="F368" s="3">
        <v>126</v>
      </c>
      <c r="G368" s="4">
        <v>40513.472916666666</v>
      </c>
      <c r="H368" s="3">
        <v>4</v>
      </c>
      <c r="I368" s="5">
        <v>9</v>
      </c>
      <c r="J368" t="s">
        <v>458</v>
      </c>
      <c r="K368" t="s">
        <v>4497</v>
      </c>
      <c r="L368">
        <v>536401</v>
      </c>
      <c r="M368" s="2">
        <v>82483</v>
      </c>
      <c r="N368">
        <v>5.95</v>
      </c>
      <c r="O368" s="6">
        <v>1</v>
      </c>
      <c r="P368" s="3">
        <v>0.05</v>
      </c>
      <c r="Q368" t="s">
        <v>3</v>
      </c>
      <c r="R368" s="7">
        <f t="shared" si="15"/>
        <v>5.95</v>
      </c>
      <c r="S368" s="7">
        <f t="shared" si="16"/>
        <v>0.29750000000000004</v>
      </c>
      <c r="T368">
        <f>Table1[[#This Row],[Total price]]-Table1[[#This Row],[Discount Amount]]</f>
        <v>5.6524999999999999</v>
      </c>
      <c r="U368">
        <f t="shared" si="17"/>
        <v>5.6524999999999999</v>
      </c>
    </row>
    <row r="369" spans="1:21">
      <c r="A369">
        <v>368</v>
      </c>
      <c r="B369" s="3" t="s">
        <v>2489</v>
      </c>
      <c r="C369" s="3" t="s">
        <v>2309</v>
      </c>
      <c r="D369" s="3" t="s">
        <v>2866</v>
      </c>
      <c r="E369" s="3" t="s">
        <v>3282</v>
      </c>
      <c r="F369" s="3">
        <v>127</v>
      </c>
      <c r="G369" s="4">
        <v>40513.472916666666</v>
      </c>
      <c r="H369" s="3">
        <v>4</v>
      </c>
      <c r="I369" s="5">
        <v>17</v>
      </c>
      <c r="J369" t="s">
        <v>268</v>
      </c>
      <c r="K369" t="s">
        <v>4497</v>
      </c>
      <c r="L369">
        <v>536401</v>
      </c>
      <c r="M369" s="2">
        <v>20749</v>
      </c>
      <c r="N369">
        <v>7.95</v>
      </c>
      <c r="O369" s="6">
        <v>1</v>
      </c>
      <c r="P369" s="3">
        <v>7.0000000000000007E-2</v>
      </c>
      <c r="Q369" t="s">
        <v>3</v>
      </c>
      <c r="R369" s="7">
        <f t="shared" si="15"/>
        <v>7.95</v>
      </c>
      <c r="S369" s="7">
        <f t="shared" si="16"/>
        <v>0.55650000000000011</v>
      </c>
      <c r="T369">
        <f>Table1[[#This Row],[Total price]]-Table1[[#This Row],[Discount Amount]]</f>
        <v>7.3935000000000004</v>
      </c>
      <c r="U369">
        <f t="shared" si="17"/>
        <v>7.3935000000000004</v>
      </c>
    </row>
    <row r="370" spans="1:21">
      <c r="A370">
        <v>369</v>
      </c>
      <c r="B370" s="3" t="s">
        <v>2488</v>
      </c>
      <c r="C370" s="3" t="s">
        <v>2487</v>
      </c>
      <c r="D370" s="3" t="s">
        <v>2866</v>
      </c>
      <c r="E370" s="3" t="s">
        <v>3283</v>
      </c>
      <c r="F370" s="3">
        <v>127</v>
      </c>
      <c r="G370" s="4">
        <v>40513.472916666666</v>
      </c>
      <c r="H370" s="3">
        <v>4</v>
      </c>
      <c r="I370" s="5">
        <v>20</v>
      </c>
      <c r="J370" t="s">
        <v>272</v>
      </c>
      <c r="K370" t="s">
        <v>4497</v>
      </c>
      <c r="L370">
        <v>536401</v>
      </c>
      <c r="M370" s="2">
        <v>20725</v>
      </c>
      <c r="N370">
        <v>1.65</v>
      </c>
      <c r="O370" s="6">
        <v>1</v>
      </c>
      <c r="P370" s="3">
        <v>0.1</v>
      </c>
      <c r="Q370" t="s">
        <v>3</v>
      </c>
      <c r="R370" s="7">
        <f t="shared" si="15"/>
        <v>1.65</v>
      </c>
      <c r="S370" s="7">
        <f t="shared" si="16"/>
        <v>0.16500000000000001</v>
      </c>
      <c r="T370">
        <f>Table1[[#This Row],[Total price]]-Table1[[#This Row],[Discount Amount]]</f>
        <v>1.4849999999999999</v>
      </c>
      <c r="U370">
        <f t="shared" si="17"/>
        <v>1.4849999999999999</v>
      </c>
    </row>
    <row r="371" spans="1:21">
      <c r="A371">
        <v>370</v>
      </c>
      <c r="B371" s="3" t="s">
        <v>2486</v>
      </c>
      <c r="C371" s="3" t="s">
        <v>1944</v>
      </c>
      <c r="D371" s="3" t="s">
        <v>2866</v>
      </c>
      <c r="E371" s="3" t="s">
        <v>3284</v>
      </c>
      <c r="F371" s="3">
        <v>127</v>
      </c>
      <c r="G371" s="4">
        <v>40513.472916666666</v>
      </c>
      <c r="H371" s="3">
        <v>4</v>
      </c>
      <c r="I371" s="5">
        <v>4</v>
      </c>
      <c r="J371" t="s">
        <v>201</v>
      </c>
      <c r="K371" t="s">
        <v>4497</v>
      </c>
      <c r="L371">
        <v>536401</v>
      </c>
      <c r="M371" s="2">
        <v>22382</v>
      </c>
      <c r="N371">
        <v>1.65</v>
      </c>
      <c r="O371" s="6">
        <v>2</v>
      </c>
      <c r="P371" s="3">
        <v>7.0000000000000007E-2</v>
      </c>
      <c r="Q371" t="s">
        <v>3</v>
      </c>
      <c r="R371" s="7">
        <f t="shared" si="15"/>
        <v>3.3</v>
      </c>
      <c r="S371" s="7">
        <f t="shared" si="16"/>
        <v>0.23100000000000001</v>
      </c>
      <c r="T371">
        <f>Table1[[#This Row],[Total price]]-Table1[[#This Row],[Discount Amount]]</f>
        <v>3.069</v>
      </c>
      <c r="U371">
        <f t="shared" si="17"/>
        <v>6.1379999999999999</v>
      </c>
    </row>
    <row r="372" spans="1:21">
      <c r="A372">
        <v>371</v>
      </c>
      <c r="B372" s="3" t="s">
        <v>1868</v>
      </c>
      <c r="C372" s="3" t="s">
        <v>1568</v>
      </c>
      <c r="D372" s="3" t="s">
        <v>2866</v>
      </c>
      <c r="E372" s="3" t="s">
        <v>3285</v>
      </c>
      <c r="F372" s="3">
        <v>128</v>
      </c>
      <c r="G372" s="4">
        <v>40513.472916666666</v>
      </c>
      <c r="H372" s="3">
        <v>4</v>
      </c>
      <c r="I372" s="5">
        <v>24</v>
      </c>
      <c r="J372" t="s">
        <v>386</v>
      </c>
      <c r="K372" t="s">
        <v>4497</v>
      </c>
      <c r="L372">
        <v>536401</v>
      </c>
      <c r="M372" s="2">
        <v>20726</v>
      </c>
      <c r="N372">
        <v>1.65</v>
      </c>
      <c r="O372" s="6">
        <v>1</v>
      </c>
      <c r="P372" s="3">
        <v>0.1</v>
      </c>
      <c r="Q372" t="s">
        <v>3</v>
      </c>
      <c r="R372" s="7">
        <f t="shared" si="15"/>
        <v>1.65</v>
      </c>
      <c r="S372" s="7">
        <f t="shared" si="16"/>
        <v>0.16500000000000001</v>
      </c>
      <c r="T372">
        <f>Table1[[#This Row],[Total price]]-Table1[[#This Row],[Discount Amount]]</f>
        <v>1.4849999999999999</v>
      </c>
      <c r="U372">
        <f t="shared" si="17"/>
        <v>1.4849999999999999</v>
      </c>
    </row>
    <row r="373" spans="1:21">
      <c r="A373">
        <v>372</v>
      </c>
      <c r="B373" s="3" t="s">
        <v>2083</v>
      </c>
      <c r="C373" s="3" t="s">
        <v>1256</v>
      </c>
      <c r="D373" s="3" t="s">
        <v>2866</v>
      </c>
      <c r="E373" s="3" t="s">
        <v>3286</v>
      </c>
      <c r="F373" s="3">
        <v>128</v>
      </c>
      <c r="G373" s="4">
        <v>40513.472916666666</v>
      </c>
      <c r="H373" s="3">
        <v>4</v>
      </c>
      <c r="I373" s="5">
        <v>16</v>
      </c>
      <c r="J373" t="s">
        <v>388</v>
      </c>
      <c r="K373" t="s">
        <v>4497</v>
      </c>
      <c r="L373">
        <v>536401</v>
      </c>
      <c r="M373" s="2">
        <v>22384</v>
      </c>
      <c r="N373">
        <v>1.65</v>
      </c>
      <c r="O373" s="6">
        <v>1</v>
      </c>
      <c r="P373" s="3">
        <v>0.1</v>
      </c>
      <c r="Q373" t="s">
        <v>3</v>
      </c>
      <c r="R373" s="7">
        <f t="shared" si="15"/>
        <v>1.65</v>
      </c>
      <c r="S373" s="7">
        <f t="shared" si="16"/>
        <v>0.16500000000000001</v>
      </c>
      <c r="T373">
        <f>Table1[[#This Row],[Total price]]-Table1[[#This Row],[Discount Amount]]</f>
        <v>1.4849999999999999</v>
      </c>
      <c r="U373">
        <f t="shared" si="17"/>
        <v>1.4849999999999999</v>
      </c>
    </row>
    <row r="374" spans="1:21">
      <c r="A374">
        <v>373</v>
      </c>
      <c r="B374" s="3" t="s">
        <v>2485</v>
      </c>
      <c r="C374" s="3" t="s">
        <v>2482</v>
      </c>
      <c r="D374" s="3" t="s">
        <v>2866</v>
      </c>
      <c r="E374" s="3" t="s">
        <v>3287</v>
      </c>
      <c r="F374" s="3">
        <v>128</v>
      </c>
      <c r="G374" s="4">
        <v>40513.472916666666</v>
      </c>
      <c r="H374" s="3">
        <v>4</v>
      </c>
      <c r="I374" s="5">
        <v>4</v>
      </c>
      <c r="J374" t="s">
        <v>264</v>
      </c>
      <c r="K374" t="s">
        <v>4497</v>
      </c>
      <c r="L374">
        <v>536401</v>
      </c>
      <c r="M374" s="2">
        <v>22467</v>
      </c>
      <c r="N374">
        <v>2.5499999999999998</v>
      </c>
      <c r="O374" s="6">
        <v>5</v>
      </c>
      <c r="P374" s="3">
        <v>0.2</v>
      </c>
      <c r="Q374" t="s">
        <v>3</v>
      </c>
      <c r="R374" s="7">
        <f t="shared" si="15"/>
        <v>12.75</v>
      </c>
      <c r="S374" s="7">
        <f t="shared" si="16"/>
        <v>2.5500000000000003</v>
      </c>
      <c r="T374">
        <f>Table1[[#This Row],[Total price]]-Table1[[#This Row],[Discount Amount]]</f>
        <v>10.199999999999999</v>
      </c>
      <c r="U374">
        <f t="shared" si="17"/>
        <v>51</v>
      </c>
    </row>
    <row r="375" spans="1:21">
      <c r="A375">
        <v>374</v>
      </c>
      <c r="B375" s="3" t="s">
        <v>2484</v>
      </c>
      <c r="C375" s="3" t="s">
        <v>1951</v>
      </c>
      <c r="D375" s="3" t="s">
        <v>2866</v>
      </c>
      <c r="E375" s="3" t="s">
        <v>3288</v>
      </c>
      <c r="F375" s="3">
        <v>128</v>
      </c>
      <c r="G375" s="4">
        <v>40513.472916666666</v>
      </c>
      <c r="H375" s="3">
        <v>4</v>
      </c>
      <c r="I375" s="5">
        <v>3</v>
      </c>
      <c r="J375" t="s">
        <v>796</v>
      </c>
      <c r="K375" t="s">
        <v>4497</v>
      </c>
      <c r="L375">
        <v>536401</v>
      </c>
      <c r="M375" s="2" t="s">
        <v>795</v>
      </c>
      <c r="N375">
        <v>2.95</v>
      </c>
      <c r="O375" s="6">
        <v>3</v>
      </c>
      <c r="P375" s="3">
        <v>0.2</v>
      </c>
      <c r="Q375" t="s">
        <v>3</v>
      </c>
      <c r="R375" s="7">
        <f t="shared" si="15"/>
        <v>8.8500000000000014</v>
      </c>
      <c r="S375" s="7">
        <f t="shared" si="16"/>
        <v>1.7700000000000005</v>
      </c>
      <c r="T375">
        <f>Table1[[#This Row],[Total price]]-Table1[[#This Row],[Discount Amount]]</f>
        <v>7.080000000000001</v>
      </c>
      <c r="U375">
        <f t="shared" si="17"/>
        <v>21.240000000000002</v>
      </c>
    </row>
    <row r="376" spans="1:21">
      <c r="A376">
        <v>375</v>
      </c>
      <c r="B376" s="3" t="s">
        <v>2483</v>
      </c>
      <c r="C376" s="3" t="s">
        <v>2482</v>
      </c>
      <c r="D376" s="3" t="s">
        <v>2866</v>
      </c>
      <c r="E376" s="3" t="s">
        <v>3289</v>
      </c>
      <c r="F376" s="3">
        <v>129</v>
      </c>
      <c r="G376" s="4">
        <v>40513.472916666666</v>
      </c>
      <c r="H376" s="3">
        <v>4</v>
      </c>
      <c r="I376" s="5">
        <v>18</v>
      </c>
      <c r="J376" t="s">
        <v>743</v>
      </c>
      <c r="K376" t="s">
        <v>4497</v>
      </c>
      <c r="L376">
        <v>536401</v>
      </c>
      <c r="M376" s="2" t="s">
        <v>742</v>
      </c>
      <c r="N376">
        <v>2.95</v>
      </c>
      <c r="O376" s="6">
        <v>3</v>
      </c>
      <c r="P376" s="3">
        <v>0.1</v>
      </c>
      <c r="Q376" t="s">
        <v>3</v>
      </c>
      <c r="R376" s="7">
        <f t="shared" si="15"/>
        <v>8.8500000000000014</v>
      </c>
      <c r="S376" s="7">
        <f t="shared" si="16"/>
        <v>0.88500000000000023</v>
      </c>
      <c r="T376">
        <f>Table1[[#This Row],[Total price]]-Table1[[#This Row],[Discount Amount]]</f>
        <v>7.9650000000000016</v>
      </c>
      <c r="U376">
        <f t="shared" si="17"/>
        <v>23.895000000000003</v>
      </c>
    </row>
    <row r="377" spans="1:21">
      <c r="A377">
        <v>376</v>
      </c>
      <c r="B377" s="3" t="s">
        <v>2481</v>
      </c>
      <c r="C377" s="3" t="s">
        <v>2480</v>
      </c>
      <c r="D377" s="3" t="s">
        <v>2866</v>
      </c>
      <c r="E377" s="3" t="s">
        <v>3290</v>
      </c>
      <c r="F377" s="3">
        <v>129</v>
      </c>
      <c r="G377" s="4">
        <v>40513.472916666666</v>
      </c>
      <c r="H377" s="3">
        <v>4</v>
      </c>
      <c r="I377" s="5">
        <v>9</v>
      </c>
      <c r="J377" t="s">
        <v>443</v>
      </c>
      <c r="K377" t="s">
        <v>4497</v>
      </c>
      <c r="L377">
        <v>536401</v>
      </c>
      <c r="M377" s="2">
        <v>21108</v>
      </c>
      <c r="N377">
        <v>2.5499999999999998</v>
      </c>
      <c r="O377" s="6">
        <v>9</v>
      </c>
      <c r="P377" s="3">
        <v>0.1</v>
      </c>
      <c r="Q377" t="s">
        <v>3</v>
      </c>
      <c r="R377" s="7">
        <f t="shared" si="15"/>
        <v>22.95</v>
      </c>
      <c r="S377" s="7">
        <f t="shared" si="16"/>
        <v>2.2949999999999999</v>
      </c>
      <c r="T377">
        <f>Table1[[#This Row],[Total price]]-Table1[[#This Row],[Discount Amount]]</f>
        <v>20.655000000000001</v>
      </c>
      <c r="U377">
        <f t="shared" si="17"/>
        <v>185.89500000000001</v>
      </c>
    </row>
    <row r="378" spans="1:21">
      <c r="A378">
        <v>377</v>
      </c>
      <c r="B378" s="3" t="s">
        <v>1871</v>
      </c>
      <c r="C378" s="3" t="s">
        <v>2479</v>
      </c>
      <c r="D378" s="3" t="s">
        <v>2866</v>
      </c>
      <c r="E378" s="3" t="s">
        <v>3291</v>
      </c>
      <c r="F378" s="3">
        <v>130</v>
      </c>
      <c r="G378" s="4">
        <v>40513.472916666666</v>
      </c>
      <c r="H378" s="3">
        <v>4</v>
      </c>
      <c r="I378" s="5">
        <v>26</v>
      </c>
      <c r="J378" t="s">
        <v>533</v>
      </c>
      <c r="K378" t="s">
        <v>4497</v>
      </c>
      <c r="L378">
        <v>536401</v>
      </c>
      <c r="M378" s="2">
        <v>22848</v>
      </c>
      <c r="N378">
        <v>16.95</v>
      </c>
      <c r="O378" s="6">
        <v>1</v>
      </c>
      <c r="P378" s="3">
        <v>0.05</v>
      </c>
      <c r="Q378" t="s">
        <v>3</v>
      </c>
      <c r="R378" s="7">
        <f t="shared" si="15"/>
        <v>16.95</v>
      </c>
      <c r="S378" s="7">
        <f t="shared" si="16"/>
        <v>0.84750000000000003</v>
      </c>
      <c r="T378">
        <f>Table1[[#This Row],[Total price]]-Table1[[#This Row],[Discount Amount]]</f>
        <v>16.102499999999999</v>
      </c>
      <c r="U378">
        <f t="shared" si="17"/>
        <v>16.102499999999999</v>
      </c>
    </row>
    <row r="379" spans="1:21">
      <c r="A379">
        <v>378</v>
      </c>
      <c r="B379" s="3" t="s">
        <v>2478</v>
      </c>
      <c r="C379" s="3" t="s">
        <v>2477</v>
      </c>
      <c r="D379" s="3" t="s">
        <v>2866</v>
      </c>
      <c r="E379" s="3" t="s">
        <v>3292</v>
      </c>
      <c r="F379" s="3">
        <v>130</v>
      </c>
      <c r="G379" s="4">
        <v>40513.472916666666</v>
      </c>
      <c r="H379" s="3">
        <v>4</v>
      </c>
      <c r="I379" s="5">
        <v>5</v>
      </c>
      <c r="J379" t="s">
        <v>487</v>
      </c>
      <c r="K379" t="s">
        <v>4497</v>
      </c>
      <c r="L379">
        <v>536401</v>
      </c>
      <c r="M379" s="2">
        <v>21033</v>
      </c>
      <c r="N379">
        <v>2.95</v>
      </c>
      <c r="O379" s="6">
        <v>4</v>
      </c>
      <c r="P379" s="3">
        <v>7.0000000000000007E-2</v>
      </c>
      <c r="Q379" t="s">
        <v>3</v>
      </c>
      <c r="R379" s="7">
        <f t="shared" si="15"/>
        <v>11.8</v>
      </c>
      <c r="S379" s="7">
        <f t="shared" si="16"/>
        <v>0.82600000000000018</v>
      </c>
      <c r="T379">
        <f>Table1[[#This Row],[Total price]]-Table1[[#This Row],[Discount Amount]]</f>
        <v>10.974</v>
      </c>
      <c r="U379">
        <f t="shared" si="17"/>
        <v>43.896000000000001</v>
      </c>
    </row>
    <row r="380" spans="1:21">
      <c r="A380">
        <v>379</v>
      </c>
      <c r="B380" s="3" t="s">
        <v>2476</v>
      </c>
      <c r="C380" s="3" t="s">
        <v>2475</v>
      </c>
      <c r="D380" s="3" t="s">
        <v>2866</v>
      </c>
      <c r="E380" s="3" t="s">
        <v>3293</v>
      </c>
      <c r="F380" s="3">
        <v>131</v>
      </c>
      <c r="G380" s="4">
        <v>40513.472916666666</v>
      </c>
      <c r="H380" s="3">
        <v>4</v>
      </c>
      <c r="I380" s="5">
        <v>22</v>
      </c>
      <c r="J380" t="s">
        <v>722</v>
      </c>
      <c r="K380" t="s">
        <v>4497</v>
      </c>
      <c r="L380">
        <v>536401</v>
      </c>
      <c r="M380" s="2" t="s">
        <v>721</v>
      </c>
      <c r="N380">
        <v>10.65</v>
      </c>
      <c r="O380" s="6">
        <v>1</v>
      </c>
      <c r="P380" s="3">
        <v>0.2</v>
      </c>
      <c r="Q380" t="s">
        <v>3</v>
      </c>
      <c r="R380" s="7">
        <f t="shared" si="15"/>
        <v>10.65</v>
      </c>
      <c r="S380" s="7">
        <f t="shared" si="16"/>
        <v>2.1300000000000003</v>
      </c>
      <c r="T380">
        <f>Table1[[#This Row],[Total price]]-Table1[[#This Row],[Discount Amount]]</f>
        <v>8.52</v>
      </c>
      <c r="U380">
        <f t="shared" si="17"/>
        <v>8.52</v>
      </c>
    </row>
    <row r="381" spans="1:21">
      <c r="A381">
        <v>380</v>
      </c>
      <c r="B381" s="3" t="s">
        <v>2474</v>
      </c>
      <c r="C381" s="3" t="s">
        <v>2473</v>
      </c>
      <c r="D381" s="3" t="s">
        <v>2866</v>
      </c>
      <c r="E381" s="3" t="s">
        <v>3294</v>
      </c>
      <c r="F381" s="3">
        <v>131</v>
      </c>
      <c r="G381" s="4">
        <v>40513.472916666666</v>
      </c>
      <c r="H381" s="3">
        <v>4</v>
      </c>
      <c r="I381" s="5">
        <v>4</v>
      </c>
      <c r="J381" t="s">
        <v>77</v>
      </c>
      <c r="K381" t="s">
        <v>4497</v>
      </c>
      <c r="L381">
        <v>536401</v>
      </c>
      <c r="M381" s="2" t="s">
        <v>76</v>
      </c>
      <c r="N381">
        <v>4.25</v>
      </c>
      <c r="O381" s="6">
        <v>1</v>
      </c>
      <c r="P381" s="3">
        <v>7.0000000000000007E-2</v>
      </c>
      <c r="Q381" t="s">
        <v>3</v>
      </c>
      <c r="R381" s="7">
        <f t="shared" si="15"/>
        <v>4.25</v>
      </c>
      <c r="S381" s="7">
        <f t="shared" si="16"/>
        <v>0.29750000000000004</v>
      </c>
      <c r="T381">
        <f>Table1[[#This Row],[Total price]]-Table1[[#This Row],[Discount Amount]]</f>
        <v>3.9525000000000001</v>
      </c>
      <c r="U381">
        <f t="shared" si="17"/>
        <v>3.9525000000000001</v>
      </c>
    </row>
    <row r="382" spans="1:21">
      <c r="A382">
        <v>381</v>
      </c>
      <c r="B382" s="3" t="s">
        <v>2472</v>
      </c>
      <c r="C382" s="3" t="s">
        <v>1481</v>
      </c>
      <c r="D382" s="3" t="s">
        <v>2866</v>
      </c>
      <c r="E382" s="3" t="s">
        <v>3295</v>
      </c>
      <c r="F382" s="3">
        <v>131</v>
      </c>
      <c r="G382" s="4">
        <v>40513.472916666666</v>
      </c>
      <c r="H382" s="3">
        <v>4</v>
      </c>
      <c r="I382" s="5">
        <v>24</v>
      </c>
      <c r="J382" t="s">
        <v>655</v>
      </c>
      <c r="K382" t="s">
        <v>4497</v>
      </c>
      <c r="L382">
        <v>536401</v>
      </c>
      <c r="M382" s="2">
        <v>22428</v>
      </c>
      <c r="N382">
        <v>6.95</v>
      </c>
      <c r="O382" s="6">
        <v>2</v>
      </c>
      <c r="P382" s="3">
        <v>0.1</v>
      </c>
      <c r="Q382" t="s">
        <v>3</v>
      </c>
      <c r="R382" s="7">
        <f t="shared" si="15"/>
        <v>13.9</v>
      </c>
      <c r="S382" s="7">
        <f t="shared" si="16"/>
        <v>1.3900000000000001</v>
      </c>
      <c r="T382">
        <f>Table1[[#This Row],[Total price]]-Table1[[#This Row],[Discount Amount]]</f>
        <v>12.51</v>
      </c>
      <c r="U382">
        <f t="shared" si="17"/>
        <v>25.02</v>
      </c>
    </row>
    <row r="383" spans="1:21">
      <c r="A383">
        <v>382</v>
      </c>
      <c r="B383" s="3" t="s">
        <v>2471</v>
      </c>
      <c r="C383" s="3" t="s">
        <v>1083</v>
      </c>
      <c r="D383" s="3" t="s">
        <v>2866</v>
      </c>
      <c r="E383" s="3" t="s">
        <v>3296</v>
      </c>
      <c r="F383" s="3">
        <v>132</v>
      </c>
      <c r="G383" s="4">
        <v>40513.472916666666</v>
      </c>
      <c r="H383" s="3">
        <v>4</v>
      </c>
      <c r="I383" s="5">
        <v>2</v>
      </c>
      <c r="J383" t="s">
        <v>337</v>
      </c>
      <c r="K383" t="s">
        <v>4497</v>
      </c>
      <c r="L383">
        <v>536401</v>
      </c>
      <c r="M383" s="2">
        <v>22502</v>
      </c>
      <c r="N383">
        <v>5.95</v>
      </c>
      <c r="O383" s="6">
        <v>2</v>
      </c>
      <c r="P383" s="3">
        <v>0.05</v>
      </c>
      <c r="Q383" t="s">
        <v>3</v>
      </c>
      <c r="R383" s="7">
        <f t="shared" si="15"/>
        <v>11.9</v>
      </c>
      <c r="S383" s="7">
        <f t="shared" si="16"/>
        <v>0.59500000000000008</v>
      </c>
      <c r="T383">
        <f>Table1[[#This Row],[Total price]]-Table1[[#This Row],[Discount Amount]]</f>
        <v>11.305</v>
      </c>
      <c r="U383">
        <f t="shared" si="17"/>
        <v>22.61</v>
      </c>
    </row>
    <row r="384" spans="1:21">
      <c r="A384">
        <v>383</v>
      </c>
      <c r="B384" s="3" t="s">
        <v>2470</v>
      </c>
      <c r="C384" s="3" t="s">
        <v>1400</v>
      </c>
      <c r="D384" s="3" t="s">
        <v>2866</v>
      </c>
      <c r="E384" s="3" t="s">
        <v>3297</v>
      </c>
      <c r="F384" s="3">
        <v>132</v>
      </c>
      <c r="G384" s="4">
        <v>40513.473611111112</v>
      </c>
      <c r="H384" s="3">
        <v>4</v>
      </c>
      <c r="I384" s="5">
        <v>20</v>
      </c>
      <c r="J384" t="s">
        <v>411</v>
      </c>
      <c r="K384" t="s">
        <v>4497</v>
      </c>
      <c r="L384">
        <v>536402</v>
      </c>
      <c r="M384" s="2">
        <v>22086</v>
      </c>
      <c r="N384">
        <v>2.5499999999999998</v>
      </c>
      <c r="O384" s="6">
        <v>40</v>
      </c>
      <c r="P384" s="3">
        <v>0.05</v>
      </c>
      <c r="Q384" t="s">
        <v>3</v>
      </c>
      <c r="R384" s="7">
        <f t="shared" si="15"/>
        <v>102</v>
      </c>
      <c r="S384" s="7">
        <f t="shared" si="16"/>
        <v>5.1000000000000005</v>
      </c>
      <c r="T384">
        <f>Table1[[#This Row],[Total price]]-Table1[[#This Row],[Discount Amount]]</f>
        <v>96.9</v>
      </c>
      <c r="U384">
        <f t="shared" si="17"/>
        <v>3876</v>
      </c>
    </row>
    <row r="385" spans="1:21">
      <c r="A385">
        <v>384</v>
      </c>
      <c r="B385" s="3" t="s">
        <v>2469</v>
      </c>
      <c r="C385" s="3" t="s">
        <v>1941</v>
      </c>
      <c r="D385" s="3" t="s">
        <v>2866</v>
      </c>
      <c r="E385" s="3" t="s">
        <v>3298</v>
      </c>
      <c r="F385" s="3">
        <v>132</v>
      </c>
      <c r="G385" s="4">
        <v>40513.473611111112</v>
      </c>
      <c r="H385" s="3">
        <v>4</v>
      </c>
      <c r="I385" s="5">
        <v>9</v>
      </c>
      <c r="J385" t="s">
        <v>63</v>
      </c>
      <c r="K385" t="s">
        <v>4497</v>
      </c>
      <c r="L385">
        <v>536402</v>
      </c>
      <c r="M385" s="2">
        <v>22910</v>
      </c>
      <c r="N385">
        <v>2.5499999999999998</v>
      </c>
      <c r="O385" s="6">
        <v>40</v>
      </c>
      <c r="P385" s="3">
        <v>0.1</v>
      </c>
      <c r="Q385" t="s">
        <v>3</v>
      </c>
      <c r="R385" s="7">
        <f t="shared" si="15"/>
        <v>102</v>
      </c>
      <c r="S385" s="7">
        <f t="shared" si="16"/>
        <v>10.200000000000001</v>
      </c>
      <c r="T385">
        <f>Table1[[#This Row],[Total price]]-Table1[[#This Row],[Discount Amount]]</f>
        <v>91.8</v>
      </c>
      <c r="U385">
        <f t="shared" si="17"/>
        <v>3672</v>
      </c>
    </row>
    <row r="386" spans="1:21">
      <c r="A386">
        <v>385</v>
      </c>
      <c r="B386" s="3" t="s">
        <v>2468</v>
      </c>
      <c r="C386" s="3" t="s">
        <v>2416</v>
      </c>
      <c r="D386" s="3" t="s">
        <v>2866</v>
      </c>
      <c r="E386" s="3" t="s">
        <v>3299</v>
      </c>
      <c r="F386" s="3">
        <v>133</v>
      </c>
      <c r="G386" s="4">
        <v>40513.473611111112</v>
      </c>
      <c r="H386" s="3">
        <v>4</v>
      </c>
      <c r="I386" s="5">
        <v>13</v>
      </c>
      <c r="J386" t="s">
        <v>11</v>
      </c>
      <c r="K386" t="s">
        <v>4497</v>
      </c>
      <c r="L386">
        <v>536402</v>
      </c>
      <c r="M386" s="2">
        <v>22837</v>
      </c>
      <c r="N386">
        <v>4.25</v>
      </c>
      <c r="O386" s="6">
        <v>36</v>
      </c>
      <c r="P386" s="3">
        <v>0.05</v>
      </c>
      <c r="Q386" t="s">
        <v>3</v>
      </c>
      <c r="R386" s="7">
        <f t="shared" si="15"/>
        <v>153</v>
      </c>
      <c r="S386" s="7">
        <f t="shared" si="16"/>
        <v>7.65</v>
      </c>
      <c r="T386">
        <f>Table1[[#This Row],[Total price]]-Table1[[#This Row],[Discount Amount]]</f>
        <v>145.35</v>
      </c>
      <c r="U386">
        <f t="shared" si="17"/>
        <v>5232.5999999999995</v>
      </c>
    </row>
    <row r="387" spans="1:21">
      <c r="A387">
        <v>386</v>
      </c>
      <c r="B387" s="3" t="s">
        <v>2467</v>
      </c>
      <c r="C387" s="3" t="s">
        <v>2466</v>
      </c>
      <c r="D387" s="3" t="s">
        <v>2866</v>
      </c>
      <c r="E387" s="3" t="s">
        <v>3300</v>
      </c>
      <c r="F387" s="3">
        <v>133</v>
      </c>
      <c r="G387" s="4">
        <v>40513.477083333331</v>
      </c>
      <c r="H387" s="3">
        <v>3</v>
      </c>
      <c r="I387" s="5">
        <v>22</v>
      </c>
      <c r="J387" t="s">
        <v>237</v>
      </c>
      <c r="K387" t="s">
        <v>4498</v>
      </c>
      <c r="L387">
        <v>536403</v>
      </c>
      <c r="M387" s="2">
        <v>22867</v>
      </c>
      <c r="N387">
        <v>1.85</v>
      </c>
      <c r="O387" s="6">
        <v>96</v>
      </c>
      <c r="P387" s="3">
        <v>0.2</v>
      </c>
      <c r="Q387" t="s">
        <v>6</v>
      </c>
      <c r="R387" s="7">
        <f t="shared" ref="R387:R450" si="18">N387*O387</f>
        <v>177.60000000000002</v>
      </c>
      <c r="S387" s="7">
        <f t="shared" ref="S387:S450" si="19">R387*P387</f>
        <v>35.520000000000003</v>
      </c>
      <c r="T387">
        <f>Table1[[#This Row],[Total price]]-Table1[[#This Row],[Discount Amount]]</f>
        <v>142.08000000000001</v>
      </c>
      <c r="U387">
        <f t="shared" ref="U387:U450" si="20">T387*O387</f>
        <v>13639.68</v>
      </c>
    </row>
    <row r="388" spans="1:21">
      <c r="A388">
        <v>387</v>
      </c>
      <c r="B388" s="3" t="s">
        <v>2465</v>
      </c>
      <c r="C388" s="3" t="s">
        <v>2464</v>
      </c>
      <c r="D388" s="3" t="s">
        <v>2866</v>
      </c>
      <c r="E388" s="3" t="s">
        <v>3301</v>
      </c>
      <c r="F388" s="3">
        <v>134</v>
      </c>
      <c r="G388" s="4">
        <v>40513.477083333331</v>
      </c>
      <c r="H388" s="3">
        <v>3</v>
      </c>
      <c r="I388" s="5">
        <v>19</v>
      </c>
      <c r="J388" t="s">
        <v>597</v>
      </c>
      <c r="K388" t="s">
        <v>4498</v>
      </c>
      <c r="L388">
        <v>536403</v>
      </c>
      <c r="M388" s="2" t="s">
        <v>596</v>
      </c>
      <c r="N388">
        <v>15</v>
      </c>
      <c r="O388" s="6">
        <v>100</v>
      </c>
      <c r="P388" s="3">
        <v>0.1</v>
      </c>
      <c r="Q388" t="s">
        <v>6</v>
      </c>
      <c r="R388" s="7">
        <f t="shared" si="18"/>
        <v>1500</v>
      </c>
      <c r="S388" s="7">
        <f t="shared" si="19"/>
        <v>150</v>
      </c>
      <c r="T388">
        <f>Table1[[#This Row],[Total price]]-Table1[[#This Row],[Discount Amount]]</f>
        <v>1350</v>
      </c>
      <c r="U388">
        <f t="shared" si="20"/>
        <v>135000</v>
      </c>
    </row>
    <row r="389" spans="1:21">
      <c r="A389">
        <v>388</v>
      </c>
      <c r="B389" s="3" t="s">
        <v>2463</v>
      </c>
      <c r="C389" s="3" t="s">
        <v>1250</v>
      </c>
      <c r="D389" s="3" t="s">
        <v>2866</v>
      </c>
      <c r="E389" s="3" t="s">
        <v>3302</v>
      </c>
      <c r="F389" s="3">
        <v>134</v>
      </c>
      <c r="G389" s="4">
        <v>40513.478472222225</v>
      </c>
      <c r="H389" s="3">
        <v>4</v>
      </c>
      <c r="I389" s="5">
        <v>2</v>
      </c>
      <c r="J389" t="s">
        <v>349</v>
      </c>
      <c r="K389" t="s">
        <v>4497</v>
      </c>
      <c r="L389">
        <v>536404</v>
      </c>
      <c r="M389" s="2">
        <v>22297</v>
      </c>
      <c r="N389">
        <v>1.25</v>
      </c>
      <c r="O389" s="6">
        <v>24</v>
      </c>
      <c r="P389" s="3">
        <v>7.0000000000000007E-2</v>
      </c>
      <c r="Q389" t="s">
        <v>3</v>
      </c>
      <c r="R389" s="7">
        <f t="shared" si="18"/>
        <v>30</v>
      </c>
      <c r="S389" s="7">
        <f t="shared" si="19"/>
        <v>2.1</v>
      </c>
      <c r="T389">
        <f>Table1[[#This Row],[Total price]]-Table1[[#This Row],[Discount Amount]]</f>
        <v>27.9</v>
      </c>
      <c r="U389">
        <f t="shared" si="20"/>
        <v>669.59999999999991</v>
      </c>
    </row>
    <row r="390" spans="1:21">
      <c r="A390">
        <v>389</v>
      </c>
      <c r="B390" s="3" t="s">
        <v>2462</v>
      </c>
      <c r="C390" s="3" t="s">
        <v>2461</v>
      </c>
      <c r="D390" s="3" t="s">
        <v>2866</v>
      </c>
      <c r="E390" s="3" t="s">
        <v>3303</v>
      </c>
      <c r="F390" s="3">
        <v>134</v>
      </c>
      <c r="G390" s="4">
        <v>40513.478472222225</v>
      </c>
      <c r="H390" s="3">
        <v>4</v>
      </c>
      <c r="I390" s="5">
        <v>18</v>
      </c>
      <c r="J390" t="s">
        <v>97</v>
      </c>
      <c r="K390" t="s">
        <v>4497</v>
      </c>
      <c r="L390">
        <v>536404</v>
      </c>
      <c r="M390" s="2">
        <v>22771</v>
      </c>
      <c r="N390">
        <v>1.25</v>
      </c>
      <c r="O390" s="6">
        <v>12</v>
      </c>
      <c r="P390" s="3">
        <v>7.0000000000000007E-2</v>
      </c>
      <c r="Q390" t="s">
        <v>3</v>
      </c>
      <c r="R390" s="7">
        <f t="shared" si="18"/>
        <v>15</v>
      </c>
      <c r="S390" s="7">
        <f t="shared" si="19"/>
        <v>1.05</v>
      </c>
      <c r="T390">
        <f>Table1[[#This Row],[Total price]]-Table1[[#This Row],[Discount Amount]]</f>
        <v>13.95</v>
      </c>
      <c r="U390">
        <f t="shared" si="20"/>
        <v>167.39999999999998</v>
      </c>
    </row>
    <row r="391" spans="1:21">
      <c r="A391">
        <v>390</v>
      </c>
      <c r="B391" s="3" t="s">
        <v>925</v>
      </c>
      <c r="C391" s="3" t="s">
        <v>1656</v>
      </c>
      <c r="D391" s="3" t="s">
        <v>2866</v>
      </c>
      <c r="E391" s="3" t="s">
        <v>3304</v>
      </c>
      <c r="F391" s="3">
        <v>135</v>
      </c>
      <c r="G391" s="4">
        <v>40513.478472222225</v>
      </c>
      <c r="H391" s="3">
        <v>4</v>
      </c>
      <c r="I391" s="5">
        <v>5</v>
      </c>
      <c r="J391" t="s">
        <v>100</v>
      </c>
      <c r="K391" t="s">
        <v>4497</v>
      </c>
      <c r="L391">
        <v>536404</v>
      </c>
      <c r="M391" s="2">
        <v>22772</v>
      </c>
      <c r="N391">
        <v>1.25</v>
      </c>
      <c r="O391" s="6">
        <v>12</v>
      </c>
      <c r="P391" s="3">
        <v>0.05</v>
      </c>
      <c r="Q391" t="s">
        <v>3</v>
      </c>
      <c r="R391" s="7">
        <f t="shared" si="18"/>
        <v>15</v>
      </c>
      <c r="S391" s="7">
        <f t="shared" si="19"/>
        <v>0.75</v>
      </c>
      <c r="T391">
        <f>Table1[[#This Row],[Total price]]-Table1[[#This Row],[Discount Amount]]</f>
        <v>14.25</v>
      </c>
      <c r="U391">
        <f t="shared" si="20"/>
        <v>171</v>
      </c>
    </row>
    <row r="392" spans="1:21">
      <c r="A392">
        <v>391</v>
      </c>
      <c r="B392" s="3" t="s">
        <v>2460</v>
      </c>
      <c r="C392" s="3" t="s">
        <v>2459</v>
      </c>
      <c r="D392" s="3" t="s">
        <v>2866</v>
      </c>
      <c r="E392" s="3" t="s">
        <v>3305</v>
      </c>
      <c r="F392" s="3">
        <v>135</v>
      </c>
      <c r="G392" s="4">
        <v>40513.478472222225</v>
      </c>
      <c r="H392" s="3">
        <v>3</v>
      </c>
      <c r="I392" s="5">
        <v>18</v>
      </c>
      <c r="J392" t="s">
        <v>101</v>
      </c>
      <c r="K392" t="s">
        <v>4497</v>
      </c>
      <c r="L392">
        <v>536404</v>
      </c>
      <c r="M392" s="2">
        <v>22773</v>
      </c>
      <c r="N392">
        <v>1.25</v>
      </c>
      <c r="O392" s="6">
        <v>12</v>
      </c>
      <c r="P392" s="3">
        <v>0.05</v>
      </c>
      <c r="Q392" t="s">
        <v>3</v>
      </c>
      <c r="R392" s="7">
        <f t="shared" si="18"/>
        <v>15</v>
      </c>
      <c r="S392" s="7">
        <f t="shared" si="19"/>
        <v>0.75</v>
      </c>
      <c r="T392">
        <f>Table1[[#This Row],[Total price]]-Table1[[#This Row],[Discount Amount]]</f>
        <v>14.25</v>
      </c>
      <c r="U392">
        <f t="shared" si="20"/>
        <v>171</v>
      </c>
    </row>
    <row r="393" spans="1:21">
      <c r="A393">
        <v>392</v>
      </c>
      <c r="B393" s="3" t="s">
        <v>2226</v>
      </c>
      <c r="C393" s="3" t="s">
        <v>963</v>
      </c>
      <c r="D393" s="3" t="s">
        <v>2866</v>
      </c>
      <c r="E393" s="3" t="s">
        <v>3306</v>
      </c>
      <c r="F393" s="3">
        <v>135</v>
      </c>
      <c r="G393" s="4">
        <v>40513.478472222225</v>
      </c>
      <c r="H393" s="3">
        <v>4</v>
      </c>
      <c r="I393" s="5">
        <v>25</v>
      </c>
      <c r="J393" t="s">
        <v>98</v>
      </c>
      <c r="K393" t="s">
        <v>4497</v>
      </c>
      <c r="L393">
        <v>536404</v>
      </c>
      <c r="M393" s="2">
        <v>22805</v>
      </c>
      <c r="N393">
        <v>1.25</v>
      </c>
      <c r="O393" s="6">
        <v>12</v>
      </c>
      <c r="P393" s="3">
        <v>0.2</v>
      </c>
      <c r="Q393" t="s">
        <v>3</v>
      </c>
      <c r="R393" s="7">
        <f t="shared" si="18"/>
        <v>15</v>
      </c>
      <c r="S393" s="7">
        <f t="shared" si="19"/>
        <v>3</v>
      </c>
      <c r="T393">
        <f>Table1[[#This Row],[Total price]]-Table1[[#This Row],[Discount Amount]]</f>
        <v>12</v>
      </c>
      <c r="U393">
        <f t="shared" si="20"/>
        <v>144</v>
      </c>
    </row>
    <row r="394" spans="1:21">
      <c r="A394">
        <v>393</v>
      </c>
      <c r="B394" s="3" t="s">
        <v>2458</v>
      </c>
      <c r="C394" s="3" t="s">
        <v>2457</v>
      </c>
      <c r="D394" s="3" t="s">
        <v>2866</v>
      </c>
      <c r="E394" s="3" t="s">
        <v>3307</v>
      </c>
      <c r="F394" s="3">
        <v>135</v>
      </c>
      <c r="G394" s="4">
        <v>40513.478472222225</v>
      </c>
      <c r="H394" s="3">
        <v>4</v>
      </c>
      <c r="I394" s="5">
        <v>2</v>
      </c>
      <c r="J394" t="s">
        <v>498</v>
      </c>
      <c r="K394" t="s">
        <v>4497</v>
      </c>
      <c r="L394">
        <v>536404</v>
      </c>
      <c r="M394" s="2">
        <v>22469</v>
      </c>
      <c r="N394">
        <v>1.65</v>
      </c>
      <c r="O394" s="6">
        <v>12</v>
      </c>
      <c r="P394" s="3">
        <v>0.05</v>
      </c>
      <c r="Q394" t="s">
        <v>3</v>
      </c>
      <c r="R394" s="7">
        <f t="shared" si="18"/>
        <v>19.799999999999997</v>
      </c>
      <c r="S394" s="7">
        <f t="shared" si="19"/>
        <v>0.98999999999999988</v>
      </c>
      <c r="T394">
        <f>Table1[[#This Row],[Total price]]-Table1[[#This Row],[Discount Amount]]</f>
        <v>18.809999999999999</v>
      </c>
      <c r="U394">
        <f t="shared" si="20"/>
        <v>225.71999999999997</v>
      </c>
    </row>
    <row r="395" spans="1:21">
      <c r="A395">
        <v>394</v>
      </c>
      <c r="B395" s="3" t="s">
        <v>2456</v>
      </c>
      <c r="C395" s="3" t="s">
        <v>1296</v>
      </c>
      <c r="D395" s="3" t="s">
        <v>2866</v>
      </c>
      <c r="E395" s="3" t="s">
        <v>3308</v>
      </c>
      <c r="F395" s="3">
        <v>136</v>
      </c>
      <c r="G395" s="4">
        <v>40513.478472222225</v>
      </c>
      <c r="H395" s="3">
        <v>4</v>
      </c>
      <c r="I395" s="5">
        <v>7</v>
      </c>
      <c r="J395" t="s">
        <v>75</v>
      </c>
      <c r="K395" t="s">
        <v>4497</v>
      </c>
      <c r="L395">
        <v>536404</v>
      </c>
      <c r="M395" s="2">
        <v>22197</v>
      </c>
      <c r="N395">
        <v>0.85</v>
      </c>
      <c r="O395" s="6">
        <v>36</v>
      </c>
      <c r="P395" s="3">
        <v>0.2</v>
      </c>
      <c r="Q395" t="s">
        <v>3</v>
      </c>
      <c r="R395" s="7">
        <f t="shared" si="18"/>
        <v>30.599999999999998</v>
      </c>
      <c r="S395" s="7">
        <f t="shared" si="19"/>
        <v>6.12</v>
      </c>
      <c r="T395">
        <f>Table1[[#This Row],[Total price]]-Table1[[#This Row],[Discount Amount]]</f>
        <v>24.479999999999997</v>
      </c>
      <c r="U395">
        <f t="shared" si="20"/>
        <v>881.27999999999986</v>
      </c>
    </row>
    <row r="396" spans="1:21">
      <c r="A396">
        <v>395</v>
      </c>
      <c r="B396" s="3" t="s">
        <v>2455</v>
      </c>
      <c r="C396" s="3" t="s">
        <v>2454</v>
      </c>
      <c r="D396" s="3" t="s">
        <v>2866</v>
      </c>
      <c r="E396" s="3" t="s">
        <v>3309</v>
      </c>
      <c r="F396" s="3">
        <v>136</v>
      </c>
      <c r="G396" s="4">
        <v>40513.478472222225</v>
      </c>
      <c r="H396" s="3">
        <v>4</v>
      </c>
      <c r="I396" s="5">
        <v>3</v>
      </c>
      <c r="J396" t="s">
        <v>756</v>
      </c>
      <c r="K396" t="s">
        <v>4497</v>
      </c>
      <c r="L396">
        <v>536404</v>
      </c>
      <c r="M396" s="2">
        <v>21125</v>
      </c>
      <c r="N396">
        <v>1.25</v>
      </c>
      <c r="O396" s="6">
        <v>12</v>
      </c>
      <c r="P396" s="3">
        <v>0.05</v>
      </c>
      <c r="Q396" t="s">
        <v>3</v>
      </c>
      <c r="R396" s="7">
        <f t="shared" si="18"/>
        <v>15</v>
      </c>
      <c r="S396" s="7">
        <f t="shared" si="19"/>
        <v>0.75</v>
      </c>
      <c r="T396">
        <f>Table1[[#This Row],[Total price]]-Table1[[#This Row],[Discount Amount]]</f>
        <v>14.25</v>
      </c>
      <c r="U396">
        <f t="shared" si="20"/>
        <v>171</v>
      </c>
    </row>
    <row r="397" spans="1:21">
      <c r="A397">
        <v>396</v>
      </c>
      <c r="B397" s="3" t="s">
        <v>2453</v>
      </c>
      <c r="C397" s="3" t="s">
        <v>2452</v>
      </c>
      <c r="D397" s="3" t="s">
        <v>2866</v>
      </c>
      <c r="E397" s="3" t="s">
        <v>3310</v>
      </c>
      <c r="F397" s="3">
        <v>137</v>
      </c>
      <c r="G397" s="4">
        <v>40513.478472222225</v>
      </c>
      <c r="H397" s="3">
        <v>4</v>
      </c>
      <c r="I397" s="5">
        <v>23</v>
      </c>
      <c r="J397" t="s">
        <v>811</v>
      </c>
      <c r="K397" t="s">
        <v>4497</v>
      </c>
      <c r="L397">
        <v>536404</v>
      </c>
      <c r="M397" s="2">
        <v>21126</v>
      </c>
      <c r="N397">
        <v>1.25</v>
      </c>
      <c r="O397" s="6">
        <v>12</v>
      </c>
      <c r="P397" s="3">
        <v>7.0000000000000007E-2</v>
      </c>
      <c r="Q397" t="s">
        <v>3</v>
      </c>
      <c r="R397" s="7">
        <f t="shared" si="18"/>
        <v>15</v>
      </c>
      <c r="S397" s="7">
        <f t="shared" si="19"/>
        <v>1.05</v>
      </c>
      <c r="T397">
        <f>Table1[[#This Row],[Total price]]-Table1[[#This Row],[Discount Amount]]</f>
        <v>13.95</v>
      </c>
      <c r="U397">
        <f t="shared" si="20"/>
        <v>167.39999999999998</v>
      </c>
    </row>
    <row r="398" spans="1:21">
      <c r="A398">
        <v>397</v>
      </c>
      <c r="B398" s="3" t="s">
        <v>2451</v>
      </c>
      <c r="C398" s="3" t="s">
        <v>1721</v>
      </c>
      <c r="D398" s="3" t="s">
        <v>2866</v>
      </c>
      <c r="E398" s="3" t="s">
        <v>3311</v>
      </c>
      <c r="F398" s="3">
        <v>137</v>
      </c>
      <c r="G398" s="4">
        <v>40513.478472222225</v>
      </c>
      <c r="H398" s="3">
        <v>4</v>
      </c>
      <c r="I398" s="5">
        <v>22</v>
      </c>
      <c r="J398" t="s">
        <v>454</v>
      </c>
      <c r="K398" t="s">
        <v>4497</v>
      </c>
      <c r="L398">
        <v>536404</v>
      </c>
      <c r="M398" s="2" t="s">
        <v>453</v>
      </c>
      <c r="N398">
        <v>1.25</v>
      </c>
      <c r="O398" s="6">
        <v>12</v>
      </c>
      <c r="P398" s="3">
        <v>0.1</v>
      </c>
      <c r="Q398" t="s">
        <v>3</v>
      </c>
      <c r="R398" s="7">
        <f t="shared" si="18"/>
        <v>15</v>
      </c>
      <c r="S398" s="7">
        <f t="shared" si="19"/>
        <v>1.5</v>
      </c>
      <c r="T398">
        <f>Table1[[#This Row],[Total price]]-Table1[[#This Row],[Discount Amount]]</f>
        <v>13.5</v>
      </c>
      <c r="U398">
        <f t="shared" si="20"/>
        <v>162</v>
      </c>
    </row>
    <row r="399" spans="1:21">
      <c r="A399">
        <v>398</v>
      </c>
      <c r="B399" s="3" t="s">
        <v>2450</v>
      </c>
      <c r="C399" s="3" t="s">
        <v>2449</v>
      </c>
      <c r="D399" s="3" t="s">
        <v>2866</v>
      </c>
      <c r="E399" s="3" t="s">
        <v>3312</v>
      </c>
      <c r="F399" s="3">
        <v>138</v>
      </c>
      <c r="G399" s="4">
        <v>40513.478472222225</v>
      </c>
      <c r="H399" s="3">
        <v>4</v>
      </c>
      <c r="I399" s="5">
        <v>16</v>
      </c>
      <c r="J399" t="s">
        <v>672</v>
      </c>
      <c r="K399" t="s">
        <v>4497</v>
      </c>
      <c r="L399">
        <v>536404</v>
      </c>
      <c r="M399" s="2" t="s">
        <v>671</v>
      </c>
      <c r="N399">
        <v>1.25</v>
      </c>
      <c r="O399" s="6">
        <v>12</v>
      </c>
      <c r="P399" s="3">
        <v>0.1</v>
      </c>
      <c r="Q399" t="s">
        <v>3</v>
      </c>
      <c r="R399" s="7">
        <f t="shared" si="18"/>
        <v>15</v>
      </c>
      <c r="S399" s="7">
        <f t="shared" si="19"/>
        <v>1.5</v>
      </c>
      <c r="T399">
        <f>Table1[[#This Row],[Total price]]-Table1[[#This Row],[Discount Amount]]</f>
        <v>13.5</v>
      </c>
      <c r="U399">
        <f t="shared" si="20"/>
        <v>162</v>
      </c>
    </row>
    <row r="400" spans="1:21">
      <c r="A400">
        <v>399</v>
      </c>
      <c r="B400" s="3" t="s">
        <v>2448</v>
      </c>
      <c r="C400" s="3" t="s">
        <v>2447</v>
      </c>
      <c r="D400" s="3" t="s">
        <v>2866</v>
      </c>
      <c r="E400" s="3" t="s">
        <v>3313</v>
      </c>
      <c r="F400" s="3">
        <v>138</v>
      </c>
      <c r="G400" s="4">
        <v>40513.478472222225</v>
      </c>
      <c r="H400" s="3">
        <v>4</v>
      </c>
      <c r="I400" s="5">
        <v>6</v>
      </c>
      <c r="J400" t="s">
        <v>351</v>
      </c>
      <c r="K400" t="s">
        <v>4497</v>
      </c>
      <c r="L400">
        <v>536404</v>
      </c>
      <c r="M400" s="2" t="s">
        <v>350</v>
      </c>
      <c r="N400">
        <v>1.25</v>
      </c>
      <c r="O400" s="6">
        <v>12</v>
      </c>
      <c r="P400" s="3">
        <v>0.2</v>
      </c>
      <c r="Q400" t="s">
        <v>3</v>
      </c>
      <c r="R400" s="7">
        <f t="shared" si="18"/>
        <v>15</v>
      </c>
      <c r="S400" s="7">
        <f t="shared" si="19"/>
        <v>3</v>
      </c>
      <c r="T400">
        <f>Table1[[#This Row],[Total price]]-Table1[[#This Row],[Discount Amount]]</f>
        <v>12</v>
      </c>
      <c r="U400">
        <f t="shared" si="20"/>
        <v>144</v>
      </c>
    </row>
    <row r="401" spans="1:21">
      <c r="A401">
        <v>400</v>
      </c>
      <c r="B401" s="3" t="s">
        <v>2446</v>
      </c>
      <c r="C401" s="3" t="s">
        <v>2445</v>
      </c>
      <c r="D401" s="3" t="s">
        <v>2866</v>
      </c>
      <c r="E401" s="3" t="s">
        <v>3314</v>
      </c>
      <c r="F401" s="3">
        <v>139</v>
      </c>
      <c r="G401" s="4">
        <v>40513.478472222225</v>
      </c>
      <c r="H401" s="3">
        <v>4</v>
      </c>
      <c r="I401" s="5">
        <v>19</v>
      </c>
      <c r="J401" t="s">
        <v>456</v>
      </c>
      <c r="K401" t="s">
        <v>4497</v>
      </c>
      <c r="L401">
        <v>536404</v>
      </c>
      <c r="M401" s="2" t="s">
        <v>455</v>
      </c>
      <c r="N401">
        <v>1.25</v>
      </c>
      <c r="O401" s="6">
        <v>12</v>
      </c>
      <c r="P401" s="3">
        <v>7.0000000000000007E-2</v>
      </c>
      <c r="Q401" t="s">
        <v>3</v>
      </c>
      <c r="R401" s="7">
        <f t="shared" si="18"/>
        <v>15</v>
      </c>
      <c r="S401" s="7">
        <f t="shared" si="19"/>
        <v>1.05</v>
      </c>
      <c r="T401">
        <f>Table1[[#This Row],[Total price]]-Table1[[#This Row],[Discount Amount]]</f>
        <v>13.95</v>
      </c>
      <c r="U401">
        <f t="shared" si="20"/>
        <v>167.39999999999998</v>
      </c>
    </row>
    <row r="402" spans="1:21">
      <c r="A402">
        <v>401</v>
      </c>
      <c r="B402" s="3" t="s">
        <v>2444</v>
      </c>
      <c r="C402" s="3" t="s">
        <v>2020</v>
      </c>
      <c r="D402" s="3" t="s">
        <v>2866</v>
      </c>
      <c r="E402" s="3" t="s">
        <v>3315</v>
      </c>
      <c r="F402" s="3">
        <v>139</v>
      </c>
      <c r="G402" s="4">
        <v>40513.478472222225</v>
      </c>
      <c r="H402" s="3">
        <v>4</v>
      </c>
      <c r="I402" s="5">
        <v>3</v>
      </c>
      <c r="J402" t="s">
        <v>761</v>
      </c>
      <c r="K402" t="s">
        <v>4497</v>
      </c>
      <c r="L402">
        <v>536404</v>
      </c>
      <c r="M402" s="2">
        <v>21061</v>
      </c>
      <c r="N402">
        <v>0.85</v>
      </c>
      <c r="O402" s="6">
        <v>12</v>
      </c>
      <c r="P402" s="3">
        <v>7.0000000000000007E-2</v>
      </c>
      <c r="Q402" t="s">
        <v>3</v>
      </c>
      <c r="R402" s="7">
        <f t="shared" si="18"/>
        <v>10.199999999999999</v>
      </c>
      <c r="S402" s="7">
        <f t="shared" si="19"/>
        <v>0.71399999999999997</v>
      </c>
      <c r="T402">
        <f>Table1[[#This Row],[Total price]]-Table1[[#This Row],[Discount Amount]]</f>
        <v>9.4859999999999989</v>
      </c>
      <c r="U402">
        <f t="shared" si="20"/>
        <v>113.83199999999999</v>
      </c>
    </row>
    <row r="403" spans="1:21">
      <c r="A403">
        <v>402</v>
      </c>
      <c r="B403" s="3" t="s">
        <v>2440</v>
      </c>
      <c r="C403" s="3" t="s">
        <v>1913</v>
      </c>
      <c r="D403" s="3" t="s">
        <v>2866</v>
      </c>
      <c r="E403" s="3" t="s">
        <v>3316</v>
      </c>
      <c r="F403" s="3">
        <v>140</v>
      </c>
      <c r="G403" s="4">
        <v>40513.478472222225</v>
      </c>
      <c r="H403" s="3">
        <v>4</v>
      </c>
      <c r="I403" s="5">
        <v>15</v>
      </c>
      <c r="J403" t="s">
        <v>760</v>
      </c>
      <c r="K403" t="s">
        <v>4497</v>
      </c>
      <c r="L403">
        <v>536404</v>
      </c>
      <c r="M403" s="2">
        <v>21063</v>
      </c>
      <c r="N403">
        <v>0.85</v>
      </c>
      <c r="O403" s="6">
        <v>12</v>
      </c>
      <c r="P403" s="3">
        <v>0.2</v>
      </c>
      <c r="Q403" t="s">
        <v>3</v>
      </c>
      <c r="R403" s="7">
        <f t="shared" si="18"/>
        <v>10.199999999999999</v>
      </c>
      <c r="S403" s="7">
        <f t="shared" si="19"/>
        <v>2.04</v>
      </c>
      <c r="T403">
        <f>Table1[[#This Row],[Total price]]-Table1[[#This Row],[Discount Amount]]</f>
        <v>8.16</v>
      </c>
      <c r="U403">
        <f t="shared" si="20"/>
        <v>97.92</v>
      </c>
    </row>
    <row r="404" spans="1:21">
      <c r="A404">
        <v>403</v>
      </c>
      <c r="B404" s="3" t="s">
        <v>2443</v>
      </c>
      <c r="C404" s="3" t="s">
        <v>2056</v>
      </c>
      <c r="D404" s="3" t="s">
        <v>2866</v>
      </c>
      <c r="E404" s="3" t="s">
        <v>3317</v>
      </c>
      <c r="F404" s="3">
        <v>140</v>
      </c>
      <c r="G404" s="4">
        <v>40513.478472222225</v>
      </c>
      <c r="H404" s="3">
        <v>4</v>
      </c>
      <c r="I404" s="5">
        <v>21</v>
      </c>
      <c r="J404" t="s">
        <v>794</v>
      </c>
      <c r="K404" t="s">
        <v>4497</v>
      </c>
      <c r="L404">
        <v>536404</v>
      </c>
      <c r="M404" s="2">
        <v>21062</v>
      </c>
      <c r="N404">
        <v>0.85</v>
      </c>
      <c r="O404" s="6">
        <v>12</v>
      </c>
      <c r="P404" s="3">
        <v>0.2</v>
      </c>
      <c r="Q404" t="s">
        <v>3</v>
      </c>
      <c r="R404" s="7">
        <f t="shared" si="18"/>
        <v>10.199999999999999</v>
      </c>
      <c r="S404" s="7">
        <f t="shared" si="19"/>
        <v>2.04</v>
      </c>
      <c r="T404">
        <f>Table1[[#This Row],[Total price]]-Table1[[#This Row],[Discount Amount]]</f>
        <v>8.16</v>
      </c>
      <c r="U404">
        <f t="shared" si="20"/>
        <v>97.92</v>
      </c>
    </row>
    <row r="405" spans="1:21">
      <c r="A405">
        <v>404</v>
      </c>
      <c r="B405" s="3" t="s">
        <v>2135</v>
      </c>
      <c r="C405" s="3" t="s">
        <v>1368</v>
      </c>
      <c r="D405" s="3" t="s">
        <v>2866</v>
      </c>
      <c r="E405" s="3" t="s">
        <v>3318</v>
      </c>
      <c r="F405" s="3">
        <v>140</v>
      </c>
      <c r="G405" s="4">
        <v>40513.478472222225</v>
      </c>
      <c r="H405" s="3">
        <v>4</v>
      </c>
      <c r="I405" s="5">
        <v>12</v>
      </c>
      <c r="J405" t="s">
        <v>35</v>
      </c>
      <c r="K405" t="s">
        <v>4497</v>
      </c>
      <c r="L405">
        <v>536404</v>
      </c>
      <c r="M405" s="2">
        <v>84380</v>
      </c>
      <c r="N405">
        <v>1.25</v>
      </c>
      <c r="O405" s="6">
        <v>12</v>
      </c>
      <c r="P405" s="3">
        <v>0.2</v>
      </c>
      <c r="Q405" t="s">
        <v>3</v>
      </c>
      <c r="R405" s="7">
        <f t="shared" si="18"/>
        <v>15</v>
      </c>
      <c r="S405" s="7">
        <f t="shared" si="19"/>
        <v>3</v>
      </c>
      <c r="T405">
        <f>Table1[[#This Row],[Total price]]-Table1[[#This Row],[Discount Amount]]</f>
        <v>12</v>
      </c>
      <c r="U405">
        <f t="shared" si="20"/>
        <v>144</v>
      </c>
    </row>
    <row r="406" spans="1:21">
      <c r="A406">
        <v>405</v>
      </c>
      <c r="B406" s="3" t="s">
        <v>2442</v>
      </c>
      <c r="C406" s="3" t="s">
        <v>2441</v>
      </c>
      <c r="D406" s="3" t="s">
        <v>2866</v>
      </c>
      <c r="E406" s="3" t="s">
        <v>3319</v>
      </c>
      <c r="F406" s="3">
        <v>140</v>
      </c>
      <c r="G406" s="4">
        <v>40513.478472222225</v>
      </c>
      <c r="H406" s="3">
        <v>4</v>
      </c>
      <c r="I406" s="5">
        <v>3</v>
      </c>
      <c r="J406" t="s">
        <v>130</v>
      </c>
      <c r="K406" t="s">
        <v>4497</v>
      </c>
      <c r="L406">
        <v>536404</v>
      </c>
      <c r="M406" s="2">
        <v>84378</v>
      </c>
      <c r="N406">
        <v>1.25</v>
      </c>
      <c r="O406" s="6">
        <v>12</v>
      </c>
      <c r="P406" s="3">
        <v>0.05</v>
      </c>
      <c r="Q406" t="s">
        <v>3</v>
      </c>
      <c r="R406" s="7">
        <f t="shared" si="18"/>
        <v>15</v>
      </c>
      <c r="S406" s="7">
        <f t="shared" si="19"/>
        <v>0.75</v>
      </c>
      <c r="T406">
        <f>Table1[[#This Row],[Total price]]-Table1[[#This Row],[Discount Amount]]</f>
        <v>14.25</v>
      </c>
      <c r="U406">
        <f t="shared" si="20"/>
        <v>171</v>
      </c>
    </row>
    <row r="407" spans="1:21">
      <c r="A407">
        <v>406</v>
      </c>
      <c r="B407" s="3" t="s">
        <v>2440</v>
      </c>
      <c r="C407" s="3" t="s">
        <v>2076</v>
      </c>
      <c r="D407" s="3" t="s">
        <v>2866</v>
      </c>
      <c r="E407" s="3" t="s">
        <v>3320</v>
      </c>
      <c r="F407" s="3">
        <v>141</v>
      </c>
      <c r="G407" s="4">
        <v>40513.478472222225</v>
      </c>
      <c r="H407" s="3">
        <v>4</v>
      </c>
      <c r="I407" s="5">
        <v>18</v>
      </c>
      <c r="J407" t="s">
        <v>860</v>
      </c>
      <c r="K407" t="s">
        <v>4497</v>
      </c>
      <c r="L407">
        <v>536404</v>
      </c>
      <c r="M407" s="2">
        <v>22964</v>
      </c>
      <c r="N407">
        <v>2.1</v>
      </c>
      <c r="O407" s="6">
        <v>12</v>
      </c>
      <c r="P407" s="3">
        <v>0.2</v>
      </c>
      <c r="Q407" t="s">
        <v>3</v>
      </c>
      <c r="R407" s="7">
        <f t="shared" si="18"/>
        <v>25.200000000000003</v>
      </c>
      <c r="S407" s="7">
        <f t="shared" si="19"/>
        <v>5.0400000000000009</v>
      </c>
      <c r="T407">
        <f>Table1[[#This Row],[Total price]]-Table1[[#This Row],[Discount Amount]]</f>
        <v>20.160000000000004</v>
      </c>
      <c r="U407">
        <f t="shared" si="20"/>
        <v>241.92000000000004</v>
      </c>
    </row>
    <row r="408" spans="1:21">
      <c r="A408">
        <v>407</v>
      </c>
      <c r="B408" s="3" t="s">
        <v>2439</v>
      </c>
      <c r="C408" s="3" t="s">
        <v>1079</v>
      </c>
      <c r="D408" s="3" t="s">
        <v>2866</v>
      </c>
      <c r="E408" s="3" t="s">
        <v>3321</v>
      </c>
      <c r="F408" s="3">
        <v>142</v>
      </c>
      <c r="G408" s="4">
        <v>40513.478472222225</v>
      </c>
      <c r="H408" s="3">
        <v>3</v>
      </c>
      <c r="I408" s="5">
        <v>16</v>
      </c>
      <c r="J408" t="s">
        <v>193</v>
      </c>
      <c r="K408" t="s">
        <v>4497</v>
      </c>
      <c r="L408">
        <v>536404</v>
      </c>
      <c r="M408" s="2">
        <v>21213</v>
      </c>
      <c r="N408">
        <v>0.55000000000000004</v>
      </c>
      <c r="O408" s="6">
        <v>24</v>
      </c>
      <c r="P408" s="3">
        <v>0.1</v>
      </c>
      <c r="Q408" t="s">
        <v>3</v>
      </c>
      <c r="R408" s="7">
        <f t="shared" si="18"/>
        <v>13.200000000000001</v>
      </c>
      <c r="S408" s="7">
        <f t="shared" si="19"/>
        <v>1.3200000000000003</v>
      </c>
      <c r="T408">
        <f>Table1[[#This Row],[Total price]]-Table1[[#This Row],[Discount Amount]]</f>
        <v>11.88</v>
      </c>
      <c r="U408">
        <f t="shared" si="20"/>
        <v>285.12</v>
      </c>
    </row>
    <row r="409" spans="1:21">
      <c r="A409">
        <v>408</v>
      </c>
      <c r="B409" s="3" t="s">
        <v>2438</v>
      </c>
      <c r="C409" s="3" t="s">
        <v>1592</v>
      </c>
      <c r="D409" s="3" t="s">
        <v>2866</v>
      </c>
      <c r="E409" s="3" t="s">
        <v>3322</v>
      </c>
      <c r="F409" s="3">
        <v>142</v>
      </c>
      <c r="G409" s="4">
        <v>40513.478472222225</v>
      </c>
      <c r="H409" s="3">
        <v>4</v>
      </c>
      <c r="I409" s="5">
        <v>11</v>
      </c>
      <c r="J409" t="s">
        <v>361</v>
      </c>
      <c r="K409" t="s">
        <v>4497</v>
      </c>
      <c r="L409">
        <v>536404</v>
      </c>
      <c r="M409" s="2">
        <v>22417</v>
      </c>
      <c r="N409">
        <v>0.55000000000000004</v>
      </c>
      <c r="O409" s="6">
        <v>24</v>
      </c>
      <c r="P409" s="3">
        <v>0.1</v>
      </c>
      <c r="Q409" t="s">
        <v>3</v>
      </c>
      <c r="R409" s="7">
        <f t="shared" si="18"/>
        <v>13.200000000000001</v>
      </c>
      <c r="S409" s="7">
        <f t="shared" si="19"/>
        <v>1.3200000000000003</v>
      </c>
      <c r="T409">
        <f>Table1[[#This Row],[Total price]]-Table1[[#This Row],[Discount Amount]]</f>
        <v>11.88</v>
      </c>
      <c r="U409">
        <f t="shared" si="20"/>
        <v>285.12</v>
      </c>
    </row>
    <row r="410" spans="1:21">
      <c r="A410">
        <v>409</v>
      </c>
      <c r="B410" s="3" t="s">
        <v>2437</v>
      </c>
      <c r="C410" s="3" t="s">
        <v>2436</v>
      </c>
      <c r="D410" s="3" t="s">
        <v>2866</v>
      </c>
      <c r="E410" s="3" t="s">
        <v>3323</v>
      </c>
      <c r="F410" s="3">
        <v>142</v>
      </c>
      <c r="G410" s="4">
        <v>40513.478472222225</v>
      </c>
      <c r="H410" s="3">
        <v>4</v>
      </c>
      <c r="I410" s="5">
        <v>19</v>
      </c>
      <c r="J410" t="s">
        <v>363</v>
      </c>
      <c r="K410" t="s">
        <v>4497</v>
      </c>
      <c r="L410">
        <v>536404</v>
      </c>
      <c r="M410" s="2">
        <v>21212</v>
      </c>
      <c r="N410">
        <v>0.55000000000000004</v>
      </c>
      <c r="O410" s="6">
        <v>24</v>
      </c>
      <c r="P410" s="3">
        <v>7.0000000000000007E-2</v>
      </c>
      <c r="Q410" t="s">
        <v>3</v>
      </c>
      <c r="R410" s="7">
        <f t="shared" si="18"/>
        <v>13.200000000000001</v>
      </c>
      <c r="S410" s="7">
        <f t="shared" si="19"/>
        <v>0.92400000000000015</v>
      </c>
      <c r="T410">
        <f>Table1[[#This Row],[Total price]]-Table1[[#This Row],[Discount Amount]]</f>
        <v>12.276000000000002</v>
      </c>
      <c r="U410">
        <f t="shared" si="20"/>
        <v>294.62400000000002</v>
      </c>
    </row>
    <row r="411" spans="1:21">
      <c r="A411">
        <v>410</v>
      </c>
      <c r="B411" s="3" t="s">
        <v>2435</v>
      </c>
      <c r="C411" s="3" t="s">
        <v>1756</v>
      </c>
      <c r="D411" s="3" t="s">
        <v>2866</v>
      </c>
      <c r="E411" s="3" t="s">
        <v>3324</v>
      </c>
      <c r="F411" s="3">
        <v>143</v>
      </c>
      <c r="G411" s="4">
        <v>40513.478472222225</v>
      </c>
      <c r="H411" s="3">
        <v>4</v>
      </c>
      <c r="I411" s="5">
        <v>6</v>
      </c>
      <c r="J411" t="s">
        <v>360</v>
      </c>
      <c r="K411" t="s">
        <v>4497</v>
      </c>
      <c r="L411">
        <v>536404</v>
      </c>
      <c r="M411" s="2">
        <v>84992</v>
      </c>
      <c r="N411">
        <v>0.55000000000000004</v>
      </c>
      <c r="O411" s="6">
        <v>24</v>
      </c>
      <c r="P411" s="3">
        <v>0.2</v>
      </c>
      <c r="Q411" t="s">
        <v>3</v>
      </c>
      <c r="R411" s="7">
        <f t="shared" si="18"/>
        <v>13.200000000000001</v>
      </c>
      <c r="S411" s="7">
        <f t="shared" si="19"/>
        <v>2.6400000000000006</v>
      </c>
      <c r="T411">
        <f>Table1[[#This Row],[Total price]]-Table1[[#This Row],[Discount Amount]]</f>
        <v>10.56</v>
      </c>
      <c r="U411">
        <f t="shared" si="20"/>
        <v>253.44</v>
      </c>
    </row>
    <row r="412" spans="1:21">
      <c r="A412">
        <v>411</v>
      </c>
      <c r="B412" s="3" t="s">
        <v>1061</v>
      </c>
      <c r="C412" s="3" t="s">
        <v>2434</v>
      </c>
      <c r="D412" s="3" t="s">
        <v>3325</v>
      </c>
      <c r="E412" s="3" t="s">
        <v>3326</v>
      </c>
      <c r="F412" s="3">
        <v>144</v>
      </c>
      <c r="G412" s="4">
        <v>40513.478472222225</v>
      </c>
      <c r="H412" s="3">
        <v>4</v>
      </c>
      <c r="I412" s="5">
        <v>8</v>
      </c>
      <c r="J412" t="s">
        <v>194</v>
      </c>
      <c r="K412" t="s">
        <v>4497</v>
      </c>
      <c r="L412">
        <v>536404</v>
      </c>
      <c r="M412" s="2">
        <v>21975</v>
      </c>
      <c r="N412">
        <v>0.55000000000000004</v>
      </c>
      <c r="O412" s="6">
        <v>24</v>
      </c>
      <c r="P412" s="3">
        <v>0.05</v>
      </c>
      <c r="Q412" t="s">
        <v>3</v>
      </c>
      <c r="R412" s="7">
        <f t="shared" si="18"/>
        <v>13.200000000000001</v>
      </c>
      <c r="S412" s="7">
        <f t="shared" si="19"/>
        <v>0.66000000000000014</v>
      </c>
      <c r="T412">
        <f>Table1[[#This Row],[Total price]]-Table1[[#This Row],[Discount Amount]]</f>
        <v>12.540000000000001</v>
      </c>
      <c r="U412">
        <f t="shared" si="20"/>
        <v>300.96000000000004</v>
      </c>
    </row>
    <row r="413" spans="1:21">
      <c r="A413">
        <v>412</v>
      </c>
      <c r="B413" s="3" t="s">
        <v>2433</v>
      </c>
      <c r="C413" s="3" t="s">
        <v>1455</v>
      </c>
      <c r="D413" s="3" t="s">
        <v>2866</v>
      </c>
      <c r="E413" s="3" t="s">
        <v>3327</v>
      </c>
      <c r="F413" s="3">
        <v>145</v>
      </c>
      <c r="G413" s="4">
        <v>40513.478472222225</v>
      </c>
      <c r="H413" s="3">
        <v>4</v>
      </c>
      <c r="I413" s="5">
        <v>11</v>
      </c>
      <c r="J413" t="s">
        <v>238</v>
      </c>
      <c r="K413" t="s">
        <v>4497</v>
      </c>
      <c r="L413">
        <v>536404</v>
      </c>
      <c r="M413" s="2">
        <v>22383</v>
      </c>
      <c r="N413">
        <v>1.65</v>
      </c>
      <c r="O413" s="6">
        <v>10</v>
      </c>
      <c r="P413" s="3">
        <v>0.2</v>
      </c>
      <c r="Q413" t="s">
        <v>3</v>
      </c>
      <c r="R413" s="7">
        <f t="shared" si="18"/>
        <v>16.5</v>
      </c>
      <c r="S413" s="7">
        <f t="shared" si="19"/>
        <v>3.3000000000000003</v>
      </c>
      <c r="T413">
        <f>Table1[[#This Row],[Total price]]-Table1[[#This Row],[Discount Amount]]</f>
        <v>13.2</v>
      </c>
      <c r="U413">
        <f t="shared" si="20"/>
        <v>132</v>
      </c>
    </row>
    <row r="414" spans="1:21">
      <c r="A414">
        <v>413</v>
      </c>
      <c r="B414" s="3" t="s">
        <v>2432</v>
      </c>
      <c r="C414" s="3" t="s">
        <v>1167</v>
      </c>
      <c r="D414" s="3" t="s">
        <v>2866</v>
      </c>
      <c r="E414" s="3" t="s">
        <v>3328</v>
      </c>
      <c r="F414" s="3">
        <v>145</v>
      </c>
      <c r="G414" s="4">
        <v>40513.478472222225</v>
      </c>
      <c r="H414" s="3">
        <v>4</v>
      </c>
      <c r="I414" s="5">
        <v>9</v>
      </c>
      <c r="J414" t="s">
        <v>387</v>
      </c>
      <c r="K414" t="s">
        <v>4497</v>
      </c>
      <c r="L414">
        <v>536404</v>
      </c>
      <c r="M414" s="2">
        <v>20728</v>
      </c>
      <c r="N414">
        <v>1.65</v>
      </c>
      <c r="O414" s="6">
        <v>10</v>
      </c>
      <c r="P414" s="3">
        <v>0.1</v>
      </c>
      <c r="Q414" t="s">
        <v>3</v>
      </c>
      <c r="R414" s="7">
        <f t="shared" si="18"/>
        <v>16.5</v>
      </c>
      <c r="S414" s="7">
        <f t="shared" si="19"/>
        <v>1.6500000000000001</v>
      </c>
      <c r="T414">
        <f>Table1[[#This Row],[Total price]]-Table1[[#This Row],[Discount Amount]]</f>
        <v>14.85</v>
      </c>
      <c r="U414">
        <f t="shared" si="20"/>
        <v>148.5</v>
      </c>
    </row>
    <row r="415" spans="1:21">
      <c r="A415">
        <v>414</v>
      </c>
      <c r="B415" s="3" t="s">
        <v>2016</v>
      </c>
      <c r="C415" s="3" t="s">
        <v>2431</v>
      </c>
      <c r="D415" s="3" t="s">
        <v>2866</v>
      </c>
      <c r="E415" s="3" t="s">
        <v>3329</v>
      </c>
      <c r="F415" s="3">
        <v>146</v>
      </c>
      <c r="G415" s="4">
        <v>40513.478472222225</v>
      </c>
      <c r="H415" s="3">
        <v>4</v>
      </c>
      <c r="I415" s="5">
        <v>3</v>
      </c>
      <c r="J415" t="s">
        <v>392</v>
      </c>
      <c r="K415" t="s">
        <v>4497</v>
      </c>
      <c r="L415">
        <v>536404</v>
      </c>
      <c r="M415" s="2">
        <v>20727</v>
      </c>
      <c r="N415">
        <v>1.65</v>
      </c>
      <c r="O415" s="6">
        <v>10</v>
      </c>
      <c r="P415" s="3">
        <v>0.2</v>
      </c>
      <c r="Q415" t="s">
        <v>3</v>
      </c>
      <c r="R415" s="7">
        <f t="shared" si="18"/>
        <v>16.5</v>
      </c>
      <c r="S415" s="7">
        <f t="shared" si="19"/>
        <v>3.3000000000000003</v>
      </c>
      <c r="T415">
        <f>Table1[[#This Row],[Total price]]-Table1[[#This Row],[Discount Amount]]</f>
        <v>13.2</v>
      </c>
      <c r="U415">
        <f t="shared" si="20"/>
        <v>132</v>
      </c>
    </row>
    <row r="416" spans="1:21">
      <c r="A416">
        <v>415</v>
      </c>
      <c r="B416" s="3" t="s">
        <v>2430</v>
      </c>
      <c r="C416" s="3" t="s">
        <v>2429</v>
      </c>
      <c r="D416" s="3" t="s">
        <v>2866</v>
      </c>
      <c r="E416" s="3" t="s">
        <v>3330</v>
      </c>
      <c r="F416" s="3">
        <v>146</v>
      </c>
      <c r="G416" s="4">
        <v>40513.478472222225</v>
      </c>
      <c r="H416" s="3">
        <v>4</v>
      </c>
      <c r="I416" s="5">
        <v>12</v>
      </c>
      <c r="J416" t="s">
        <v>243</v>
      </c>
      <c r="K416" t="s">
        <v>4497</v>
      </c>
      <c r="L416">
        <v>536404</v>
      </c>
      <c r="M416" s="2">
        <v>22296</v>
      </c>
      <c r="N416">
        <v>1.65</v>
      </c>
      <c r="O416" s="6">
        <v>24</v>
      </c>
      <c r="P416" s="3">
        <v>0.1</v>
      </c>
      <c r="Q416" t="s">
        <v>3</v>
      </c>
      <c r="R416" s="7">
        <f t="shared" si="18"/>
        <v>39.599999999999994</v>
      </c>
      <c r="S416" s="7">
        <f t="shared" si="19"/>
        <v>3.9599999999999995</v>
      </c>
      <c r="T416">
        <f>Table1[[#This Row],[Total price]]-Table1[[#This Row],[Discount Amount]]</f>
        <v>35.639999999999993</v>
      </c>
      <c r="U416">
        <f t="shared" si="20"/>
        <v>855.3599999999999</v>
      </c>
    </row>
    <row r="417" spans="1:21">
      <c r="A417">
        <v>416</v>
      </c>
      <c r="B417" s="3" t="s">
        <v>1281</v>
      </c>
      <c r="C417" s="3" t="s">
        <v>2428</v>
      </c>
      <c r="D417" s="3" t="s">
        <v>3331</v>
      </c>
      <c r="E417" s="3" t="s">
        <v>3332</v>
      </c>
      <c r="F417" s="3">
        <v>146</v>
      </c>
      <c r="G417" s="4">
        <v>40513.480555555558</v>
      </c>
      <c r="H417" s="3">
        <v>4</v>
      </c>
      <c r="I417" s="5">
        <v>20</v>
      </c>
      <c r="J417" t="s">
        <v>177</v>
      </c>
      <c r="K417" t="s">
        <v>4497</v>
      </c>
      <c r="L417">
        <v>536405</v>
      </c>
      <c r="M417" s="2">
        <v>20914</v>
      </c>
      <c r="N417">
        <v>2.5499999999999998</v>
      </c>
      <c r="O417" s="6">
        <v>128</v>
      </c>
      <c r="P417" s="3">
        <v>0.1</v>
      </c>
      <c r="Q417" t="s">
        <v>3</v>
      </c>
      <c r="R417" s="7">
        <f t="shared" si="18"/>
        <v>326.39999999999998</v>
      </c>
      <c r="S417" s="7">
        <f t="shared" si="19"/>
        <v>32.64</v>
      </c>
      <c r="T417">
        <f>Table1[[#This Row],[Total price]]-Table1[[#This Row],[Discount Amount]]</f>
        <v>293.76</v>
      </c>
      <c r="U417">
        <f t="shared" si="20"/>
        <v>37601.279999999999</v>
      </c>
    </row>
    <row r="418" spans="1:21">
      <c r="A418">
        <v>417</v>
      </c>
      <c r="B418" s="3" t="s">
        <v>2427</v>
      </c>
      <c r="C418" s="3" t="s">
        <v>2426</v>
      </c>
      <c r="D418" s="3" t="s">
        <v>2866</v>
      </c>
      <c r="E418" s="3" t="s">
        <v>3333</v>
      </c>
      <c r="F418" s="3">
        <v>146</v>
      </c>
      <c r="G418" s="4">
        <v>40513.481249999997</v>
      </c>
      <c r="H418" s="3">
        <v>4</v>
      </c>
      <c r="I418" s="5">
        <v>6</v>
      </c>
      <c r="J418" t="s">
        <v>24</v>
      </c>
      <c r="K418" t="s">
        <v>4497</v>
      </c>
      <c r="L418">
        <v>536406</v>
      </c>
      <c r="M418" s="2" t="s">
        <v>23</v>
      </c>
      <c r="N418">
        <v>2.5499999999999998</v>
      </c>
      <c r="O418" s="6">
        <v>8</v>
      </c>
      <c r="P418" s="3">
        <v>0.05</v>
      </c>
      <c r="Q418" t="s">
        <v>3</v>
      </c>
      <c r="R418" s="7">
        <f t="shared" si="18"/>
        <v>20.399999999999999</v>
      </c>
      <c r="S418" s="7">
        <f t="shared" si="19"/>
        <v>1.02</v>
      </c>
      <c r="T418">
        <f>Table1[[#This Row],[Total price]]-Table1[[#This Row],[Discount Amount]]</f>
        <v>19.38</v>
      </c>
      <c r="U418">
        <f t="shared" si="20"/>
        <v>155.04</v>
      </c>
    </row>
    <row r="419" spans="1:21">
      <c r="A419">
        <v>418</v>
      </c>
      <c r="B419" s="3" t="s">
        <v>2425</v>
      </c>
      <c r="C419" s="3" t="s">
        <v>1083</v>
      </c>
      <c r="D419" s="3" t="s">
        <v>3334</v>
      </c>
      <c r="E419" s="3" t="s">
        <v>3335</v>
      </c>
      <c r="F419" s="3">
        <v>146</v>
      </c>
      <c r="G419" s="4">
        <v>40513.481249999997</v>
      </c>
      <c r="H419" s="3">
        <v>4</v>
      </c>
      <c r="I419" s="5">
        <v>2</v>
      </c>
      <c r="J419" t="s">
        <v>231</v>
      </c>
      <c r="K419" t="s">
        <v>4497</v>
      </c>
      <c r="L419">
        <v>536406</v>
      </c>
      <c r="M419" s="2">
        <v>71053</v>
      </c>
      <c r="N419">
        <v>3.39</v>
      </c>
      <c r="O419" s="6">
        <v>8</v>
      </c>
      <c r="P419" s="3">
        <v>7.0000000000000007E-2</v>
      </c>
      <c r="Q419" t="s">
        <v>3</v>
      </c>
      <c r="R419" s="7">
        <f t="shared" si="18"/>
        <v>27.12</v>
      </c>
      <c r="S419" s="7">
        <f t="shared" si="19"/>
        <v>1.8984000000000003</v>
      </c>
      <c r="T419">
        <f>Table1[[#This Row],[Total price]]-Table1[[#This Row],[Discount Amount]]</f>
        <v>25.221600000000002</v>
      </c>
      <c r="U419">
        <f t="shared" si="20"/>
        <v>201.77280000000002</v>
      </c>
    </row>
    <row r="420" spans="1:21">
      <c r="A420">
        <v>419</v>
      </c>
      <c r="B420" s="3" t="s">
        <v>2424</v>
      </c>
      <c r="C420" s="3" t="s">
        <v>1231</v>
      </c>
      <c r="D420" s="3" t="s">
        <v>2866</v>
      </c>
      <c r="E420" s="3" t="s">
        <v>3336</v>
      </c>
      <c r="F420" s="3">
        <v>147</v>
      </c>
      <c r="G420" s="4">
        <v>40513.481249999997</v>
      </c>
      <c r="H420" s="3">
        <v>4</v>
      </c>
      <c r="I420" s="5">
        <v>26</v>
      </c>
      <c r="J420" t="s">
        <v>133</v>
      </c>
      <c r="K420" t="s">
        <v>4497</v>
      </c>
      <c r="L420">
        <v>536406</v>
      </c>
      <c r="M420" s="2" t="s">
        <v>132</v>
      </c>
      <c r="N420">
        <v>2.75</v>
      </c>
      <c r="O420" s="6">
        <v>8</v>
      </c>
      <c r="P420" s="3">
        <v>0.2</v>
      </c>
      <c r="Q420" t="s">
        <v>3</v>
      </c>
      <c r="R420" s="7">
        <f t="shared" si="18"/>
        <v>22</v>
      </c>
      <c r="S420" s="7">
        <f t="shared" si="19"/>
        <v>4.4000000000000004</v>
      </c>
      <c r="T420">
        <f>Table1[[#This Row],[Total price]]-Table1[[#This Row],[Discount Amount]]</f>
        <v>17.600000000000001</v>
      </c>
      <c r="U420">
        <f t="shared" si="20"/>
        <v>140.80000000000001</v>
      </c>
    </row>
    <row r="421" spans="1:21">
      <c r="A421">
        <v>420</v>
      </c>
      <c r="B421" s="3" t="s">
        <v>2423</v>
      </c>
      <c r="C421" s="3" t="s">
        <v>1040</v>
      </c>
      <c r="D421" s="3" t="s">
        <v>2866</v>
      </c>
      <c r="E421" s="3" t="s">
        <v>3337</v>
      </c>
      <c r="F421" s="3">
        <v>148</v>
      </c>
      <c r="G421" s="4">
        <v>40513.481249999997</v>
      </c>
      <c r="H421" s="3">
        <v>4</v>
      </c>
      <c r="I421" s="5">
        <v>14</v>
      </c>
      <c r="J421" t="s">
        <v>217</v>
      </c>
      <c r="K421" t="s">
        <v>4497</v>
      </c>
      <c r="L421">
        <v>536406</v>
      </c>
      <c r="M421" s="2">
        <v>20679</v>
      </c>
      <c r="N421">
        <v>4.95</v>
      </c>
      <c r="O421" s="6">
        <v>6</v>
      </c>
      <c r="P421" s="3">
        <v>0.05</v>
      </c>
      <c r="Q421" t="s">
        <v>3</v>
      </c>
      <c r="R421" s="7">
        <f t="shared" si="18"/>
        <v>29.700000000000003</v>
      </c>
      <c r="S421" s="7">
        <f t="shared" si="19"/>
        <v>1.4850000000000003</v>
      </c>
      <c r="T421">
        <f>Table1[[#This Row],[Total price]]-Table1[[#This Row],[Discount Amount]]</f>
        <v>28.215000000000003</v>
      </c>
      <c r="U421">
        <f t="shared" si="20"/>
        <v>169.29000000000002</v>
      </c>
    </row>
    <row r="422" spans="1:21">
      <c r="A422">
        <v>421</v>
      </c>
      <c r="B422" s="3" t="s">
        <v>2422</v>
      </c>
      <c r="C422" s="3" t="s">
        <v>1264</v>
      </c>
      <c r="D422" s="3" t="s">
        <v>2866</v>
      </c>
      <c r="E422" s="3" t="s">
        <v>3338</v>
      </c>
      <c r="F422" s="3">
        <v>149</v>
      </c>
      <c r="G422" s="4">
        <v>40513.481249999997</v>
      </c>
      <c r="H422" s="3">
        <v>4</v>
      </c>
      <c r="I422" s="5">
        <v>12</v>
      </c>
      <c r="J422" t="s">
        <v>658</v>
      </c>
      <c r="K422" t="s">
        <v>4497</v>
      </c>
      <c r="L422">
        <v>536406</v>
      </c>
      <c r="M422" s="2">
        <v>37370</v>
      </c>
      <c r="N422">
        <v>1.06</v>
      </c>
      <c r="O422" s="6">
        <v>6</v>
      </c>
      <c r="P422" s="3">
        <v>7.0000000000000007E-2</v>
      </c>
      <c r="Q422" t="s">
        <v>3</v>
      </c>
      <c r="R422" s="7">
        <f t="shared" si="18"/>
        <v>6.36</v>
      </c>
      <c r="S422" s="7">
        <f t="shared" si="19"/>
        <v>0.44520000000000004</v>
      </c>
      <c r="T422">
        <f>Table1[[#This Row],[Total price]]-Table1[[#This Row],[Discount Amount]]</f>
        <v>5.9148000000000005</v>
      </c>
      <c r="U422">
        <f t="shared" si="20"/>
        <v>35.488800000000005</v>
      </c>
    </row>
    <row r="423" spans="1:21">
      <c r="A423">
        <v>422</v>
      </c>
      <c r="B423" s="3" t="s">
        <v>2421</v>
      </c>
      <c r="C423" s="3" t="s">
        <v>1204</v>
      </c>
      <c r="D423" s="3" t="s">
        <v>2866</v>
      </c>
      <c r="E423" s="3" t="s">
        <v>3339</v>
      </c>
      <c r="F423" s="3">
        <v>149</v>
      </c>
      <c r="G423" s="4">
        <v>40513.481249999997</v>
      </c>
      <c r="H423" s="3">
        <v>4</v>
      </c>
      <c r="I423" s="5">
        <v>21</v>
      </c>
      <c r="J423" t="s">
        <v>534</v>
      </c>
      <c r="K423" t="s">
        <v>4497</v>
      </c>
      <c r="L423">
        <v>536406</v>
      </c>
      <c r="M423" s="2">
        <v>21871</v>
      </c>
      <c r="N423">
        <v>1.06</v>
      </c>
      <c r="O423" s="6">
        <v>6</v>
      </c>
      <c r="P423" s="3">
        <v>7.0000000000000007E-2</v>
      </c>
      <c r="Q423" t="s">
        <v>3</v>
      </c>
      <c r="R423" s="7">
        <f t="shared" si="18"/>
        <v>6.36</v>
      </c>
      <c r="S423" s="7">
        <f t="shared" si="19"/>
        <v>0.44520000000000004</v>
      </c>
      <c r="T423">
        <f>Table1[[#This Row],[Total price]]-Table1[[#This Row],[Discount Amount]]</f>
        <v>5.9148000000000005</v>
      </c>
      <c r="U423">
        <f t="shared" si="20"/>
        <v>35.488800000000005</v>
      </c>
    </row>
    <row r="424" spans="1:21">
      <c r="A424">
        <v>423</v>
      </c>
      <c r="B424" s="3" t="s">
        <v>2420</v>
      </c>
      <c r="C424" s="3" t="s">
        <v>2309</v>
      </c>
      <c r="D424" s="3" t="s">
        <v>2866</v>
      </c>
      <c r="E424" s="3" t="s">
        <v>3340</v>
      </c>
      <c r="F424" s="3">
        <v>150</v>
      </c>
      <c r="G424" s="4">
        <v>40513.481249999997</v>
      </c>
      <c r="H424" s="3">
        <v>4</v>
      </c>
      <c r="I424" s="5">
        <v>7</v>
      </c>
      <c r="J424" t="s">
        <v>646</v>
      </c>
      <c r="K424" t="s">
        <v>4497</v>
      </c>
      <c r="L424">
        <v>536406</v>
      </c>
      <c r="M424" s="2">
        <v>21071</v>
      </c>
      <c r="N424">
        <v>1.06</v>
      </c>
      <c r="O424" s="6">
        <v>6</v>
      </c>
      <c r="P424" s="3">
        <v>0.1</v>
      </c>
      <c r="Q424" t="s">
        <v>3</v>
      </c>
      <c r="R424" s="7">
        <f t="shared" si="18"/>
        <v>6.36</v>
      </c>
      <c r="S424" s="7">
        <f t="shared" si="19"/>
        <v>0.63600000000000012</v>
      </c>
      <c r="T424">
        <f>Table1[[#This Row],[Total price]]-Table1[[#This Row],[Discount Amount]]</f>
        <v>5.7240000000000002</v>
      </c>
      <c r="U424">
        <f t="shared" si="20"/>
        <v>34.344000000000001</v>
      </c>
    </row>
    <row r="425" spans="1:21">
      <c r="A425">
        <v>424</v>
      </c>
      <c r="B425" s="3" t="s">
        <v>2086</v>
      </c>
      <c r="C425" s="3" t="s">
        <v>2419</v>
      </c>
      <c r="D425" s="3" t="s">
        <v>2866</v>
      </c>
      <c r="E425" s="3" t="s">
        <v>3341</v>
      </c>
      <c r="F425" s="3">
        <v>150</v>
      </c>
      <c r="G425" s="4">
        <v>40513.481249999997</v>
      </c>
      <c r="H425" s="3">
        <v>4</v>
      </c>
      <c r="I425" s="5">
        <v>3</v>
      </c>
      <c r="J425" t="s">
        <v>579</v>
      </c>
      <c r="K425" t="s">
        <v>4497</v>
      </c>
      <c r="L425">
        <v>536406</v>
      </c>
      <c r="M425" s="2">
        <v>21068</v>
      </c>
      <c r="N425">
        <v>1.06</v>
      </c>
      <c r="O425" s="6">
        <v>6</v>
      </c>
      <c r="P425" s="3">
        <v>0.2</v>
      </c>
      <c r="Q425" t="s">
        <v>3</v>
      </c>
      <c r="R425" s="7">
        <f t="shared" si="18"/>
        <v>6.36</v>
      </c>
      <c r="S425" s="7">
        <f t="shared" si="19"/>
        <v>1.2720000000000002</v>
      </c>
      <c r="T425">
        <f>Table1[[#This Row],[Total price]]-Table1[[#This Row],[Discount Amount]]</f>
        <v>5.0880000000000001</v>
      </c>
      <c r="U425">
        <f t="shared" si="20"/>
        <v>30.527999999999999</v>
      </c>
    </row>
    <row r="426" spans="1:21">
      <c r="A426">
        <v>425</v>
      </c>
      <c r="B426" s="3" t="s">
        <v>2418</v>
      </c>
      <c r="C426" s="3" t="s">
        <v>1403</v>
      </c>
      <c r="D426" s="3" t="s">
        <v>2866</v>
      </c>
      <c r="E426" s="3" t="s">
        <v>3342</v>
      </c>
      <c r="F426" s="3">
        <v>150</v>
      </c>
      <c r="G426" s="4">
        <v>40513.481249999997</v>
      </c>
      <c r="H426" s="3">
        <v>4</v>
      </c>
      <c r="I426" s="5">
        <v>17</v>
      </c>
      <c r="J426" t="s">
        <v>458</v>
      </c>
      <c r="K426" t="s">
        <v>4497</v>
      </c>
      <c r="L426">
        <v>536406</v>
      </c>
      <c r="M426" s="2">
        <v>82483</v>
      </c>
      <c r="N426">
        <v>4.95</v>
      </c>
      <c r="O426" s="6">
        <v>4</v>
      </c>
      <c r="P426" s="3">
        <v>7.0000000000000007E-2</v>
      </c>
      <c r="Q426" t="s">
        <v>3</v>
      </c>
      <c r="R426" s="7">
        <f t="shared" si="18"/>
        <v>19.8</v>
      </c>
      <c r="S426" s="7">
        <f t="shared" si="19"/>
        <v>1.3860000000000001</v>
      </c>
      <c r="T426">
        <f>Table1[[#This Row],[Total price]]-Table1[[#This Row],[Discount Amount]]</f>
        <v>18.414000000000001</v>
      </c>
      <c r="U426">
        <f t="shared" si="20"/>
        <v>73.656000000000006</v>
      </c>
    </row>
    <row r="427" spans="1:21">
      <c r="A427">
        <v>426</v>
      </c>
      <c r="B427" s="3" t="s">
        <v>2417</v>
      </c>
      <c r="C427" s="3" t="s">
        <v>2416</v>
      </c>
      <c r="D427" s="3" t="s">
        <v>2866</v>
      </c>
      <c r="E427" s="3" t="s">
        <v>3343</v>
      </c>
      <c r="F427" s="3">
        <v>150</v>
      </c>
      <c r="G427" s="4">
        <v>40513.481249999997</v>
      </c>
      <c r="H427" s="3">
        <v>4</v>
      </c>
      <c r="I427" s="5">
        <v>25</v>
      </c>
      <c r="J427" t="s">
        <v>607</v>
      </c>
      <c r="K427" t="s">
        <v>4497</v>
      </c>
      <c r="L427">
        <v>536406</v>
      </c>
      <c r="M427" s="2">
        <v>82486</v>
      </c>
      <c r="N427">
        <v>6.95</v>
      </c>
      <c r="O427" s="6">
        <v>4</v>
      </c>
      <c r="P427" s="3">
        <v>7.0000000000000007E-2</v>
      </c>
      <c r="Q427" t="s">
        <v>3</v>
      </c>
      <c r="R427" s="7">
        <f t="shared" si="18"/>
        <v>27.8</v>
      </c>
      <c r="S427" s="7">
        <f t="shared" si="19"/>
        <v>1.9460000000000002</v>
      </c>
      <c r="T427">
        <f>Table1[[#This Row],[Total price]]-Table1[[#This Row],[Discount Amount]]</f>
        <v>25.853999999999999</v>
      </c>
      <c r="U427">
        <f t="shared" si="20"/>
        <v>103.416</v>
      </c>
    </row>
    <row r="428" spans="1:21">
      <c r="A428">
        <v>427</v>
      </c>
      <c r="B428" s="3" t="s">
        <v>2415</v>
      </c>
      <c r="C428" s="3" t="s">
        <v>1298</v>
      </c>
      <c r="D428" s="3" t="s">
        <v>2866</v>
      </c>
      <c r="E428" s="3" t="s">
        <v>3344</v>
      </c>
      <c r="F428" s="3">
        <v>151</v>
      </c>
      <c r="G428" s="4">
        <v>40513.481249999997</v>
      </c>
      <c r="H428" s="3">
        <v>4</v>
      </c>
      <c r="I428" s="5">
        <v>17</v>
      </c>
      <c r="J428" t="s">
        <v>246</v>
      </c>
      <c r="K428" t="s">
        <v>4497</v>
      </c>
      <c r="L428">
        <v>536406</v>
      </c>
      <c r="M428" s="2">
        <v>82482</v>
      </c>
      <c r="N428">
        <v>2.1</v>
      </c>
      <c r="O428" s="6">
        <v>6</v>
      </c>
      <c r="P428" s="3">
        <v>0.1</v>
      </c>
      <c r="Q428" t="s">
        <v>3</v>
      </c>
      <c r="R428" s="7">
        <f t="shared" si="18"/>
        <v>12.600000000000001</v>
      </c>
      <c r="S428" s="7">
        <f t="shared" si="19"/>
        <v>1.2600000000000002</v>
      </c>
      <c r="T428">
        <f>Table1[[#This Row],[Total price]]-Table1[[#This Row],[Discount Amount]]</f>
        <v>11.340000000000002</v>
      </c>
      <c r="U428">
        <f t="shared" si="20"/>
        <v>68.040000000000006</v>
      </c>
    </row>
    <row r="429" spans="1:21">
      <c r="A429">
        <v>428</v>
      </c>
      <c r="B429" s="3" t="s">
        <v>2414</v>
      </c>
      <c r="C429" s="3" t="s">
        <v>2413</v>
      </c>
      <c r="D429" s="3" t="s">
        <v>2866</v>
      </c>
      <c r="E429" s="3" t="s">
        <v>3345</v>
      </c>
      <c r="F429" s="3">
        <v>151</v>
      </c>
      <c r="G429" s="4">
        <v>40513.481249999997</v>
      </c>
      <c r="H429" s="3">
        <v>4</v>
      </c>
      <c r="I429" s="5">
        <v>26</v>
      </c>
      <c r="J429" t="s">
        <v>245</v>
      </c>
      <c r="K429" t="s">
        <v>4497</v>
      </c>
      <c r="L429">
        <v>536406</v>
      </c>
      <c r="M429" s="2" t="s">
        <v>244</v>
      </c>
      <c r="N429">
        <v>2.5499999999999998</v>
      </c>
      <c r="O429" s="6">
        <v>6</v>
      </c>
      <c r="P429" s="3">
        <v>0.1</v>
      </c>
      <c r="Q429" t="s">
        <v>3</v>
      </c>
      <c r="R429" s="7">
        <f t="shared" si="18"/>
        <v>15.299999999999999</v>
      </c>
      <c r="S429" s="7">
        <f t="shared" si="19"/>
        <v>1.53</v>
      </c>
      <c r="T429">
        <f>Table1[[#This Row],[Total price]]-Table1[[#This Row],[Discount Amount]]</f>
        <v>13.77</v>
      </c>
      <c r="U429">
        <f t="shared" si="20"/>
        <v>82.62</v>
      </c>
    </row>
    <row r="430" spans="1:21">
      <c r="A430">
        <v>429</v>
      </c>
      <c r="B430" s="3" t="s">
        <v>2358</v>
      </c>
      <c r="C430" s="3" t="s">
        <v>1854</v>
      </c>
      <c r="D430" s="3" t="s">
        <v>2866</v>
      </c>
      <c r="E430" s="3" t="s">
        <v>3346</v>
      </c>
      <c r="F430" s="3">
        <v>152</v>
      </c>
      <c r="G430" s="4">
        <v>40513.481249999997</v>
      </c>
      <c r="H430" s="3">
        <v>4</v>
      </c>
      <c r="I430" s="5">
        <v>6</v>
      </c>
      <c r="J430" t="s">
        <v>442</v>
      </c>
      <c r="K430" t="s">
        <v>4497</v>
      </c>
      <c r="L430">
        <v>536406</v>
      </c>
      <c r="M430" s="2" t="s">
        <v>441</v>
      </c>
      <c r="N430">
        <v>3.39</v>
      </c>
      <c r="O430" s="6">
        <v>6</v>
      </c>
      <c r="P430" s="3">
        <v>0.2</v>
      </c>
      <c r="Q430" t="s">
        <v>3</v>
      </c>
      <c r="R430" s="7">
        <f t="shared" si="18"/>
        <v>20.34</v>
      </c>
      <c r="S430" s="7">
        <f t="shared" si="19"/>
        <v>4.0680000000000005</v>
      </c>
      <c r="T430">
        <f>Table1[[#This Row],[Total price]]-Table1[[#This Row],[Discount Amount]]</f>
        <v>16.271999999999998</v>
      </c>
      <c r="U430">
        <f t="shared" si="20"/>
        <v>97.631999999999991</v>
      </c>
    </row>
    <row r="431" spans="1:21">
      <c r="A431">
        <v>430</v>
      </c>
      <c r="B431" s="3" t="s">
        <v>2412</v>
      </c>
      <c r="C431" s="3" t="s">
        <v>2411</v>
      </c>
      <c r="D431" s="3" t="s">
        <v>2866</v>
      </c>
      <c r="E431" s="3" t="s">
        <v>3347</v>
      </c>
      <c r="F431" s="3">
        <v>152</v>
      </c>
      <c r="G431" s="4">
        <v>40513.481249999997</v>
      </c>
      <c r="H431" s="3">
        <v>4</v>
      </c>
      <c r="I431" s="5">
        <v>22</v>
      </c>
      <c r="J431" t="s">
        <v>73</v>
      </c>
      <c r="K431" t="s">
        <v>4497</v>
      </c>
      <c r="L431">
        <v>536406</v>
      </c>
      <c r="M431" s="2" t="s">
        <v>72</v>
      </c>
      <c r="N431">
        <v>3.39</v>
      </c>
      <c r="O431" s="6">
        <v>6</v>
      </c>
      <c r="P431" s="3">
        <v>0.2</v>
      </c>
      <c r="Q431" t="s">
        <v>3</v>
      </c>
      <c r="R431" s="7">
        <f t="shared" si="18"/>
        <v>20.34</v>
      </c>
      <c r="S431" s="7">
        <f t="shared" si="19"/>
        <v>4.0680000000000005</v>
      </c>
      <c r="T431">
        <f>Table1[[#This Row],[Total price]]-Table1[[#This Row],[Discount Amount]]</f>
        <v>16.271999999999998</v>
      </c>
      <c r="U431">
        <f t="shared" si="20"/>
        <v>97.631999999999991</v>
      </c>
    </row>
    <row r="432" spans="1:21">
      <c r="A432">
        <v>431</v>
      </c>
      <c r="B432" s="3" t="s">
        <v>2410</v>
      </c>
      <c r="C432" s="3" t="s">
        <v>2409</v>
      </c>
      <c r="D432" s="3" t="s">
        <v>2866</v>
      </c>
      <c r="E432" s="3" t="s">
        <v>3348</v>
      </c>
      <c r="F432" s="3">
        <v>152</v>
      </c>
      <c r="G432" s="4">
        <v>40513.481249999997</v>
      </c>
      <c r="H432" s="3">
        <v>4</v>
      </c>
      <c r="I432" s="5">
        <v>16</v>
      </c>
      <c r="J432" t="s">
        <v>227</v>
      </c>
      <c r="K432" t="s">
        <v>4497</v>
      </c>
      <c r="L432">
        <v>536406</v>
      </c>
      <c r="M432" s="2">
        <v>22752</v>
      </c>
      <c r="N432">
        <v>7.65</v>
      </c>
      <c r="O432" s="6">
        <v>2</v>
      </c>
      <c r="P432" s="3">
        <v>7.0000000000000007E-2</v>
      </c>
      <c r="Q432" t="s">
        <v>3</v>
      </c>
      <c r="R432" s="7">
        <f t="shared" si="18"/>
        <v>15.3</v>
      </c>
      <c r="S432" s="7">
        <f t="shared" si="19"/>
        <v>1.0710000000000002</v>
      </c>
      <c r="T432">
        <f>Table1[[#This Row],[Total price]]-Table1[[#This Row],[Discount Amount]]</f>
        <v>14.229000000000001</v>
      </c>
      <c r="U432">
        <f t="shared" si="20"/>
        <v>28.458000000000002</v>
      </c>
    </row>
    <row r="433" spans="1:21">
      <c r="A433">
        <v>432</v>
      </c>
      <c r="B433" s="3" t="s">
        <v>2408</v>
      </c>
      <c r="C433" s="3" t="s">
        <v>1357</v>
      </c>
      <c r="D433" s="3" t="s">
        <v>2866</v>
      </c>
      <c r="E433" s="3" t="s">
        <v>3349</v>
      </c>
      <c r="F433" s="3">
        <v>153</v>
      </c>
      <c r="G433" s="4">
        <v>40513.481249999997</v>
      </c>
      <c r="H433" s="3">
        <v>4</v>
      </c>
      <c r="I433" s="5">
        <v>16</v>
      </c>
      <c r="J433" t="s">
        <v>840</v>
      </c>
      <c r="K433" t="s">
        <v>4497</v>
      </c>
      <c r="L433">
        <v>536406</v>
      </c>
      <c r="M433" s="2">
        <v>22803</v>
      </c>
      <c r="N433">
        <v>35.75</v>
      </c>
      <c r="O433" s="6">
        <v>2</v>
      </c>
      <c r="P433" s="3">
        <v>7.0000000000000007E-2</v>
      </c>
      <c r="Q433" t="s">
        <v>3</v>
      </c>
      <c r="R433" s="7">
        <f t="shared" si="18"/>
        <v>71.5</v>
      </c>
      <c r="S433" s="7">
        <f t="shared" si="19"/>
        <v>5.0050000000000008</v>
      </c>
      <c r="T433">
        <f>Table1[[#This Row],[Total price]]-Table1[[#This Row],[Discount Amount]]</f>
        <v>66.495000000000005</v>
      </c>
      <c r="U433">
        <f t="shared" si="20"/>
        <v>132.99</v>
      </c>
    </row>
    <row r="434" spans="1:21">
      <c r="A434">
        <v>433</v>
      </c>
      <c r="B434" s="3" t="s">
        <v>2407</v>
      </c>
      <c r="C434" s="3" t="s">
        <v>1243</v>
      </c>
      <c r="D434" s="3" t="s">
        <v>2866</v>
      </c>
      <c r="E434" s="3" t="s">
        <v>3350</v>
      </c>
      <c r="F434" s="3">
        <v>153</v>
      </c>
      <c r="G434" s="4">
        <v>40513.481249999997</v>
      </c>
      <c r="H434" s="3">
        <v>4</v>
      </c>
      <c r="I434" s="5">
        <v>8</v>
      </c>
      <c r="J434" t="s">
        <v>437</v>
      </c>
      <c r="K434" t="s">
        <v>4497</v>
      </c>
      <c r="L434">
        <v>536406</v>
      </c>
      <c r="M434" s="2">
        <v>21730</v>
      </c>
      <c r="N434">
        <v>4.25</v>
      </c>
      <c r="O434" s="6">
        <v>6</v>
      </c>
      <c r="P434" s="3">
        <v>7.0000000000000007E-2</v>
      </c>
      <c r="Q434" t="s">
        <v>3</v>
      </c>
      <c r="R434" s="7">
        <f t="shared" si="18"/>
        <v>25.5</v>
      </c>
      <c r="S434" s="7">
        <f t="shared" si="19"/>
        <v>1.7850000000000001</v>
      </c>
      <c r="T434">
        <f>Table1[[#This Row],[Total price]]-Table1[[#This Row],[Discount Amount]]</f>
        <v>23.715</v>
      </c>
      <c r="U434">
        <f t="shared" si="20"/>
        <v>142.29</v>
      </c>
    </row>
    <row r="435" spans="1:21">
      <c r="A435">
        <v>434</v>
      </c>
      <c r="B435" s="3" t="s">
        <v>1493</v>
      </c>
      <c r="C435" s="3" t="s">
        <v>904</v>
      </c>
      <c r="D435" s="3" t="s">
        <v>2866</v>
      </c>
      <c r="E435" s="3" t="s">
        <v>3351</v>
      </c>
      <c r="F435" s="3">
        <v>153</v>
      </c>
      <c r="G435" s="4">
        <v>40513.481944444444</v>
      </c>
      <c r="H435" s="3">
        <v>4</v>
      </c>
      <c r="I435" s="5">
        <v>15</v>
      </c>
      <c r="J435" t="s">
        <v>599</v>
      </c>
      <c r="K435" t="s">
        <v>4497</v>
      </c>
      <c r="L435">
        <v>536407</v>
      </c>
      <c r="M435" s="2">
        <v>22632</v>
      </c>
      <c r="N435">
        <v>1.85</v>
      </c>
      <c r="O435" s="6">
        <v>6</v>
      </c>
      <c r="P435" s="3">
        <v>0.05</v>
      </c>
      <c r="Q435" t="s">
        <v>3</v>
      </c>
      <c r="R435" s="7">
        <f t="shared" si="18"/>
        <v>11.100000000000001</v>
      </c>
      <c r="S435" s="7">
        <f t="shared" si="19"/>
        <v>0.55500000000000005</v>
      </c>
      <c r="T435">
        <f>Table1[[#This Row],[Total price]]-Table1[[#This Row],[Discount Amount]]</f>
        <v>10.545000000000002</v>
      </c>
      <c r="U435">
        <f t="shared" si="20"/>
        <v>63.27000000000001</v>
      </c>
    </row>
    <row r="436" spans="1:21">
      <c r="A436">
        <v>435</v>
      </c>
      <c r="B436" s="3" t="s">
        <v>2406</v>
      </c>
      <c r="C436" s="3" t="s">
        <v>2405</v>
      </c>
      <c r="D436" s="3" t="s">
        <v>2866</v>
      </c>
      <c r="E436" s="3" t="s">
        <v>3352</v>
      </c>
      <c r="F436" s="3">
        <v>154</v>
      </c>
      <c r="G436" s="4">
        <v>40513.481944444444</v>
      </c>
      <c r="H436" s="3">
        <v>4</v>
      </c>
      <c r="I436" s="5">
        <v>12</v>
      </c>
      <c r="J436" t="s">
        <v>28</v>
      </c>
      <c r="K436" t="s">
        <v>4497</v>
      </c>
      <c r="L436">
        <v>536407</v>
      </c>
      <c r="M436" s="2">
        <v>22633</v>
      </c>
      <c r="N436">
        <v>1.85</v>
      </c>
      <c r="O436" s="6">
        <v>6</v>
      </c>
      <c r="P436" s="3">
        <v>0.1</v>
      </c>
      <c r="Q436" t="s">
        <v>3</v>
      </c>
      <c r="R436" s="7">
        <f t="shared" si="18"/>
        <v>11.100000000000001</v>
      </c>
      <c r="S436" s="7">
        <f t="shared" si="19"/>
        <v>1.1100000000000001</v>
      </c>
      <c r="T436">
        <f>Table1[[#This Row],[Total price]]-Table1[[#This Row],[Discount Amount]]</f>
        <v>9.990000000000002</v>
      </c>
      <c r="U436">
        <f t="shared" si="20"/>
        <v>59.940000000000012</v>
      </c>
    </row>
    <row r="437" spans="1:21">
      <c r="A437">
        <v>436</v>
      </c>
      <c r="B437" s="3" t="s">
        <v>2404</v>
      </c>
      <c r="C437" s="3" t="s">
        <v>2101</v>
      </c>
      <c r="D437" s="3" t="s">
        <v>2866</v>
      </c>
      <c r="E437" s="3" t="s">
        <v>3353</v>
      </c>
      <c r="F437" s="3">
        <v>155</v>
      </c>
      <c r="G437" s="4">
        <v>40513.486805555556</v>
      </c>
      <c r="H437" s="3">
        <v>4</v>
      </c>
      <c r="I437" s="5">
        <v>8</v>
      </c>
      <c r="J437" t="s">
        <v>509</v>
      </c>
      <c r="K437" t="s">
        <v>4497</v>
      </c>
      <c r="L437">
        <v>536408</v>
      </c>
      <c r="M437" s="2">
        <v>22537</v>
      </c>
      <c r="N437">
        <v>0.42</v>
      </c>
      <c r="O437" s="6">
        <v>24</v>
      </c>
      <c r="P437" s="3">
        <v>0.1</v>
      </c>
      <c r="Q437" t="s">
        <v>3</v>
      </c>
      <c r="R437" s="7">
        <f t="shared" si="18"/>
        <v>10.08</v>
      </c>
      <c r="S437" s="7">
        <f t="shared" si="19"/>
        <v>1.008</v>
      </c>
      <c r="T437">
        <f>Table1[[#This Row],[Total price]]-Table1[[#This Row],[Discount Amount]]</f>
        <v>9.0719999999999992</v>
      </c>
      <c r="U437">
        <f t="shared" si="20"/>
        <v>217.72799999999998</v>
      </c>
    </row>
    <row r="438" spans="1:21">
      <c r="A438">
        <v>437</v>
      </c>
      <c r="B438" s="3" t="s">
        <v>2403</v>
      </c>
      <c r="C438" s="3" t="s">
        <v>1196</v>
      </c>
      <c r="D438" s="3" t="s">
        <v>2866</v>
      </c>
      <c r="E438" s="3" t="s">
        <v>3354</v>
      </c>
      <c r="F438" s="3">
        <v>156</v>
      </c>
      <c r="G438" s="4">
        <v>40513.486805555556</v>
      </c>
      <c r="H438" s="3">
        <v>4</v>
      </c>
      <c r="I438" s="5">
        <v>18</v>
      </c>
      <c r="J438" t="s">
        <v>320</v>
      </c>
      <c r="K438" t="s">
        <v>4497</v>
      </c>
      <c r="L438">
        <v>536408</v>
      </c>
      <c r="M438" s="2">
        <v>22533</v>
      </c>
      <c r="N438">
        <v>0.42</v>
      </c>
      <c r="O438" s="6">
        <v>24</v>
      </c>
      <c r="P438" s="3">
        <v>0.2</v>
      </c>
      <c r="Q438" t="s">
        <v>3</v>
      </c>
      <c r="R438" s="7">
        <f t="shared" si="18"/>
        <v>10.08</v>
      </c>
      <c r="S438" s="7">
        <f t="shared" si="19"/>
        <v>2.016</v>
      </c>
      <c r="T438">
        <f>Table1[[#This Row],[Total price]]-Table1[[#This Row],[Discount Amount]]</f>
        <v>8.0640000000000001</v>
      </c>
      <c r="U438">
        <f t="shared" si="20"/>
        <v>193.536</v>
      </c>
    </row>
    <row r="439" spans="1:21">
      <c r="A439">
        <v>438</v>
      </c>
      <c r="B439" s="3" t="s">
        <v>2402</v>
      </c>
      <c r="C439" s="3" t="s">
        <v>1643</v>
      </c>
      <c r="D439" s="3" t="s">
        <v>2866</v>
      </c>
      <c r="E439" s="3" t="s">
        <v>3355</v>
      </c>
      <c r="F439" s="3">
        <v>156</v>
      </c>
      <c r="G439" s="4">
        <v>40513.486805555556</v>
      </c>
      <c r="H439" s="3">
        <v>4</v>
      </c>
      <c r="I439" s="5">
        <v>17</v>
      </c>
      <c r="J439" t="s">
        <v>309</v>
      </c>
      <c r="K439" t="s">
        <v>4497</v>
      </c>
      <c r="L439">
        <v>536408</v>
      </c>
      <c r="M439" s="2">
        <v>20982</v>
      </c>
      <c r="N439">
        <v>0.85</v>
      </c>
      <c r="O439" s="6">
        <v>12</v>
      </c>
      <c r="P439" s="3">
        <v>0.05</v>
      </c>
      <c r="Q439" t="s">
        <v>3</v>
      </c>
      <c r="R439" s="7">
        <f t="shared" si="18"/>
        <v>10.199999999999999</v>
      </c>
      <c r="S439" s="7">
        <f t="shared" si="19"/>
        <v>0.51</v>
      </c>
      <c r="T439">
        <f>Table1[[#This Row],[Total price]]-Table1[[#This Row],[Discount Amount]]</f>
        <v>9.69</v>
      </c>
      <c r="U439">
        <f t="shared" si="20"/>
        <v>116.28</v>
      </c>
    </row>
    <row r="440" spans="1:21">
      <c r="A440">
        <v>439</v>
      </c>
      <c r="B440" s="3" t="s">
        <v>2401</v>
      </c>
      <c r="C440" s="3" t="s">
        <v>1024</v>
      </c>
      <c r="D440" s="3" t="s">
        <v>2866</v>
      </c>
      <c r="E440" s="3" t="s">
        <v>3356</v>
      </c>
      <c r="F440" s="3">
        <v>156</v>
      </c>
      <c r="G440" s="4">
        <v>40513.486805555556</v>
      </c>
      <c r="H440" s="3">
        <v>4</v>
      </c>
      <c r="I440" s="5">
        <v>6</v>
      </c>
      <c r="J440" t="s">
        <v>223</v>
      </c>
      <c r="K440" t="s">
        <v>4497</v>
      </c>
      <c r="L440">
        <v>536408</v>
      </c>
      <c r="M440" s="2">
        <v>21832</v>
      </c>
      <c r="N440">
        <v>1.65</v>
      </c>
      <c r="O440" s="6">
        <v>12</v>
      </c>
      <c r="P440" s="3">
        <v>7.0000000000000007E-2</v>
      </c>
      <c r="Q440" t="s">
        <v>3</v>
      </c>
      <c r="R440" s="7">
        <f t="shared" si="18"/>
        <v>19.799999999999997</v>
      </c>
      <c r="S440" s="7">
        <f t="shared" si="19"/>
        <v>1.3859999999999999</v>
      </c>
      <c r="T440">
        <f>Table1[[#This Row],[Total price]]-Table1[[#This Row],[Discount Amount]]</f>
        <v>18.413999999999998</v>
      </c>
      <c r="U440">
        <f t="shared" si="20"/>
        <v>220.96799999999996</v>
      </c>
    </row>
    <row r="441" spans="1:21">
      <c r="A441">
        <v>440</v>
      </c>
      <c r="B441" s="3" t="s">
        <v>2097</v>
      </c>
      <c r="C441" s="3" t="s">
        <v>1246</v>
      </c>
      <c r="D441" s="3" t="s">
        <v>2866</v>
      </c>
      <c r="E441" s="3" t="s">
        <v>3357</v>
      </c>
      <c r="F441" s="3">
        <v>157</v>
      </c>
      <c r="G441" s="4">
        <v>40513.486805555556</v>
      </c>
      <c r="H441" s="3">
        <v>4</v>
      </c>
      <c r="I441" s="5">
        <v>4</v>
      </c>
      <c r="J441" t="s">
        <v>330</v>
      </c>
      <c r="K441" t="s">
        <v>4497</v>
      </c>
      <c r="L441">
        <v>536408</v>
      </c>
      <c r="M441" s="2">
        <v>21915</v>
      </c>
      <c r="N441">
        <v>1.25</v>
      </c>
      <c r="O441" s="6">
        <v>12</v>
      </c>
      <c r="P441" s="3">
        <v>0.1</v>
      </c>
      <c r="Q441" t="s">
        <v>3</v>
      </c>
      <c r="R441" s="7">
        <f t="shared" si="18"/>
        <v>15</v>
      </c>
      <c r="S441" s="7">
        <f t="shared" si="19"/>
        <v>1.5</v>
      </c>
      <c r="T441">
        <f>Table1[[#This Row],[Total price]]-Table1[[#This Row],[Discount Amount]]</f>
        <v>13.5</v>
      </c>
      <c r="U441">
        <f t="shared" si="20"/>
        <v>162</v>
      </c>
    </row>
    <row r="442" spans="1:21">
      <c r="A442">
        <v>441</v>
      </c>
      <c r="B442" s="3" t="s">
        <v>2400</v>
      </c>
      <c r="C442" s="3" t="s">
        <v>2367</v>
      </c>
      <c r="D442" s="3" t="s">
        <v>2866</v>
      </c>
      <c r="E442" s="3" t="s">
        <v>3358</v>
      </c>
      <c r="F442" s="3">
        <v>157</v>
      </c>
      <c r="G442" s="4">
        <v>40513.486805555556</v>
      </c>
      <c r="H442" s="3">
        <v>4</v>
      </c>
      <c r="I442" s="5">
        <v>7</v>
      </c>
      <c r="J442" t="s">
        <v>131</v>
      </c>
      <c r="K442" t="s">
        <v>4497</v>
      </c>
      <c r="L442">
        <v>536408</v>
      </c>
      <c r="M442" s="2">
        <v>21914</v>
      </c>
      <c r="N442">
        <v>1.25</v>
      </c>
      <c r="O442" s="6">
        <v>12</v>
      </c>
      <c r="P442" s="3">
        <v>7.0000000000000007E-2</v>
      </c>
      <c r="Q442" t="s">
        <v>3</v>
      </c>
      <c r="R442" s="7">
        <f t="shared" si="18"/>
        <v>15</v>
      </c>
      <c r="S442" s="7">
        <f t="shared" si="19"/>
        <v>1.05</v>
      </c>
      <c r="T442">
        <f>Table1[[#This Row],[Total price]]-Table1[[#This Row],[Discount Amount]]</f>
        <v>13.95</v>
      </c>
      <c r="U442">
        <f t="shared" si="20"/>
        <v>167.39999999999998</v>
      </c>
    </row>
    <row r="443" spans="1:21">
      <c r="A443">
        <v>442</v>
      </c>
      <c r="B443" s="3" t="s">
        <v>2088</v>
      </c>
      <c r="C443" s="3" t="s">
        <v>1889</v>
      </c>
      <c r="D443" s="3" t="s">
        <v>3359</v>
      </c>
      <c r="E443" s="3" t="s">
        <v>3360</v>
      </c>
      <c r="F443" s="3">
        <v>158</v>
      </c>
      <c r="G443" s="4">
        <v>40513.486805555556</v>
      </c>
      <c r="H443" s="3">
        <v>4</v>
      </c>
      <c r="I443" s="5">
        <v>24</v>
      </c>
      <c r="J443" t="s">
        <v>89</v>
      </c>
      <c r="K443" t="s">
        <v>4497</v>
      </c>
      <c r="L443">
        <v>536408</v>
      </c>
      <c r="M443" s="2">
        <v>21544</v>
      </c>
      <c r="N443">
        <v>0.85</v>
      </c>
      <c r="O443" s="6">
        <v>12</v>
      </c>
      <c r="P443" s="3">
        <v>0.1</v>
      </c>
      <c r="Q443" t="s">
        <v>3</v>
      </c>
      <c r="R443" s="7">
        <f t="shared" si="18"/>
        <v>10.199999999999999</v>
      </c>
      <c r="S443" s="7">
        <f t="shared" si="19"/>
        <v>1.02</v>
      </c>
      <c r="T443">
        <f>Table1[[#This Row],[Total price]]-Table1[[#This Row],[Discount Amount]]</f>
        <v>9.18</v>
      </c>
      <c r="U443">
        <f t="shared" si="20"/>
        <v>110.16</v>
      </c>
    </row>
    <row r="444" spans="1:21">
      <c r="A444">
        <v>443</v>
      </c>
      <c r="B444" s="3" t="s">
        <v>2399</v>
      </c>
      <c r="C444" s="3" t="s">
        <v>2398</v>
      </c>
      <c r="D444" s="3" t="s">
        <v>3361</v>
      </c>
      <c r="E444" s="3" t="s">
        <v>3362</v>
      </c>
      <c r="F444" s="3">
        <v>159</v>
      </c>
      <c r="G444" s="4">
        <v>40513.486805555556</v>
      </c>
      <c r="H444" s="3">
        <v>4</v>
      </c>
      <c r="I444" s="5">
        <v>13</v>
      </c>
      <c r="J444" t="s">
        <v>262</v>
      </c>
      <c r="K444" t="s">
        <v>4497</v>
      </c>
      <c r="L444">
        <v>536408</v>
      </c>
      <c r="M444" s="2">
        <v>22813</v>
      </c>
      <c r="N444">
        <v>1.95</v>
      </c>
      <c r="O444" s="6">
        <v>12</v>
      </c>
      <c r="P444" s="3">
        <v>0.2</v>
      </c>
      <c r="Q444" t="s">
        <v>3</v>
      </c>
      <c r="R444" s="7">
        <f t="shared" si="18"/>
        <v>23.4</v>
      </c>
      <c r="S444" s="7">
        <f t="shared" si="19"/>
        <v>4.68</v>
      </c>
      <c r="T444">
        <f>Table1[[#This Row],[Total price]]-Table1[[#This Row],[Discount Amount]]</f>
        <v>18.72</v>
      </c>
      <c r="U444">
        <f t="shared" si="20"/>
        <v>224.64</v>
      </c>
    </row>
    <row r="445" spans="1:21">
      <c r="A445">
        <v>444</v>
      </c>
      <c r="B445" s="3" t="s">
        <v>2397</v>
      </c>
      <c r="C445" s="3" t="s">
        <v>1183</v>
      </c>
      <c r="D445" s="3" t="s">
        <v>2866</v>
      </c>
      <c r="E445" s="3" t="s">
        <v>3363</v>
      </c>
      <c r="F445" s="3">
        <v>160</v>
      </c>
      <c r="G445" s="4">
        <v>40513.486805555556</v>
      </c>
      <c r="H445" s="3">
        <v>4</v>
      </c>
      <c r="I445" s="5">
        <v>21</v>
      </c>
      <c r="J445" t="s">
        <v>94</v>
      </c>
      <c r="K445" t="s">
        <v>4497</v>
      </c>
      <c r="L445">
        <v>536408</v>
      </c>
      <c r="M445" s="2">
        <v>22114</v>
      </c>
      <c r="N445">
        <v>3.95</v>
      </c>
      <c r="O445" s="6">
        <v>4</v>
      </c>
      <c r="P445" s="3">
        <v>7.0000000000000007E-2</v>
      </c>
      <c r="Q445" t="s">
        <v>3</v>
      </c>
      <c r="R445" s="7">
        <f t="shared" si="18"/>
        <v>15.8</v>
      </c>
      <c r="S445" s="7">
        <f t="shared" si="19"/>
        <v>1.1060000000000001</v>
      </c>
      <c r="T445">
        <f>Table1[[#This Row],[Total price]]-Table1[[#This Row],[Discount Amount]]</f>
        <v>14.694000000000001</v>
      </c>
      <c r="U445">
        <f t="shared" si="20"/>
        <v>58.776000000000003</v>
      </c>
    </row>
    <row r="446" spans="1:21">
      <c r="A446">
        <v>445</v>
      </c>
      <c r="B446" s="3" t="s">
        <v>1228</v>
      </c>
      <c r="C446" s="3" t="s">
        <v>2185</v>
      </c>
      <c r="D446" s="3" t="s">
        <v>2866</v>
      </c>
      <c r="E446" s="3" t="s">
        <v>3364</v>
      </c>
      <c r="F446" s="3">
        <v>160</v>
      </c>
      <c r="G446" s="4">
        <v>40513.486805555556</v>
      </c>
      <c r="H446" s="3">
        <v>4</v>
      </c>
      <c r="I446" s="5">
        <v>15</v>
      </c>
      <c r="J446" t="s">
        <v>73</v>
      </c>
      <c r="K446" t="s">
        <v>4497</v>
      </c>
      <c r="L446">
        <v>536408</v>
      </c>
      <c r="M446" s="2" t="s">
        <v>72</v>
      </c>
      <c r="N446">
        <v>3.75</v>
      </c>
      <c r="O446" s="6">
        <v>4</v>
      </c>
      <c r="P446" s="3">
        <v>7.0000000000000007E-2</v>
      </c>
      <c r="Q446" t="s">
        <v>3</v>
      </c>
      <c r="R446" s="7">
        <f t="shared" si="18"/>
        <v>15</v>
      </c>
      <c r="S446" s="7">
        <f t="shared" si="19"/>
        <v>1.05</v>
      </c>
      <c r="T446">
        <f>Table1[[#This Row],[Total price]]-Table1[[#This Row],[Discount Amount]]</f>
        <v>13.95</v>
      </c>
      <c r="U446">
        <f t="shared" si="20"/>
        <v>55.8</v>
      </c>
    </row>
    <row r="447" spans="1:21">
      <c r="A447">
        <v>446</v>
      </c>
      <c r="B447" s="3" t="s">
        <v>2396</v>
      </c>
      <c r="C447" s="3" t="s">
        <v>2395</v>
      </c>
      <c r="D447" s="3" t="s">
        <v>2866</v>
      </c>
      <c r="E447" s="3" t="s">
        <v>3365</v>
      </c>
      <c r="F447" s="3">
        <v>160</v>
      </c>
      <c r="G447" s="4">
        <v>40513.486805555556</v>
      </c>
      <c r="H447" s="3">
        <v>4</v>
      </c>
      <c r="I447" s="5">
        <v>18</v>
      </c>
      <c r="J447" t="s">
        <v>300</v>
      </c>
      <c r="K447" t="s">
        <v>4497</v>
      </c>
      <c r="L447">
        <v>536408</v>
      </c>
      <c r="M447" s="2">
        <v>21479</v>
      </c>
      <c r="N447">
        <v>3.75</v>
      </c>
      <c r="O447" s="6">
        <v>4</v>
      </c>
      <c r="P447" s="3">
        <v>0.1</v>
      </c>
      <c r="Q447" t="s">
        <v>3</v>
      </c>
      <c r="R447" s="7">
        <f t="shared" si="18"/>
        <v>15</v>
      </c>
      <c r="S447" s="7">
        <f t="shared" si="19"/>
        <v>1.5</v>
      </c>
      <c r="T447">
        <f>Table1[[#This Row],[Total price]]-Table1[[#This Row],[Discount Amount]]</f>
        <v>13.5</v>
      </c>
      <c r="U447">
        <f t="shared" si="20"/>
        <v>54</v>
      </c>
    </row>
    <row r="448" spans="1:21">
      <c r="A448">
        <v>447</v>
      </c>
      <c r="B448" s="3" t="s">
        <v>2233</v>
      </c>
      <c r="C448" s="3" t="s">
        <v>2394</v>
      </c>
      <c r="D448" s="3" t="s">
        <v>2866</v>
      </c>
      <c r="E448" s="3" t="s">
        <v>3366</v>
      </c>
      <c r="F448" s="3">
        <v>160</v>
      </c>
      <c r="G448" s="4">
        <v>40513.486805555556</v>
      </c>
      <c r="H448" s="3">
        <v>4</v>
      </c>
      <c r="I448" s="5">
        <v>11</v>
      </c>
      <c r="J448" t="s">
        <v>860</v>
      </c>
      <c r="K448" t="s">
        <v>4497</v>
      </c>
      <c r="L448">
        <v>536408</v>
      </c>
      <c r="M448" s="2">
        <v>22964</v>
      </c>
      <c r="N448">
        <v>2.1</v>
      </c>
      <c r="O448" s="6">
        <v>6</v>
      </c>
      <c r="P448" s="3">
        <v>0.05</v>
      </c>
      <c r="Q448" t="s">
        <v>3</v>
      </c>
      <c r="R448" s="7">
        <f t="shared" si="18"/>
        <v>12.600000000000001</v>
      </c>
      <c r="S448" s="7">
        <f t="shared" si="19"/>
        <v>0.63000000000000012</v>
      </c>
      <c r="T448">
        <f>Table1[[#This Row],[Total price]]-Table1[[#This Row],[Discount Amount]]</f>
        <v>11.97</v>
      </c>
      <c r="U448">
        <f t="shared" si="20"/>
        <v>71.820000000000007</v>
      </c>
    </row>
    <row r="449" spans="1:21">
      <c r="A449">
        <v>448</v>
      </c>
      <c r="B449" s="3" t="s">
        <v>2393</v>
      </c>
      <c r="C449" s="3" t="s">
        <v>2392</v>
      </c>
      <c r="D449" s="3" t="s">
        <v>3367</v>
      </c>
      <c r="E449" s="3" t="s">
        <v>3368</v>
      </c>
      <c r="F449" s="3">
        <v>161</v>
      </c>
      <c r="G449" s="4">
        <v>40513.486805555556</v>
      </c>
      <c r="H449" s="3">
        <v>4</v>
      </c>
      <c r="I449" s="5">
        <v>24</v>
      </c>
      <c r="J449" t="s">
        <v>814</v>
      </c>
      <c r="K449" t="s">
        <v>4497</v>
      </c>
      <c r="L449">
        <v>536408</v>
      </c>
      <c r="M449" s="2">
        <v>84375</v>
      </c>
      <c r="N449">
        <v>2.1</v>
      </c>
      <c r="O449" s="6">
        <v>12</v>
      </c>
      <c r="P449" s="3">
        <v>7.0000000000000007E-2</v>
      </c>
      <c r="Q449" t="s">
        <v>3</v>
      </c>
      <c r="R449" s="7">
        <f t="shared" si="18"/>
        <v>25.200000000000003</v>
      </c>
      <c r="S449" s="7">
        <f t="shared" si="19"/>
        <v>1.7640000000000005</v>
      </c>
      <c r="T449">
        <f>Table1[[#This Row],[Total price]]-Table1[[#This Row],[Discount Amount]]</f>
        <v>23.436000000000003</v>
      </c>
      <c r="U449">
        <f t="shared" si="20"/>
        <v>281.23200000000003</v>
      </c>
    </row>
    <row r="450" spans="1:21">
      <c r="A450">
        <v>449</v>
      </c>
      <c r="B450" s="3" t="s">
        <v>2391</v>
      </c>
      <c r="C450" s="3" t="s">
        <v>2024</v>
      </c>
      <c r="D450" s="3" t="s">
        <v>2866</v>
      </c>
      <c r="E450" s="3" t="s">
        <v>3369</v>
      </c>
      <c r="F450" s="3">
        <v>161</v>
      </c>
      <c r="G450" s="4">
        <v>40513.486805555556</v>
      </c>
      <c r="H450" s="3">
        <v>4</v>
      </c>
      <c r="I450" s="5">
        <v>22</v>
      </c>
      <c r="J450" t="s">
        <v>91</v>
      </c>
      <c r="K450" t="s">
        <v>4497</v>
      </c>
      <c r="L450">
        <v>536408</v>
      </c>
      <c r="M450" s="2">
        <v>22418</v>
      </c>
      <c r="N450">
        <v>0.85</v>
      </c>
      <c r="O450" s="6">
        <v>24</v>
      </c>
      <c r="P450" s="3">
        <v>0.05</v>
      </c>
      <c r="Q450" t="s">
        <v>3</v>
      </c>
      <c r="R450" s="7">
        <f t="shared" si="18"/>
        <v>20.399999999999999</v>
      </c>
      <c r="S450" s="7">
        <f t="shared" si="19"/>
        <v>1.02</v>
      </c>
      <c r="T450">
        <f>Table1[[#This Row],[Total price]]-Table1[[#This Row],[Discount Amount]]</f>
        <v>19.38</v>
      </c>
      <c r="U450">
        <f t="shared" si="20"/>
        <v>465.12</v>
      </c>
    </row>
    <row r="451" spans="1:21">
      <c r="A451">
        <v>450</v>
      </c>
      <c r="B451" s="3" t="s">
        <v>2390</v>
      </c>
      <c r="C451" s="3" t="s">
        <v>2389</v>
      </c>
      <c r="D451" s="3" t="s">
        <v>2866</v>
      </c>
      <c r="E451" s="3" t="s">
        <v>3370</v>
      </c>
      <c r="F451" s="3">
        <v>161</v>
      </c>
      <c r="G451" s="4">
        <v>40513.486805555556</v>
      </c>
      <c r="H451" s="3">
        <v>4</v>
      </c>
      <c r="I451" s="5">
        <v>7</v>
      </c>
      <c r="J451" t="s">
        <v>22</v>
      </c>
      <c r="K451" t="s">
        <v>4497</v>
      </c>
      <c r="L451">
        <v>536408</v>
      </c>
      <c r="M451" s="2">
        <v>22178</v>
      </c>
      <c r="N451">
        <v>1.25</v>
      </c>
      <c r="O451" s="6">
        <v>12</v>
      </c>
      <c r="P451" s="3">
        <v>0.05</v>
      </c>
      <c r="Q451" t="s">
        <v>3</v>
      </c>
      <c r="R451" s="7">
        <f t="shared" ref="R451:R514" si="21">N451*O451</f>
        <v>15</v>
      </c>
      <c r="S451" s="7">
        <f t="shared" ref="S451:S514" si="22">R451*P451</f>
        <v>0.75</v>
      </c>
      <c r="T451">
        <f>Table1[[#This Row],[Total price]]-Table1[[#This Row],[Discount Amount]]</f>
        <v>14.25</v>
      </c>
      <c r="U451">
        <f t="shared" ref="U451:U514" si="23">T451*O451</f>
        <v>171</v>
      </c>
    </row>
    <row r="452" spans="1:21">
      <c r="A452">
        <v>451</v>
      </c>
      <c r="B452" s="3" t="s">
        <v>2125</v>
      </c>
      <c r="C452" s="3" t="s">
        <v>2388</v>
      </c>
      <c r="D452" s="3" t="s">
        <v>2866</v>
      </c>
      <c r="E452" s="3" t="s">
        <v>3371</v>
      </c>
      <c r="F452" s="3">
        <v>162</v>
      </c>
      <c r="G452" s="4">
        <v>40513.486805555556</v>
      </c>
      <c r="H452" s="3">
        <v>4</v>
      </c>
      <c r="I452" s="5">
        <v>18</v>
      </c>
      <c r="J452" t="s">
        <v>419</v>
      </c>
      <c r="K452" t="s">
        <v>4497</v>
      </c>
      <c r="L452">
        <v>536408</v>
      </c>
      <c r="M452" s="2" t="s">
        <v>418</v>
      </c>
      <c r="N452">
        <v>0.95</v>
      </c>
      <c r="O452" s="6">
        <v>12</v>
      </c>
      <c r="P452" s="3">
        <v>7.0000000000000007E-2</v>
      </c>
      <c r="Q452" t="s">
        <v>3</v>
      </c>
      <c r="R452" s="7">
        <f t="shared" si="21"/>
        <v>11.399999999999999</v>
      </c>
      <c r="S452" s="7">
        <f t="shared" si="22"/>
        <v>0.79799999999999993</v>
      </c>
      <c r="T452">
        <f>Table1[[#This Row],[Total price]]-Table1[[#This Row],[Discount Amount]]</f>
        <v>10.601999999999999</v>
      </c>
      <c r="U452">
        <f t="shared" si="23"/>
        <v>127.22399999999999</v>
      </c>
    </row>
    <row r="453" spans="1:21">
      <c r="A453">
        <v>452</v>
      </c>
      <c r="B453" s="3" t="s">
        <v>2387</v>
      </c>
      <c r="C453" s="3" t="s">
        <v>2386</v>
      </c>
      <c r="D453" s="3" t="s">
        <v>2866</v>
      </c>
      <c r="E453" s="3" t="s">
        <v>3372</v>
      </c>
      <c r="F453" s="3">
        <v>162</v>
      </c>
      <c r="G453" s="4">
        <v>40513.486805555556</v>
      </c>
      <c r="H453" s="3">
        <v>4</v>
      </c>
      <c r="I453" s="5">
        <v>21</v>
      </c>
      <c r="J453" t="s">
        <v>66</v>
      </c>
      <c r="K453" t="s">
        <v>4497</v>
      </c>
      <c r="L453">
        <v>536408</v>
      </c>
      <c r="M453" s="2">
        <v>21733</v>
      </c>
      <c r="N453">
        <v>2.95</v>
      </c>
      <c r="O453" s="6">
        <v>6</v>
      </c>
      <c r="P453" s="3">
        <v>7.0000000000000007E-2</v>
      </c>
      <c r="Q453" t="s">
        <v>3</v>
      </c>
      <c r="R453" s="7">
        <f t="shared" si="21"/>
        <v>17.700000000000003</v>
      </c>
      <c r="S453" s="7">
        <f t="shared" si="22"/>
        <v>1.2390000000000003</v>
      </c>
      <c r="T453">
        <f>Table1[[#This Row],[Total price]]-Table1[[#This Row],[Discount Amount]]</f>
        <v>16.461000000000002</v>
      </c>
      <c r="U453">
        <f t="shared" si="23"/>
        <v>98.76600000000002</v>
      </c>
    </row>
    <row r="454" spans="1:21">
      <c r="A454">
        <v>453</v>
      </c>
      <c r="B454" s="3" t="s">
        <v>2385</v>
      </c>
      <c r="C454" s="3" t="s">
        <v>2384</v>
      </c>
      <c r="D454" s="3" t="s">
        <v>2866</v>
      </c>
      <c r="E454" s="3" t="s">
        <v>3373</v>
      </c>
      <c r="F454" s="3">
        <v>162</v>
      </c>
      <c r="G454" s="4">
        <v>40513.486805555556</v>
      </c>
      <c r="H454" s="3">
        <v>4</v>
      </c>
      <c r="I454" s="5">
        <v>3</v>
      </c>
      <c r="J454" t="s">
        <v>162</v>
      </c>
      <c r="K454" t="s">
        <v>4497</v>
      </c>
      <c r="L454">
        <v>536408</v>
      </c>
      <c r="M454" s="2">
        <v>22465</v>
      </c>
      <c r="N454">
        <v>1.65</v>
      </c>
      <c r="O454" s="6">
        <v>12</v>
      </c>
      <c r="P454" s="3">
        <v>0.1</v>
      </c>
      <c r="Q454" t="s">
        <v>3</v>
      </c>
      <c r="R454" s="7">
        <f t="shared" si="21"/>
        <v>19.799999999999997</v>
      </c>
      <c r="S454" s="7">
        <f t="shared" si="22"/>
        <v>1.9799999999999998</v>
      </c>
      <c r="T454">
        <f>Table1[[#This Row],[Total price]]-Table1[[#This Row],[Discount Amount]]</f>
        <v>17.819999999999997</v>
      </c>
      <c r="U454">
        <f t="shared" si="23"/>
        <v>213.83999999999997</v>
      </c>
    </row>
    <row r="455" spans="1:21">
      <c r="A455">
        <v>454</v>
      </c>
      <c r="B455" s="3" t="s">
        <v>2075</v>
      </c>
      <c r="C455" s="3" t="s">
        <v>2188</v>
      </c>
      <c r="D455" s="3" t="s">
        <v>2866</v>
      </c>
      <c r="E455" s="3" t="s">
        <v>3374</v>
      </c>
      <c r="F455" s="3">
        <v>163</v>
      </c>
      <c r="G455" s="4">
        <v>40513.486805555556</v>
      </c>
      <c r="H455" s="3">
        <v>4</v>
      </c>
      <c r="I455" s="5">
        <v>12</v>
      </c>
      <c r="J455" t="s">
        <v>136</v>
      </c>
      <c r="K455" t="s">
        <v>4497</v>
      </c>
      <c r="L455">
        <v>536408</v>
      </c>
      <c r="M455" s="2">
        <v>84949</v>
      </c>
      <c r="N455">
        <v>1.65</v>
      </c>
      <c r="O455" s="6">
        <v>6</v>
      </c>
      <c r="P455" s="3">
        <v>0.1</v>
      </c>
      <c r="Q455" t="s">
        <v>3</v>
      </c>
      <c r="R455" s="7">
        <f t="shared" si="21"/>
        <v>9.8999999999999986</v>
      </c>
      <c r="S455" s="7">
        <f t="shared" si="22"/>
        <v>0.98999999999999988</v>
      </c>
      <c r="T455">
        <f>Table1[[#This Row],[Total price]]-Table1[[#This Row],[Discount Amount]]</f>
        <v>8.9099999999999984</v>
      </c>
      <c r="U455">
        <f t="shared" si="23"/>
        <v>53.459999999999994</v>
      </c>
    </row>
    <row r="456" spans="1:21">
      <c r="A456">
        <v>455</v>
      </c>
      <c r="B456" s="3" t="s">
        <v>2383</v>
      </c>
      <c r="C456" s="3" t="s">
        <v>1262</v>
      </c>
      <c r="D456" s="3" t="s">
        <v>2866</v>
      </c>
      <c r="E456" s="3" t="s">
        <v>3375</v>
      </c>
      <c r="F456" s="3">
        <v>163</v>
      </c>
      <c r="G456" s="4">
        <v>40513.486805555556</v>
      </c>
      <c r="H456" s="3">
        <v>4</v>
      </c>
      <c r="I456" s="5">
        <v>18</v>
      </c>
      <c r="J456" t="s">
        <v>301</v>
      </c>
      <c r="K456" t="s">
        <v>4497</v>
      </c>
      <c r="L456">
        <v>536408</v>
      </c>
      <c r="M456" s="2">
        <v>20685</v>
      </c>
      <c r="N456">
        <v>7.95</v>
      </c>
      <c r="O456" s="6">
        <v>2</v>
      </c>
      <c r="P456" s="3">
        <v>0.2</v>
      </c>
      <c r="Q456" t="s">
        <v>3</v>
      </c>
      <c r="R456" s="7">
        <f t="shared" si="21"/>
        <v>15.9</v>
      </c>
      <c r="S456" s="7">
        <f t="shared" si="22"/>
        <v>3.18</v>
      </c>
      <c r="T456">
        <f>Table1[[#This Row],[Total price]]-Table1[[#This Row],[Discount Amount]]</f>
        <v>12.72</v>
      </c>
      <c r="U456">
        <f t="shared" si="23"/>
        <v>25.44</v>
      </c>
    </row>
    <row r="457" spans="1:21">
      <c r="A457">
        <v>456</v>
      </c>
      <c r="B457" s="3" t="s">
        <v>2382</v>
      </c>
      <c r="C457" s="3" t="s">
        <v>2034</v>
      </c>
      <c r="D457" s="3" t="s">
        <v>2866</v>
      </c>
      <c r="E457" s="3" t="s">
        <v>3376</v>
      </c>
      <c r="F457" s="3">
        <v>164</v>
      </c>
      <c r="G457" s="4">
        <v>40513.486805555556</v>
      </c>
      <c r="H457" s="3">
        <v>4</v>
      </c>
      <c r="I457" s="5">
        <v>4</v>
      </c>
      <c r="J457" t="s">
        <v>240</v>
      </c>
      <c r="K457" t="s">
        <v>4497</v>
      </c>
      <c r="L457">
        <v>536408</v>
      </c>
      <c r="M457" s="2">
        <v>48194</v>
      </c>
      <c r="N457">
        <v>7.95</v>
      </c>
      <c r="O457" s="6">
        <v>2</v>
      </c>
      <c r="P457" s="3">
        <v>0.05</v>
      </c>
      <c r="Q457" t="s">
        <v>3</v>
      </c>
      <c r="R457" s="7">
        <f t="shared" si="21"/>
        <v>15.9</v>
      </c>
      <c r="S457" s="7">
        <f t="shared" si="22"/>
        <v>0.79500000000000004</v>
      </c>
      <c r="T457">
        <f>Table1[[#This Row],[Total price]]-Table1[[#This Row],[Discount Amount]]</f>
        <v>15.105</v>
      </c>
      <c r="U457">
        <f t="shared" si="23"/>
        <v>30.21</v>
      </c>
    </row>
    <row r="458" spans="1:21">
      <c r="A458">
        <v>457</v>
      </c>
      <c r="B458" s="3" t="s">
        <v>2381</v>
      </c>
      <c r="C458" s="3" t="s">
        <v>2017</v>
      </c>
      <c r="D458" s="3" t="s">
        <v>2866</v>
      </c>
      <c r="E458" s="3" t="s">
        <v>3377</v>
      </c>
      <c r="F458" s="3">
        <v>164</v>
      </c>
      <c r="G458" s="4">
        <v>40513.486805555556</v>
      </c>
      <c r="H458" s="3">
        <v>4</v>
      </c>
      <c r="I458" s="5">
        <v>10</v>
      </c>
      <c r="J458" t="s">
        <v>495</v>
      </c>
      <c r="K458" t="s">
        <v>4497</v>
      </c>
      <c r="L458">
        <v>536408</v>
      </c>
      <c r="M458" s="2">
        <v>22488</v>
      </c>
      <c r="N458">
        <v>1.65</v>
      </c>
      <c r="O458" s="6">
        <v>12</v>
      </c>
      <c r="P458" s="3">
        <v>0.05</v>
      </c>
      <c r="Q458" t="s">
        <v>3</v>
      </c>
      <c r="R458" s="7">
        <f t="shared" si="21"/>
        <v>19.799999999999997</v>
      </c>
      <c r="S458" s="7">
        <f t="shared" si="22"/>
        <v>0.98999999999999988</v>
      </c>
      <c r="T458">
        <f>Table1[[#This Row],[Total price]]-Table1[[#This Row],[Discount Amount]]</f>
        <v>18.809999999999999</v>
      </c>
      <c r="U458">
        <f t="shared" si="23"/>
        <v>225.71999999999997</v>
      </c>
    </row>
    <row r="459" spans="1:21">
      <c r="A459">
        <v>458</v>
      </c>
      <c r="B459" s="3" t="s">
        <v>2380</v>
      </c>
      <c r="C459" s="3" t="s">
        <v>1291</v>
      </c>
      <c r="D459" s="3" t="s">
        <v>2866</v>
      </c>
      <c r="E459" s="3" t="s">
        <v>3378</v>
      </c>
      <c r="F459" s="3">
        <v>164</v>
      </c>
      <c r="G459" s="4">
        <v>40513.486805555556</v>
      </c>
      <c r="H459" s="3">
        <v>4</v>
      </c>
      <c r="I459" s="5">
        <v>14</v>
      </c>
      <c r="J459" t="s">
        <v>520</v>
      </c>
      <c r="K459" t="s">
        <v>4497</v>
      </c>
      <c r="L459">
        <v>536408</v>
      </c>
      <c r="M459" s="2">
        <v>22219</v>
      </c>
      <c r="N459">
        <v>0.85</v>
      </c>
      <c r="O459" s="6">
        <v>12</v>
      </c>
      <c r="P459" s="3">
        <v>0.1</v>
      </c>
      <c r="Q459" t="s">
        <v>3</v>
      </c>
      <c r="R459" s="7">
        <f t="shared" si="21"/>
        <v>10.199999999999999</v>
      </c>
      <c r="S459" s="7">
        <f t="shared" si="22"/>
        <v>1.02</v>
      </c>
      <c r="T459">
        <f>Table1[[#This Row],[Total price]]-Table1[[#This Row],[Discount Amount]]</f>
        <v>9.18</v>
      </c>
      <c r="U459">
        <f t="shared" si="23"/>
        <v>110.16</v>
      </c>
    </row>
    <row r="460" spans="1:21">
      <c r="A460">
        <v>459</v>
      </c>
      <c r="B460" s="3" t="s">
        <v>2379</v>
      </c>
      <c r="C460" s="3" t="s">
        <v>2043</v>
      </c>
      <c r="D460" s="3" t="s">
        <v>3379</v>
      </c>
      <c r="E460" s="3" t="s">
        <v>3380</v>
      </c>
      <c r="F460" s="3">
        <v>165</v>
      </c>
      <c r="G460" s="4">
        <v>40513.486805555556</v>
      </c>
      <c r="H460" s="3">
        <v>4</v>
      </c>
      <c r="I460" s="5">
        <v>4</v>
      </c>
      <c r="J460" t="s">
        <v>21</v>
      </c>
      <c r="K460" t="s">
        <v>4497</v>
      </c>
      <c r="L460">
        <v>536408</v>
      </c>
      <c r="M460" s="2">
        <v>84879</v>
      </c>
      <c r="N460">
        <v>1.69</v>
      </c>
      <c r="O460" s="6">
        <v>8</v>
      </c>
      <c r="P460" s="3">
        <v>0.05</v>
      </c>
      <c r="Q460" t="s">
        <v>3</v>
      </c>
      <c r="R460" s="7">
        <f t="shared" si="21"/>
        <v>13.52</v>
      </c>
      <c r="S460" s="7">
        <f t="shared" si="22"/>
        <v>0.67600000000000005</v>
      </c>
      <c r="T460">
        <f>Table1[[#This Row],[Total price]]-Table1[[#This Row],[Discount Amount]]</f>
        <v>12.843999999999999</v>
      </c>
      <c r="U460">
        <f t="shared" si="23"/>
        <v>102.752</v>
      </c>
    </row>
    <row r="461" spans="1:21">
      <c r="A461">
        <v>460</v>
      </c>
      <c r="B461" s="3" t="s">
        <v>2378</v>
      </c>
      <c r="C461" s="3" t="s">
        <v>2377</v>
      </c>
      <c r="D461" s="3" t="s">
        <v>2866</v>
      </c>
      <c r="E461" s="3" t="s">
        <v>3381</v>
      </c>
      <c r="F461" s="3">
        <v>165</v>
      </c>
      <c r="G461" s="4">
        <v>40513.486805555556</v>
      </c>
      <c r="H461" s="3">
        <v>4</v>
      </c>
      <c r="I461" s="5">
        <v>23</v>
      </c>
      <c r="J461" t="s">
        <v>396</v>
      </c>
      <c r="K461" t="s">
        <v>4497</v>
      </c>
      <c r="L461">
        <v>536408</v>
      </c>
      <c r="M461" s="2">
        <v>21754</v>
      </c>
      <c r="N461">
        <v>5.95</v>
      </c>
      <c r="O461" s="6">
        <v>3</v>
      </c>
      <c r="P461" s="3">
        <v>0.2</v>
      </c>
      <c r="Q461" t="s">
        <v>3</v>
      </c>
      <c r="R461" s="7">
        <f t="shared" si="21"/>
        <v>17.850000000000001</v>
      </c>
      <c r="S461" s="7">
        <f t="shared" si="22"/>
        <v>3.5700000000000003</v>
      </c>
      <c r="T461">
        <f>Table1[[#This Row],[Total price]]-Table1[[#This Row],[Discount Amount]]</f>
        <v>14.280000000000001</v>
      </c>
      <c r="U461">
        <f t="shared" si="23"/>
        <v>42.84</v>
      </c>
    </row>
    <row r="462" spans="1:21">
      <c r="A462">
        <v>461</v>
      </c>
      <c r="B462" s="3" t="s">
        <v>2376</v>
      </c>
      <c r="C462" s="3" t="s">
        <v>932</v>
      </c>
      <c r="D462" s="3" t="s">
        <v>3382</v>
      </c>
      <c r="E462" s="3" t="s">
        <v>3383</v>
      </c>
      <c r="F462" s="3">
        <v>165</v>
      </c>
      <c r="G462" s="4">
        <v>40513.486805555556</v>
      </c>
      <c r="H462" s="3">
        <v>4</v>
      </c>
      <c r="I462" s="5">
        <v>2</v>
      </c>
      <c r="J462" t="s">
        <v>332</v>
      </c>
      <c r="K462" t="s">
        <v>4497</v>
      </c>
      <c r="L462">
        <v>536408</v>
      </c>
      <c r="M462" s="2">
        <v>21755</v>
      </c>
      <c r="N462">
        <v>5.95</v>
      </c>
      <c r="O462" s="6">
        <v>3</v>
      </c>
      <c r="P462" s="3">
        <v>0.05</v>
      </c>
      <c r="Q462" t="s">
        <v>3</v>
      </c>
      <c r="R462" s="7">
        <f t="shared" si="21"/>
        <v>17.850000000000001</v>
      </c>
      <c r="S462" s="7">
        <f t="shared" si="22"/>
        <v>0.89250000000000007</v>
      </c>
      <c r="T462">
        <f>Table1[[#This Row],[Total price]]-Table1[[#This Row],[Discount Amount]]</f>
        <v>16.957500000000003</v>
      </c>
      <c r="U462">
        <f t="shared" si="23"/>
        <v>50.872500000000009</v>
      </c>
    </row>
    <row r="463" spans="1:21">
      <c r="A463">
        <v>462</v>
      </c>
      <c r="B463" s="3" t="s">
        <v>1421</v>
      </c>
      <c r="C463" s="3" t="s">
        <v>1179</v>
      </c>
      <c r="D463" s="3" t="s">
        <v>2866</v>
      </c>
      <c r="E463" s="3" t="s">
        <v>3384</v>
      </c>
      <c r="F463" s="3">
        <v>166</v>
      </c>
      <c r="G463" s="4">
        <v>40513.486805555556</v>
      </c>
      <c r="H463" s="3">
        <v>4</v>
      </c>
      <c r="I463" s="5">
        <v>10</v>
      </c>
      <c r="J463" t="s">
        <v>92</v>
      </c>
      <c r="K463" t="s">
        <v>4497</v>
      </c>
      <c r="L463">
        <v>536408</v>
      </c>
      <c r="M463" s="2">
        <v>22766</v>
      </c>
      <c r="N463">
        <v>2.95</v>
      </c>
      <c r="O463" s="6">
        <v>8</v>
      </c>
      <c r="P463" s="3">
        <v>0.1</v>
      </c>
      <c r="Q463" t="s">
        <v>3</v>
      </c>
      <c r="R463" s="7">
        <f t="shared" si="21"/>
        <v>23.6</v>
      </c>
      <c r="S463" s="7">
        <f t="shared" si="22"/>
        <v>2.3600000000000003</v>
      </c>
      <c r="T463">
        <f>Table1[[#This Row],[Total price]]-Table1[[#This Row],[Discount Amount]]</f>
        <v>21.240000000000002</v>
      </c>
      <c r="U463">
        <f t="shared" si="23"/>
        <v>169.92000000000002</v>
      </c>
    </row>
    <row r="464" spans="1:21">
      <c r="A464">
        <v>463</v>
      </c>
      <c r="B464" s="3" t="s">
        <v>2375</v>
      </c>
      <c r="C464" s="3" t="s">
        <v>1077</v>
      </c>
      <c r="D464" s="3" t="s">
        <v>2866</v>
      </c>
      <c r="E464" s="3" t="s">
        <v>3385</v>
      </c>
      <c r="F464" s="3">
        <v>166</v>
      </c>
      <c r="G464" s="4">
        <v>40513.486805555556</v>
      </c>
      <c r="H464" s="3">
        <v>4</v>
      </c>
      <c r="I464" s="5">
        <v>11</v>
      </c>
      <c r="J464" t="s">
        <v>652</v>
      </c>
      <c r="K464" t="s">
        <v>4497</v>
      </c>
      <c r="L464">
        <v>536408</v>
      </c>
      <c r="M464" s="2">
        <v>22610</v>
      </c>
      <c r="N464">
        <v>0.85</v>
      </c>
      <c r="O464" s="6">
        <v>36</v>
      </c>
      <c r="P464" s="3">
        <v>0.2</v>
      </c>
      <c r="Q464" t="s">
        <v>3</v>
      </c>
      <c r="R464" s="7">
        <f t="shared" si="21"/>
        <v>30.599999999999998</v>
      </c>
      <c r="S464" s="7">
        <f t="shared" si="22"/>
        <v>6.12</v>
      </c>
      <c r="T464">
        <f>Table1[[#This Row],[Total price]]-Table1[[#This Row],[Discount Amount]]</f>
        <v>24.479999999999997</v>
      </c>
      <c r="U464">
        <f t="shared" si="23"/>
        <v>881.27999999999986</v>
      </c>
    </row>
    <row r="465" spans="1:21">
      <c r="A465">
        <v>464</v>
      </c>
      <c r="B465" s="3" t="s">
        <v>2374</v>
      </c>
      <c r="C465" s="3" t="s">
        <v>1594</v>
      </c>
      <c r="D465" s="3" t="s">
        <v>2866</v>
      </c>
      <c r="E465" s="3" t="s">
        <v>3386</v>
      </c>
      <c r="F465" s="3">
        <v>167</v>
      </c>
      <c r="G465" s="4">
        <v>40513.486805555556</v>
      </c>
      <c r="H465" s="3">
        <v>4</v>
      </c>
      <c r="I465" s="5">
        <v>12</v>
      </c>
      <c r="J465" t="s">
        <v>311</v>
      </c>
      <c r="K465" t="s">
        <v>4497</v>
      </c>
      <c r="L465">
        <v>536408</v>
      </c>
      <c r="M465" s="2">
        <v>22716</v>
      </c>
      <c r="N465">
        <v>0.42</v>
      </c>
      <c r="O465" s="6">
        <v>12</v>
      </c>
      <c r="P465" s="3">
        <v>0.05</v>
      </c>
      <c r="Q465" t="s">
        <v>3</v>
      </c>
      <c r="R465" s="7">
        <f t="shared" si="21"/>
        <v>5.04</v>
      </c>
      <c r="S465" s="7">
        <f t="shared" si="22"/>
        <v>0.252</v>
      </c>
      <c r="T465">
        <f>Table1[[#This Row],[Total price]]-Table1[[#This Row],[Discount Amount]]</f>
        <v>4.7880000000000003</v>
      </c>
      <c r="U465">
        <f t="shared" si="23"/>
        <v>57.456000000000003</v>
      </c>
    </row>
    <row r="466" spans="1:21">
      <c r="A466">
        <v>465</v>
      </c>
      <c r="B466" s="3" t="s">
        <v>2373</v>
      </c>
      <c r="C466" s="3" t="s">
        <v>1280</v>
      </c>
      <c r="D466" s="3" t="s">
        <v>3387</v>
      </c>
      <c r="E466" s="3" t="s">
        <v>3388</v>
      </c>
      <c r="F466" s="3">
        <v>167</v>
      </c>
      <c r="G466" s="4">
        <v>40513.486805555556</v>
      </c>
      <c r="H466" s="3">
        <v>4</v>
      </c>
      <c r="I466" s="5">
        <v>10</v>
      </c>
      <c r="J466" t="s">
        <v>659</v>
      </c>
      <c r="K466" t="s">
        <v>4497</v>
      </c>
      <c r="L466">
        <v>536408</v>
      </c>
      <c r="M466" s="2">
        <v>22706</v>
      </c>
      <c r="N466">
        <v>0.42</v>
      </c>
      <c r="O466" s="6">
        <v>25</v>
      </c>
      <c r="P466" s="3">
        <v>0.2</v>
      </c>
      <c r="Q466" t="s">
        <v>3</v>
      </c>
      <c r="R466" s="7">
        <f t="shared" si="21"/>
        <v>10.5</v>
      </c>
      <c r="S466" s="7">
        <f t="shared" si="22"/>
        <v>2.1</v>
      </c>
      <c r="T466">
        <f>Table1[[#This Row],[Total price]]-Table1[[#This Row],[Discount Amount]]</f>
        <v>8.4</v>
      </c>
      <c r="U466">
        <f t="shared" si="23"/>
        <v>210</v>
      </c>
    </row>
    <row r="467" spans="1:21">
      <c r="A467">
        <v>466</v>
      </c>
      <c r="B467" s="3" t="s">
        <v>1520</v>
      </c>
      <c r="C467" s="3" t="s">
        <v>1996</v>
      </c>
      <c r="D467" s="3" t="s">
        <v>2866</v>
      </c>
      <c r="E467" s="3" t="s">
        <v>3389</v>
      </c>
      <c r="F467" s="3">
        <v>167</v>
      </c>
      <c r="G467" s="4">
        <v>40513.486805555556</v>
      </c>
      <c r="H467" s="3">
        <v>4</v>
      </c>
      <c r="I467" s="5">
        <v>13</v>
      </c>
      <c r="J467" t="s">
        <v>348</v>
      </c>
      <c r="K467" t="s">
        <v>4497</v>
      </c>
      <c r="L467">
        <v>536408</v>
      </c>
      <c r="M467" s="2">
        <v>22371</v>
      </c>
      <c r="N467">
        <v>4.25</v>
      </c>
      <c r="O467" s="6">
        <v>4</v>
      </c>
      <c r="P467" s="3">
        <v>0.05</v>
      </c>
      <c r="Q467" t="s">
        <v>3</v>
      </c>
      <c r="R467" s="7">
        <f t="shared" si="21"/>
        <v>17</v>
      </c>
      <c r="S467" s="7">
        <f t="shared" si="22"/>
        <v>0.85000000000000009</v>
      </c>
      <c r="T467">
        <f>Table1[[#This Row],[Total price]]-Table1[[#This Row],[Discount Amount]]</f>
        <v>16.149999999999999</v>
      </c>
      <c r="U467">
        <f t="shared" si="23"/>
        <v>64.599999999999994</v>
      </c>
    </row>
    <row r="468" spans="1:21">
      <c r="A468">
        <v>467</v>
      </c>
      <c r="B468" s="3" t="s">
        <v>2372</v>
      </c>
      <c r="C468" s="3" t="s">
        <v>2371</v>
      </c>
      <c r="D468" s="3" t="s">
        <v>2866</v>
      </c>
      <c r="E468" s="3" t="s">
        <v>3390</v>
      </c>
      <c r="F468" s="3">
        <v>167</v>
      </c>
      <c r="G468" s="4">
        <v>40513.486805555556</v>
      </c>
      <c r="H468" s="3">
        <v>4</v>
      </c>
      <c r="I468" s="5">
        <v>7</v>
      </c>
      <c r="J468" t="s">
        <v>202</v>
      </c>
      <c r="K468" t="s">
        <v>4497</v>
      </c>
      <c r="L468">
        <v>536408</v>
      </c>
      <c r="M468" s="2" t="s">
        <v>50</v>
      </c>
      <c r="N468">
        <v>5.95</v>
      </c>
      <c r="O468" s="6">
        <v>3</v>
      </c>
      <c r="P468" s="3">
        <v>0.05</v>
      </c>
      <c r="Q468" t="s">
        <v>3</v>
      </c>
      <c r="R468" s="7">
        <f t="shared" si="21"/>
        <v>17.850000000000001</v>
      </c>
      <c r="S468" s="7">
        <f t="shared" si="22"/>
        <v>0.89250000000000007</v>
      </c>
      <c r="T468">
        <f>Table1[[#This Row],[Total price]]-Table1[[#This Row],[Discount Amount]]</f>
        <v>16.957500000000003</v>
      </c>
      <c r="U468">
        <f t="shared" si="23"/>
        <v>50.872500000000009</v>
      </c>
    </row>
    <row r="469" spans="1:21">
      <c r="A469">
        <v>468</v>
      </c>
      <c r="B469" s="3" t="s">
        <v>2370</v>
      </c>
      <c r="C469" s="3" t="s">
        <v>2308</v>
      </c>
      <c r="D469" s="3" t="s">
        <v>2866</v>
      </c>
      <c r="E469" s="3" t="s">
        <v>3391</v>
      </c>
      <c r="F469" s="3">
        <v>168</v>
      </c>
      <c r="G469" s="4">
        <v>40513.486805555556</v>
      </c>
      <c r="H469" s="3">
        <v>4</v>
      </c>
      <c r="I469" s="5">
        <v>6</v>
      </c>
      <c r="J469" t="s">
        <v>252</v>
      </c>
      <c r="K469" t="s">
        <v>4497</v>
      </c>
      <c r="L469">
        <v>536408</v>
      </c>
      <c r="M469" s="2" t="s">
        <v>251</v>
      </c>
      <c r="N469">
        <v>5.95</v>
      </c>
      <c r="O469" s="6">
        <v>3</v>
      </c>
      <c r="P469" s="3">
        <v>0.1</v>
      </c>
      <c r="Q469" t="s">
        <v>3</v>
      </c>
      <c r="R469" s="7">
        <f t="shared" si="21"/>
        <v>17.850000000000001</v>
      </c>
      <c r="S469" s="7">
        <f t="shared" si="22"/>
        <v>1.7850000000000001</v>
      </c>
      <c r="T469">
        <f>Table1[[#This Row],[Total price]]-Table1[[#This Row],[Discount Amount]]</f>
        <v>16.065000000000001</v>
      </c>
      <c r="U469">
        <f t="shared" si="23"/>
        <v>48.195000000000007</v>
      </c>
    </row>
    <row r="470" spans="1:21">
      <c r="A470">
        <v>469</v>
      </c>
      <c r="B470" s="3" t="s">
        <v>2369</v>
      </c>
      <c r="C470" s="3" t="s">
        <v>2351</v>
      </c>
      <c r="D470" s="3" t="s">
        <v>2866</v>
      </c>
      <c r="E470" s="3" t="s">
        <v>3392</v>
      </c>
      <c r="F470" s="3">
        <v>168</v>
      </c>
      <c r="G470" s="4">
        <v>40513.486805555556</v>
      </c>
      <c r="H470" s="3">
        <v>4</v>
      </c>
      <c r="I470" s="5">
        <v>11</v>
      </c>
      <c r="J470" t="s">
        <v>212</v>
      </c>
      <c r="K470" t="s">
        <v>4497</v>
      </c>
      <c r="L470">
        <v>536408</v>
      </c>
      <c r="M470" s="2" t="s">
        <v>48</v>
      </c>
      <c r="N470">
        <v>3.75</v>
      </c>
      <c r="O470" s="6">
        <v>6</v>
      </c>
      <c r="P470" s="3">
        <v>7.0000000000000007E-2</v>
      </c>
      <c r="Q470" t="s">
        <v>3</v>
      </c>
      <c r="R470" s="7">
        <f t="shared" si="21"/>
        <v>22.5</v>
      </c>
      <c r="S470" s="7">
        <f t="shared" si="22"/>
        <v>1.5750000000000002</v>
      </c>
      <c r="T470">
        <f>Table1[[#This Row],[Total price]]-Table1[[#This Row],[Discount Amount]]</f>
        <v>20.925000000000001</v>
      </c>
      <c r="U470">
        <f t="shared" si="23"/>
        <v>125.55000000000001</v>
      </c>
    </row>
    <row r="471" spans="1:21">
      <c r="A471">
        <v>470</v>
      </c>
      <c r="B471" s="3" t="s">
        <v>2368</v>
      </c>
      <c r="C471" s="3" t="s">
        <v>2367</v>
      </c>
      <c r="D471" s="3" t="s">
        <v>2866</v>
      </c>
      <c r="E471" s="3" t="s">
        <v>3393</v>
      </c>
      <c r="F471" s="3">
        <v>168</v>
      </c>
      <c r="G471" s="4">
        <v>40513.486805555556</v>
      </c>
      <c r="H471" s="3">
        <v>4</v>
      </c>
      <c r="I471" s="5">
        <v>12</v>
      </c>
      <c r="J471" t="s">
        <v>363</v>
      </c>
      <c r="K471" t="s">
        <v>4497</v>
      </c>
      <c r="L471">
        <v>536408</v>
      </c>
      <c r="M471" s="2">
        <v>21212</v>
      </c>
      <c r="N471">
        <v>0.55000000000000004</v>
      </c>
      <c r="O471" s="6">
        <v>24</v>
      </c>
      <c r="P471" s="3">
        <v>7.0000000000000007E-2</v>
      </c>
      <c r="Q471" t="s">
        <v>3</v>
      </c>
      <c r="R471" s="7">
        <f t="shared" si="21"/>
        <v>13.200000000000001</v>
      </c>
      <c r="S471" s="7">
        <f t="shared" si="22"/>
        <v>0.92400000000000015</v>
      </c>
      <c r="T471">
        <f>Table1[[#This Row],[Total price]]-Table1[[#This Row],[Discount Amount]]</f>
        <v>12.276000000000002</v>
      </c>
      <c r="U471">
        <f t="shared" si="23"/>
        <v>294.62400000000002</v>
      </c>
    </row>
    <row r="472" spans="1:21">
      <c r="A472">
        <v>471</v>
      </c>
      <c r="B472" s="3" t="s">
        <v>2366</v>
      </c>
      <c r="C472" s="3" t="s">
        <v>1100</v>
      </c>
      <c r="D472" s="3" t="s">
        <v>2866</v>
      </c>
      <c r="E472" s="3" t="s">
        <v>3394</v>
      </c>
      <c r="F472" s="3">
        <v>168</v>
      </c>
      <c r="G472" s="4">
        <v>40513.486805555556</v>
      </c>
      <c r="H472" s="3">
        <v>4</v>
      </c>
      <c r="I472" s="5">
        <v>22</v>
      </c>
      <c r="J472" t="s">
        <v>175</v>
      </c>
      <c r="K472" t="s">
        <v>4497</v>
      </c>
      <c r="L472">
        <v>536408</v>
      </c>
      <c r="M472" s="2">
        <v>21210</v>
      </c>
      <c r="N472">
        <v>1.45</v>
      </c>
      <c r="O472" s="6">
        <v>12</v>
      </c>
      <c r="P472" s="3">
        <v>0.2</v>
      </c>
      <c r="Q472" t="s">
        <v>3</v>
      </c>
      <c r="R472" s="7">
        <f t="shared" si="21"/>
        <v>17.399999999999999</v>
      </c>
      <c r="S472" s="7">
        <f t="shared" si="22"/>
        <v>3.48</v>
      </c>
      <c r="T472">
        <f>Table1[[#This Row],[Total price]]-Table1[[#This Row],[Discount Amount]]</f>
        <v>13.919999999999998</v>
      </c>
      <c r="U472">
        <f t="shared" si="23"/>
        <v>167.03999999999996</v>
      </c>
    </row>
    <row r="473" spans="1:21">
      <c r="A473">
        <v>472</v>
      </c>
      <c r="B473" s="3" t="s">
        <v>2116</v>
      </c>
      <c r="C473" s="3" t="s">
        <v>2365</v>
      </c>
      <c r="D473" s="3" t="s">
        <v>2866</v>
      </c>
      <c r="E473" s="3" t="s">
        <v>3395</v>
      </c>
      <c r="F473" s="3">
        <v>169</v>
      </c>
      <c r="G473" s="4">
        <v>40513.486805555556</v>
      </c>
      <c r="H473" s="3">
        <v>4</v>
      </c>
      <c r="I473" s="5">
        <v>20</v>
      </c>
      <c r="J473" t="s">
        <v>853</v>
      </c>
      <c r="K473" t="s">
        <v>4497</v>
      </c>
      <c r="L473">
        <v>536408</v>
      </c>
      <c r="M473" s="2">
        <v>22914</v>
      </c>
      <c r="N473">
        <v>4.95</v>
      </c>
      <c r="O473" s="6">
        <v>3</v>
      </c>
      <c r="P473" s="3">
        <v>0.1</v>
      </c>
      <c r="Q473" t="s">
        <v>3</v>
      </c>
      <c r="R473" s="7">
        <f t="shared" si="21"/>
        <v>14.850000000000001</v>
      </c>
      <c r="S473" s="7">
        <f t="shared" si="22"/>
        <v>1.4850000000000003</v>
      </c>
      <c r="T473">
        <f>Table1[[#This Row],[Total price]]-Table1[[#This Row],[Discount Amount]]</f>
        <v>13.365000000000002</v>
      </c>
      <c r="U473">
        <f t="shared" si="23"/>
        <v>40.095000000000006</v>
      </c>
    </row>
    <row r="474" spans="1:21">
      <c r="A474">
        <v>473</v>
      </c>
      <c r="B474" s="3" t="s">
        <v>2364</v>
      </c>
      <c r="C474" s="3" t="s">
        <v>2360</v>
      </c>
      <c r="D474" s="3" t="s">
        <v>2866</v>
      </c>
      <c r="E474" s="3" t="s">
        <v>3396</v>
      </c>
      <c r="F474" s="3">
        <v>169</v>
      </c>
      <c r="G474" s="4">
        <v>40513.486805555556</v>
      </c>
      <c r="H474" s="3">
        <v>4</v>
      </c>
      <c r="I474" s="5">
        <v>5</v>
      </c>
      <c r="J474" t="s">
        <v>190</v>
      </c>
      <c r="K474" t="s">
        <v>4497</v>
      </c>
      <c r="L474">
        <v>536408</v>
      </c>
      <c r="M474" s="2">
        <v>22553</v>
      </c>
      <c r="N474">
        <v>1.65</v>
      </c>
      <c r="O474" s="6">
        <v>12</v>
      </c>
      <c r="P474" s="3">
        <v>0.05</v>
      </c>
      <c r="Q474" t="s">
        <v>3</v>
      </c>
      <c r="R474" s="7">
        <f t="shared" si="21"/>
        <v>19.799999999999997</v>
      </c>
      <c r="S474" s="7">
        <f t="shared" si="22"/>
        <v>0.98999999999999988</v>
      </c>
      <c r="T474">
        <f>Table1[[#This Row],[Total price]]-Table1[[#This Row],[Discount Amount]]</f>
        <v>18.809999999999999</v>
      </c>
      <c r="U474">
        <f t="shared" si="23"/>
        <v>225.71999999999997</v>
      </c>
    </row>
    <row r="475" spans="1:21">
      <c r="A475">
        <v>474</v>
      </c>
      <c r="B475" s="3" t="s">
        <v>2363</v>
      </c>
      <c r="C475" s="3" t="s">
        <v>969</v>
      </c>
      <c r="D475" s="3" t="s">
        <v>2866</v>
      </c>
      <c r="E475" s="3" t="s">
        <v>3397</v>
      </c>
      <c r="F475" s="3">
        <v>169</v>
      </c>
      <c r="G475" s="4">
        <v>40513.486805555556</v>
      </c>
      <c r="H475" s="3">
        <v>4</v>
      </c>
      <c r="I475" s="5">
        <v>10</v>
      </c>
      <c r="J475" t="s">
        <v>421</v>
      </c>
      <c r="K475" t="s">
        <v>4497</v>
      </c>
      <c r="L475">
        <v>536408</v>
      </c>
      <c r="M475" s="2">
        <v>16237</v>
      </c>
      <c r="N475">
        <v>0.21</v>
      </c>
      <c r="O475" s="6">
        <v>30</v>
      </c>
      <c r="P475" s="3">
        <v>0.2</v>
      </c>
      <c r="Q475" t="s">
        <v>3</v>
      </c>
      <c r="R475" s="7">
        <f t="shared" si="21"/>
        <v>6.3</v>
      </c>
      <c r="S475" s="7">
        <f t="shared" si="22"/>
        <v>1.26</v>
      </c>
      <c r="T475">
        <f>Table1[[#This Row],[Total price]]-Table1[[#This Row],[Discount Amount]]</f>
        <v>5.04</v>
      </c>
      <c r="U475">
        <f t="shared" si="23"/>
        <v>151.19999999999999</v>
      </c>
    </row>
    <row r="476" spans="1:21">
      <c r="A476">
        <v>475</v>
      </c>
      <c r="B476" s="3" t="s">
        <v>2362</v>
      </c>
      <c r="C476" s="3" t="s">
        <v>1650</v>
      </c>
      <c r="D476" s="3" t="s">
        <v>2866</v>
      </c>
      <c r="E476" s="3" t="s">
        <v>3398</v>
      </c>
      <c r="F476" s="3">
        <v>169</v>
      </c>
      <c r="G476" s="4">
        <v>40513.486805555556</v>
      </c>
      <c r="H476" s="3">
        <v>4</v>
      </c>
      <c r="I476" s="5">
        <v>11</v>
      </c>
      <c r="J476" t="s">
        <v>660</v>
      </c>
      <c r="K476" t="s">
        <v>4497</v>
      </c>
      <c r="L476">
        <v>536408</v>
      </c>
      <c r="M476" s="2">
        <v>22714</v>
      </c>
      <c r="N476">
        <v>0.42</v>
      </c>
      <c r="O476" s="6">
        <v>12</v>
      </c>
      <c r="P476" s="3">
        <v>0.2</v>
      </c>
      <c r="Q476" t="s">
        <v>3</v>
      </c>
      <c r="R476" s="7">
        <f t="shared" si="21"/>
        <v>5.04</v>
      </c>
      <c r="S476" s="7">
        <f t="shared" si="22"/>
        <v>1.008</v>
      </c>
      <c r="T476">
        <f>Table1[[#This Row],[Total price]]-Table1[[#This Row],[Discount Amount]]</f>
        <v>4.032</v>
      </c>
      <c r="U476">
        <f t="shared" si="23"/>
        <v>48.384</v>
      </c>
    </row>
    <row r="477" spans="1:21">
      <c r="A477">
        <v>476</v>
      </c>
      <c r="B477" s="3" t="s">
        <v>2361</v>
      </c>
      <c r="C477" s="3" t="s">
        <v>2360</v>
      </c>
      <c r="D477" s="3" t="s">
        <v>2866</v>
      </c>
      <c r="E477" s="3" t="s">
        <v>3399</v>
      </c>
      <c r="F477" s="3">
        <v>169</v>
      </c>
      <c r="G477" s="4">
        <v>40513.486805555556</v>
      </c>
      <c r="H477" s="3">
        <v>4</v>
      </c>
      <c r="I477" s="5">
        <v>14</v>
      </c>
      <c r="J477" t="s">
        <v>275</v>
      </c>
      <c r="K477" t="s">
        <v>4497</v>
      </c>
      <c r="L477">
        <v>536408</v>
      </c>
      <c r="M477" s="2">
        <v>22812</v>
      </c>
      <c r="N477">
        <v>1.95</v>
      </c>
      <c r="O477" s="6">
        <v>12</v>
      </c>
      <c r="P477" s="3">
        <v>0.05</v>
      </c>
      <c r="Q477" t="s">
        <v>3</v>
      </c>
      <c r="R477" s="7">
        <f t="shared" si="21"/>
        <v>23.4</v>
      </c>
      <c r="S477" s="7">
        <f t="shared" si="22"/>
        <v>1.17</v>
      </c>
      <c r="T477">
        <f>Table1[[#This Row],[Total price]]-Table1[[#This Row],[Discount Amount]]</f>
        <v>22.229999999999997</v>
      </c>
      <c r="U477">
        <f t="shared" si="23"/>
        <v>266.76</v>
      </c>
    </row>
    <row r="478" spans="1:21">
      <c r="A478">
        <v>477</v>
      </c>
      <c r="B478" s="3" t="s">
        <v>2359</v>
      </c>
      <c r="C478" s="3" t="s">
        <v>1688</v>
      </c>
      <c r="D478" s="3" t="s">
        <v>2866</v>
      </c>
      <c r="E478" s="3" t="s">
        <v>3400</v>
      </c>
      <c r="F478" s="3">
        <v>170</v>
      </c>
      <c r="G478" s="4">
        <v>40513.486805555556</v>
      </c>
      <c r="H478" s="3">
        <v>4</v>
      </c>
      <c r="I478" s="5">
        <v>12</v>
      </c>
      <c r="J478" t="s">
        <v>56</v>
      </c>
      <c r="K478" t="s">
        <v>4497</v>
      </c>
      <c r="L478">
        <v>536408</v>
      </c>
      <c r="M478" s="2">
        <v>84347</v>
      </c>
      <c r="N478">
        <v>2.5499999999999998</v>
      </c>
      <c r="O478" s="6">
        <v>6</v>
      </c>
      <c r="P478" s="3">
        <v>0.1</v>
      </c>
      <c r="Q478" t="s">
        <v>3</v>
      </c>
      <c r="R478" s="7">
        <f t="shared" si="21"/>
        <v>15.299999999999999</v>
      </c>
      <c r="S478" s="7">
        <f t="shared" si="22"/>
        <v>1.53</v>
      </c>
      <c r="T478">
        <f>Table1[[#This Row],[Total price]]-Table1[[#This Row],[Discount Amount]]</f>
        <v>13.77</v>
      </c>
      <c r="U478">
        <f t="shared" si="23"/>
        <v>82.62</v>
      </c>
    </row>
    <row r="479" spans="1:21">
      <c r="A479">
        <v>478</v>
      </c>
      <c r="B479" s="3" t="s">
        <v>2358</v>
      </c>
      <c r="C479" s="3" t="s">
        <v>2357</v>
      </c>
      <c r="D479" s="3" t="s">
        <v>2866</v>
      </c>
      <c r="E479" s="3" t="s">
        <v>3401</v>
      </c>
      <c r="F479" s="3">
        <v>170</v>
      </c>
      <c r="G479" s="4">
        <v>40513.486805555556</v>
      </c>
      <c r="H479" s="3">
        <v>4</v>
      </c>
      <c r="I479" s="5">
        <v>24</v>
      </c>
      <c r="J479" t="s">
        <v>293</v>
      </c>
      <c r="K479" t="s">
        <v>4497</v>
      </c>
      <c r="L479">
        <v>536408</v>
      </c>
      <c r="M479" s="2">
        <v>21587</v>
      </c>
      <c r="N479">
        <v>2.5499999999999998</v>
      </c>
      <c r="O479" s="6">
        <v>12</v>
      </c>
      <c r="P479" s="3">
        <v>0.05</v>
      </c>
      <c r="Q479" t="s">
        <v>3</v>
      </c>
      <c r="R479" s="7">
        <f t="shared" si="21"/>
        <v>30.599999999999998</v>
      </c>
      <c r="S479" s="7">
        <f t="shared" si="22"/>
        <v>1.53</v>
      </c>
      <c r="T479">
        <f>Table1[[#This Row],[Total price]]-Table1[[#This Row],[Discount Amount]]</f>
        <v>29.069999999999997</v>
      </c>
      <c r="U479">
        <f t="shared" si="23"/>
        <v>348.84</v>
      </c>
    </row>
    <row r="480" spans="1:21">
      <c r="A480">
        <v>479</v>
      </c>
      <c r="B480" s="3" t="s">
        <v>2356</v>
      </c>
      <c r="C480" s="3" t="s">
        <v>2355</v>
      </c>
      <c r="D480" s="3" t="s">
        <v>2866</v>
      </c>
      <c r="E480" s="3" t="s">
        <v>3402</v>
      </c>
      <c r="F480" s="3">
        <v>170</v>
      </c>
      <c r="G480" s="4">
        <v>40513.486805555556</v>
      </c>
      <c r="H480" s="3">
        <v>4</v>
      </c>
      <c r="I480" s="5">
        <v>7</v>
      </c>
      <c r="J480" t="s">
        <v>167</v>
      </c>
      <c r="K480" t="s">
        <v>4497</v>
      </c>
      <c r="L480">
        <v>536408</v>
      </c>
      <c r="M480" s="2">
        <v>22736</v>
      </c>
      <c r="N480">
        <v>1.65</v>
      </c>
      <c r="O480" s="6">
        <v>10</v>
      </c>
      <c r="P480" s="3">
        <v>0.2</v>
      </c>
      <c r="Q480" t="s">
        <v>3</v>
      </c>
      <c r="R480" s="7">
        <f t="shared" si="21"/>
        <v>16.5</v>
      </c>
      <c r="S480" s="7">
        <f t="shared" si="22"/>
        <v>3.3000000000000003</v>
      </c>
      <c r="T480">
        <f>Table1[[#This Row],[Total price]]-Table1[[#This Row],[Discount Amount]]</f>
        <v>13.2</v>
      </c>
      <c r="U480">
        <f t="shared" si="23"/>
        <v>132</v>
      </c>
    </row>
    <row r="481" spans="1:21">
      <c r="A481">
        <v>480</v>
      </c>
      <c r="B481" s="3" t="s">
        <v>2354</v>
      </c>
      <c r="C481" s="3" t="s">
        <v>2353</v>
      </c>
      <c r="D481" s="3" t="s">
        <v>2866</v>
      </c>
      <c r="E481" s="3" t="s">
        <v>3403</v>
      </c>
      <c r="F481" s="3">
        <v>170</v>
      </c>
      <c r="G481" s="4">
        <v>40513.486805555556</v>
      </c>
      <c r="H481" s="3">
        <v>4</v>
      </c>
      <c r="I481" s="5">
        <v>18</v>
      </c>
      <c r="J481" t="s">
        <v>82</v>
      </c>
      <c r="K481" t="s">
        <v>4497</v>
      </c>
      <c r="L481">
        <v>536408</v>
      </c>
      <c r="M481" s="2">
        <v>22492</v>
      </c>
      <c r="N481">
        <v>0.65</v>
      </c>
      <c r="O481" s="6">
        <v>36</v>
      </c>
      <c r="P481" s="3">
        <v>0.05</v>
      </c>
      <c r="Q481" t="s">
        <v>3</v>
      </c>
      <c r="R481" s="7">
        <f t="shared" si="21"/>
        <v>23.400000000000002</v>
      </c>
      <c r="S481" s="7">
        <f t="shared" si="22"/>
        <v>1.1700000000000002</v>
      </c>
      <c r="T481">
        <f>Table1[[#This Row],[Total price]]-Table1[[#This Row],[Discount Amount]]</f>
        <v>22.23</v>
      </c>
      <c r="U481">
        <f t="shared" si="23"/>
        <v>800.28</v>
      </c>
    </row>
    <row r="482" spans="1:21">
      <c r="A482">
        <v>481</v>
      </c>
      <c r="B482" s="3" t="s">
        <v>2352</v>
      </c>
      <c r="C482" s="3" t="s">
        <v>2351</v>
      </c>
      <c r="D482" s="3" t="s">
        <v>2866</v>
      </c>
      <c r="E482" s="3" t="s">
        <v>3404</v>
      </c>
      <c r="F482" s="3">
        <v>171</v>
      </c>
      <c r="G482" s="4">
        <v>40513.486805555556</v>
      </c>
      <c r="H482" s="3">
        <v>4</v>
      </c>
      <c r="I482" s="5">
        <v>8</v>
      </c>
      <c r="J482" t="s">
        <v>43</v>
      </c>
      <c r="K482" t="s">
        <v>4497</v>
      </c>
      <c r="L482">
        <v>536408</v>
      </c>
      <c r="M482" s="2">
        <v>22620</v>
      </c>
      <c r="N482">
        <v>1.25</v>
      </c>
      <c r="O482" s="6">
        <v>12</v>
      </c>
      <c r="P482" s="3">
        <v>0.05</v>
      </c>
      <c r="Q482" t="s">
        <v>3</v>
      </c>
      <c r="R482" s="7">
        <f t="shared" si="21"/>
        <v>15</v>
      </c>
      <c r="S482" s="7">
        <f t="shared" si="22"/>
        <v>0.75</v>
      </c>
      <c r="T482">
        <f>Table1[[#This Row],[Total price]]-Table1[[#This Row],[Discount Amount]]</f>
        <v>14.25</v>
      </c>
      <c r="U482">
        <f t="shared" si="23"/>
        <v>171</v>
      </c>
    </row>
    <row r="483" spans="1:21">
      <c r="A483">
        <v>482</v>
      </c>
      <c r="B483" s="3" t="s">
        <v>2350</v>
      </c>
      <c r="C483" s="3" t="s">
        <v>1395</v>
      </c>
      <c r="D483" s="3" t="s">
        <v>2866</v>
      </c>
      <c r="E483" s="3" t="s">
        <v>3405</v>
      </c>
      <c r="F483" s="3">
        <v>172</v>
      </c>
      <c r="G483" s="4">
        <v>40513.486805555556</v>
      </c>
      <c r="H483" s="3">
        <v>4</v>
      </c>
      <c r="I483" s="5">
        <v>23</v>
      </c>
      <c r="J483" t="s">
        <v>170</v>
      </c>
      <c r="K483" t="s">
        <v>4497</v>
      </c>
      <c r="L483">
        <v>536408</v>
      </c>
      <c r="M483" s="2">
        <v>22619</v>
      </c>
      <c r="N483">
        <v>3.75</v>
      </c>
      <c r="O483" s="6">
        <v>4</v>
      </c>
      <c r="P483" s="3">
        <v>7.0000000000000007E-2</v>
      </c>
      <c r="Q483" t="s">
        <v>3</v>
      </c>
      <c r="R483" s="7">
        <f t="shared" si="21"/>
        <v>15</v>
      </c>
      <c r="S483" s="7">
        <f t="shared" si="22"/>
        <v>1.05</v>
      </c>
      <c r="T483">
        <f>Table1[[#This Row],[Total price]]-Table1[[#This Row],[Discount Amount]]</f>
        <v>13.95</v>
      </c>
      <c r="U483">
        <f t="shared" si="23"/>
        <v>55.8</v>
      </c>
    </row>
    <row r="484" spans="1:21">
      <c r="A484">
        <v>483</v>
      </c>
      <c r="B484" s="3" t="s">
        <v>2349</v>
      </c>
      <c r="C484" s="3" t="s">
        <v>1989</v>
      </c>
      <c r="D484" s="3" t="s">
        <v>2866</v>
      </c>
      <c r="E484" s="3" t="s">
        <v>3406</v>
      </c>
      <c r="F484" s="3">
        <v>172</v>
      </c>
      <c r="G484" s="4">
        <v>40513.486805555556</v>
      </c>
      <c r="H484" s="3">
        <v>4</v>
      </c>
      <c r="I484" s="5">
        <v>16</v>
      </c>
      <c r="J484" t="s">
        <v>540</v>
      </c>
      <c r="K484" t="s">
        <v>4497</v>
      </c>
      <c r="L484">
        <v>536408</v>
      </c>
      <c r="M484" s="2">
        <v>21705</v>
      </c>
      <c r="N484">
        <v>1.65</v>
      </c>
      <c r="O484" s="6">
        <v>12</v>
      </c>
      <c r="P484" s="3">
        <v>0.2</v>
      </c>
      <c r="Q484" t="s">
        <v>3</v>
      </c>
      <c r="R484" s="7">
        <f t="shared" si="21"/>
        <v>19.799999999999997</v>
      </c>
      <c r="S484" s="7">
        <f t="shared" si="22"/>
        <v>3.9599999999999995</v>
      </c>
      <c r="T484">
        <f>Table1[[#This Row],[Total price]]-Table1[[#This Row],[Discount Amount]]</f>
        <v>15.839999999999998</v>
      </c>
      <c r="U484">
        <f t="shared" si="23"/>
        <v>190.07999999999998</v>
      </c>
    </row>
    <row r="485" spans="1:21">
      <c r="A485">
        <v>484</v>
      </c>
      <c r="B485" s="3" t="s">
        <v>2348</v>
      </c>
      <c r="C485" s="3" t="s">
        <v>1634</v>
      </c>
      <c r="D485" s="3" t="s">
        <v>2866</v>
      </c>
      <c r="E485" s="3" t="s">
        <v>3407</v>
      </c>
      <c r="F485" s="3">
        <v>173</v>
      </c>
      <c r="G485" s="4">
        <v>40513.489583333336</v>
      </c>
      <c r="H485" s="3">
        <v>4</v>
      </c>
      <c r="I485" s="5">
        <v>14</v>
      </c>
      <c r="J485" t="s">
        <v>806</v>
      </c>
      <c r="K485" t="s">
        <v>4497</v>
      </c>
      <c r="L485">
        <v>536409</v>
      </c>
      <c r="M485" s="2" t="s">
        <v>805</v>
      </c>
      <c r="N485">
        <v>6.35</v>
      </c>
      <c r="O485" s="6">
        <v>3</v>
      </c>
      <c r="P485" s="3">
        <v>0.05</v>
      </c>
      <c r="Q485" t="s">
        <v>3</v>
      </c>
      <c r="R485" s="7">
        <f t="shared" si="21"/>
        <v>19.049999999999997</v>
      </c>
      <c r="S485" s="7">
        <f t="shared" si="22"/>
        <v>0.9524999999999999</v>
      </c>
      <c r="T485">
        <f>Table1[[#This Row],[Total price]]-Table1[[#This Row],[Discount Amount]]</f>
        <v>18.097499999999997</v>
      </c>
      <c r="U485">
        <f t="shared" si="23"/>
        <v>54.29249999999999</v>
      </c>
    </row>
    <row r="486" spans="1:21">
      <c r="A486">
        <v>485</v>
      </c>
      <c r="B486" s="3" t="s">
        <v>2347</v>
      </c>
      <c r="C486" s="3" t="s">
        <v>914</v>
      </c>
      <c r="D486" s="3" t="s">
        <v>2866</v>
      </c>
      <c r="E486" s="3" t="s">
        <v>3408</v>
      </c>
      <c r="F486" s="3">
        <v>173</v>
      </c>
      <c r="G486" s="4">
        <v>40513.489583333336</v>
      </c>
      <c r="H486" s="3">
        <v>4</v>
      </c>
      <c r="I486" s="5">
        <v>16</v>
      </c>
      <c r="J486" t="s">
        <v>300</v>
      </c>
      <c r="K486" t="s">
        <v>4497</v>
      </c>
      <c r="L486">
        <v>536409</v>
      </c>
      <c r="M486" s="2">
        <v>21479</v>
      </c>
      <c r="N486">
        <v>3.75</v>
      </c>
      <c r="O486" s="6">
        <v>1</v>
      </c>
      <c r="P486" s="3">
        <v>0.2</v>
      </c>
      <c r="Q486" t="s">
        <v>3</v>
      </c>
      <c r="R486" s="7">
        <f t="shared" si="21"/>
        <v>3.75</v>
      </c>
      <c r="S486" s="7">
        <f t="shared" si="22"/>
        <v>0.75</v>
      </c>
      <c r="T486">
        <f>Table1[[#This Row],[Total price]]-Table1[[#This Row],[Discount Amount]]</f>
        <v>3</v>
      </c>
      <c r="U486">
        <f t="shared" si="23"/>
        <v>3</v>
      </c>
    </row>
    <row r="487" spans="1:21">
      <c r="A487">
        <v>486</v>
      </c>
      <c r="B487" s="3" t="s">
        <v>2346</v>
      </c>
      <c r="C487" s="3" t="s">
        <v>1231</v>
      </c>
      <c r="D487" s="3" t="s">
        <v>2866</v>
      </c>
      <c r="E487" s="3" t="s">
        <v>3409</v>
      </c>
      <c r="F487" s="3">
        <v>173</v>
      </c>
      <c r="G487" s="4">
        <v>40513.489583333336</v>
      </c>
      <c r="H487" s="3">
        <v>4</v>
      </c>
      <c r="I487" s="5">
        <v>20</v>
      </c>
      <c r="J487" t="s">
        <v>15</v>
      </c>
      <c r="K487" t="s">
        <v>4497</v>
      </c>
      <c r="L487">
        <v>536409</v>
      </c>
      <c r="M487" s="2">
        <v>22111</v>
      </c>
      <c r="N487">
        <v>4.95</v>
      </c>
      <c r="O487" s="6">
        <v>1</v>
      </c>
      <c r="P487" s="3">
        <v>0.05</v>
      </c>
      <c r="Q487" t="s">
        <v>3</v>
      </c>
      <c r="R487" s="7">
        <f t="shared" si="21"/>
        <v>4.95</v>
      </c>
      <c r="S487" s="7">
        <f t="shared" si="22"/>
        <v>0.24750000000000003</v>
      </c>
      <c r="T487">
        <f>Table1[[#This Row],[Total price]]-Table1[[#This Row],[Discount Amount]]</f>
        <v>4.7025000000000006</v>
      </c>
      <c r="U487">
        <f t="shared" si="23"/>
        <v>4.7025000000000006</v>
      </c>
    </row>
    <row r="488" spans="1:21">
      <c r="A488">
        <v>487</v>
      </c>
      <c r="B488" s="3" t="s">
        <v>2345</v>
      </c>
      <c r="C488" s="3" t="s">
        <v>1543</v>
      </c>
      <c r="D488" s="3" t="s">
        <v>2866</v>
      </c>
      <c r="E488" s="3" t="s">
        <v>3410</v>
      </c>
      <c r="F488" s="3">
        <v>174</v>
      </c>
      <c r="G488" s="4">
        <v>40513.489583333336</v>
      </c>
      <c r="H488" s="3">
        <v>4</v>
      </c>
      <c r="I488" s="5">
        <v>22</v>
      </c>
      <c r="J488" t="s">
        <v>849</v>
      </c>
      <c r="K488" t="s">
        <v>4497</v>
      </c>
      <c r="L488">
        <v>536409</v>
      </c>
      <c r="M488" s="2">
        <v>22785</v>
      </c>
      <c r="N488">
        <v>6.75</v>
      </c>
      <c r="O488" s="6">
        <v>1</v>
      </c>
      <c r="P488" s="3">
        <v>0.2</v>
      </c>
      <c r="Q488" t="s">
        <v>3</v>
      </c>
      <c r="R488" s="7">
        <f t="shared" si="21"/>
        <v>6.75</v>
      </c>
      <c r="S488" s="7">
        <f t="shared" si="22"/>
        <v>1.35</v>
      </c>
      <c r="T488">
        <f>Table1[[#This Row],[Total price]]-Table1[[#This Row],[Discount Amount]]</f>
        <v>5.4</v>
      </c>
      <c r="U488">
        <f t="shared" si="23"/>
        <v>5.4</v>
      </c>
    </row>
    <row r="489" spans="1:21">
      <c r="A489">
        <v>488</v>
      </c>
      <c r="B489" s="3" t="s">
        <v>2344</v>
      </c>
      <c r="C489" s="3" t="s">
        <v>2343</v>
      </c>
      <c r="D489" s="3" t="s">
        <v>3411</v>
      </c>
      <c r="E489" s="3" t="s">
        <v>3412</v>
      </c>
      <c r="F489" s="3">
        <v>174</v>
      </c>
      <c r="G489" s="4">
        <v>40513.489583333336</v>
      </c>
      <c r="H489" s="3">
        <v>4</v>
      </c>
      <c r="I489" s="5">
        <v>19</v>
      </c>
      <c r="J489" t="s">
        <v>875</v>
      </c>
      <c r="K489" t="s">
        <v>4497</v>
      </c>
      <c r="L489">
        <v>536409</v>
      </c>
      <c r="M489" s="2">
        <v>22975</v>
      </c>
      <c r="N489">
        <v>1.25</v>
      </c>
      <c r="O489" s="6">
        <v>1</v>
      </c>
      <c r="P489" s="3">
        <v>0.1</v>
      </c>
      <c r="Q489" t="s">
        <v>3</v>
      </c>
      <c r="R489" s="7">
        <f t="shared" si="21"/>
        <v>1.25</v>
      </c>
      <c r="S489" s="7">
        <f t="shared" si="22"/>
        <v>0.125</v>
      </c>
      <c r="T489">
        <f>Table1[[#This Row],[Total price]]-Table1[[#This Row],[Discount Amount]]</f>
        <v>1.125</v>
      </c>
      <c r="U489">
        <f t="shared" si="23"/>
        <v>1.125</v>
      </c>
    </row>
    <row r="490" spans="1:21">
      <c r="A490">
        <v>489</v>
      </c>
      <c r="B490" s="3" t="s">
        <v>2342</v>
      </c>
      <c r="C490" s="3" t="s">
        <v>1431</v>
      </c>
      <c r="D490" s="3" t="s">
        <v>2866</v>
      </c>
      <c r="E490" s="3" t="s">
        <v>3413</v>
      </c>
      <c r="F490" s="3">
        <v>175</v>
      </c>
      <c r="G490" s="4">
        <v>40513.489583333336</v>
      </c>
      <c r="H490" s="3">
        <v>4</v>
      </c>
      <c r="I490" s="5">
        <v>5</v>
      </c>
      <c r="J490" t="s">
        <v>872</v>
      </c>
      <c r="K490" t="s">
        <v>4497</v>
      </c>
      <c r="L490">
        <v>536409</v>
      </c>
      <c r="M490" s="2">
        <v>22972</v>
      </c>
      <c r="N490">
        <v>1.65</v>
      </c>
      <c r="O490" s="6">
        <v>1</v>
      </c>
      <c r="P490" s="3">
        <v>0.1</v>
      </c>
      <c r="Q490" t="s">
        <v>3</v>
      </c>
      <c r="R490" s="7">
        <f t="shared" si="21"/>
        <v>1.65</v>
      </c>
      <c r="S490" s="7">
        <f t="shared" si="22"/>
        <v>0.16500000000000001</v>
      </c>
      <c r="T490">
        <f>Table1[[#This Row],[Total price]]-Table1[[#This Row],[Discount Amount]]</f>
        <v>1.4849999999999999</v>
      </c>
      <c r="U490">
        <f t="shared" si="23"/>
        <v>1.4849999999999999</v>
      </c>
    </row>
    <row r="491" spans="1:21">
      <c r="A491">
        <v>490</v>
      </c>
      <c r="B491" s="3" t="s">
        <v>2341</v>
      </c>
      <c r="C491" s="3" t="s">
        <v>2340</v>
      </c>
      <c r="D491" s="3" t="s">
        <v>2866</v>
      </c>
      <c r="E491" s="3" t="s">
        <v>3414</v>
      </c>
      <c r="F491" s="3">
        <v>175</v>
      </c>
      <c r="G491" s="4">
        <v>40513.489583333336</v>
      </c>
      <c r="H491" s="3">
        <v>4</v>
      </c>
      <c r="I491" s="5">
        <v>2</v>
      </c>
      <c r="J491" t="s">
        <v>158</v>
      </c>
      <c r="K491" t="s">
        <v>4497</v>
      </c>
      <c r="L491">
        <v>536409</v>
      </c>
      <c r="M491" s="2">
        <v>22866</v>
      </c>
      <c r="N491">
        <v>2.1</v>
      </c>
      <c r="O491" s="6">
        <v>1</v>
      </c>
      <c r="P491" s="3">
        <v>0.2</v>
      </c>
      <c r="Q491" t="s">
        <v>3</v>
      </c>
      <c r="R491" s="7">
        <f t="shared" si="21"/>
        <v>2.1</v>
      </c>
      <c r="S491" s="7">
        <f t="shared" si="22"/>
        <v>0.42000000000000004</v>
      </c>
      <c r="T491">
        <f>Table1[[#This Row],[Total price]]-Table1[[#This Row],[Discount Amount]]</f>
        <v>1.6800000000000002</v>
      </c>
      <c r="U491">
        <f t="shared" si="23"/>
        <v>1.6800000000000002</v>
      </c>
    </row>
    <row r="492" spans="1:21">
      <c r="A492">
        <v>491</v>
      </c>
      <c r="B492" s="3" t="s">
        <v>1972</v>
      </c>
      <c r="C492" s="3" t="s">
        <v>2339</v>
      </c>
      <c r="D492" s="3" t="s">
        <v>2866</v>
      </c>
      <c r="E492" s="3" t="s">
        <v>3415</v>
      </c>
      <c r="F492" s="3">
        <v>175</v>
      </c>
      <c r="G492" s="4">
        <v>40513.489583333336</v>
      </c>
      <c r="H492" s="3">
        <v>4</v>
      </c>
      <c r="I492" s="5">
        <v>21</v>
      </c>
      <c r="J492" t="s">
        <v>630</v>
      </c>
      <c r="K492" t="s">
        <v>4497</v>
      </c>
      <c r="L492">
        <v>536409</v>
      </c>
      <c r="M492" s="2">
        <v>22568</v>
      </c>
      <c r="N492">
        <v>3.75</v>
      </c>
      <c r="O492" s="6">
        <v>1</v>
      </c>
      <c r="P492" s="3">
        <v>0.1</v>
      </c>
      <c r="Q492" t="s">
        <v>3</v>
      </c>
      <c r="R492" s="7">
        <f t="shared" si="21"/>
        <v>3.75</v>
      </c>
      <c r="S492" s="7">
        <f t="shared" si="22"/>
        <v>0.375</v>
      </c>
      <c r="T492">
        <f>Table1[[#This Row],[Total price]]-Table1[[#This Row],[Discount Amount]]</f>
        <v>3.375</v>
      </c>
      <c r="U492">
        <f t="shared" si="23"/>
        <v>3.375</v>
      </c>
    </row>
    <row r="493" spans="1:21">
      <c r="A493">
        <v>492</v>
      </c>
      <c r="B493" s="3" t="s">
        <v>2338</v>
      </c>
      <c r="C493" s="3" t="s">
        <v>1879</v>
      </c>
      <c r="D493" s="3" t="s">
        <v>2866</v>
      </c>
      <c r="E493" s="3" t="s">
        <v>3416</v>
      </c>
      <c r="F493" s="3">
        <v>175</v>
      </c>
      <c r="G493" s="4">
        <v>40513.489583333336</v>
      </c>
      <c r="H493" s="3">
        <v>4</v>
      </c>
      <c r="I493" s="5">
        <v>19</v>
      </c>
      <c r="J493" t="s">
        <v>778</v>
      </c>
      <c r="K493" t="s">
        <v>4497</v>
      </c>
      <c r="L493">
        <v>536409</v>
      </c>
      <c r="M493" s="2">
        <v>85116</v>
      </c>
      <c r="N493">
        <v>2.1</v>
      </c>
      <c r="O493" s="6">
        <v>1</v>
      </c>
      <c r="P493" s="3">
        <v>7.0000000000000007E-2</v>
      </c>
      <c r="Q493" t="s">
        <v>3</v>
      </c>
      <c r="R493" s="7">
        <f t="shared" si="21"/>
        <v>2.1</v>
      </c>
      <c r="S493" s="7">
        <f t="shared" si="22"/>
        <v>0.14700000000000002</v>
      </c>
      <c r="T493">
        <f>Table1[[#This Row],[Total price]]-Table1[[#This Row],[Discount Amount]]</f>
        <v>1.9530000000000001</v>
      </c>
      <c r="U493">
        <f t="shared" si="23"/>
        <v>1.9530000000000001</v>
      </c>
    </row>
    <row r="494" spans="1:21">
      <c r="A494">
        <v>493</v>
      </c>
      <c r="B494" s="3" t="s">
        <v>1288</v>
      </c>
      <c r="C494" s="3" t="s">
        <v>977</v>
      </c>
      <c r="D494" s="3" t="s">
        <v>2866</v>
      </c>
      <c r="E494" s="3" t="s">
        <v>3417</v>
      </c>
      <c r="F494" s="3">
        <v>176</v>
      </c>
      <c r="G494" s="4">
        <v>40513.489583333336</v>
      </c>
      <c r="H494" s="3">
        <v>4</v>
      </c>
      <c r="I494" s="5">
        <v>2</v>
      </c>
      <c r="J494" t="s">
        <v>695</v>
      </c>
      <c r="K494" t="s">
        <v>4497</v>
      </c>
      <c r="L494">
        <v>536409</v>
      </c>
      <c r="M494" s="2">
        <v>22664</v>
      </c>
      <c r="N494">
        <v>2.1</v>
      </c>
      <c r="O494" s="6">
        <v>1</v>
      </c>
      <c r="P494" s="3">
        <v>7.0000000000000007E-2</v>
      </c>
      <c r="Q494" t="s">
        <v>3</v>
      </c>
      <c r="R494" s="7">
        <f t="shared" si="21"/>
        <v>2.1</v>
      </c>
      <c r="S494" s="7">
        <f t="shared" si="22"/>
        <v>0.14700000000000002</v>
      </c>
      <c r="T494">
        <f>Table1[[#This Row],[Total price]]-Table1[[#This Row],[Discount Amount]]</f>
        <v>1.9530000000000001</v>
      </c>
      <c r="U494">
        <f t="shared" si="23"/>
        <v>1.9530000000000001</v>
      </c>
    </row>
    <row r="495" spans="1:21">
      <c r="A495">
        <v>494</v>
      </c>
      <c r="B495" s="3" t="s">
        <v>2337</v>
      </c>
      <c r="C495" s="3" t="s">
        <v>2336</v>
      </c>
      <c r="D495" s="3" t="s">
        <v>2866</v>
      </c>
      <c r="E495" s="3" t="s">
        <v>3418</v>
      </c>
      <c r="F495" s="3">
        <v>176</v>
      </c>
      <c r="G495" s="4">
        <v>40513.489583333336</v>
      </c>
      <c r="H495" s="3">
        <v>4</v>
      </c>
      <c r="I495" s="5">
        <v>11</v>
      </c>
      <c r="J495" t="s">
        <v>727</v>
      </c>
      <c r="K495" t="s">
        <v>4497</v>
      </c>
      <c r="L495">
        <v>536409</v>
      </c>
      <c r="M495" s="2">
        <v>21609</v>
      </c>
      <c r="N495">
        <v>2.95</v>
      </c>
      <c r="O495" s="6">
        <v>1</v>
      </c>
      <c r="P495" s="3">
        <v>0.2</v>
      </c>
      <c r="Q495" t="s">
        <v>3</v>
      </c>
      <c r="R495" s="7">
        <f t="shared" si="21"/>
        <v>2.95</v>
      </c>
      <c r="S495" s="7">
        <f t="shared" si="22"/>
        <v>0.59000000000000008</v>
      </c>
      <c r="T495">
        <f>Table1[[#This Row],[Total price]]-Table1[[#This Row],[Discount Amount]]</f>
        <v>2.3600000000000003</v>
      </c>
      <c r="U495">
        <f t="shared" si="23"/>
        <v>2.3600000000000003</v>
      </c>
    </row>
    <row r="496" spans="1:21">
      <c r="A496">
        <v>495</v>
      </c>
      <c r="B496" s="3" t="s">
        <v>1058</v>
      </c>
      <c r="C496" s="3" t="s">
        <v>1056</v>
      </c>
      <c r="D496" s="3" t="s">
        <v>2866</v>
      </c>
      <c r="E496" s="3" t="s">
        <v>3419</v>
      </c>
      <c r="F496" s="3">
        <v>176</v>
      </c>
      <c r="G496" s="4">
        <v>40513.489583333336</v>
      </c>
      <c r="H496" s="3">
        <v>4</v>
      </c>
      <c r="I496" s="5">
        <v>16</v>
      </c>
      <c r="J496" t="s">
        <v>362</v>
      </c>
      <c r="K496" t="s">
        <v>4497</v>
      </c>
      <c r="L496">
        <v>536409</v>
      </c>
      <c r="M496" s="2">
        <v>21866</v>
      </c>
      <c r="N496">
        <v>1.25</v>
      </c>
      <c r="O496" s="6">
        <v>1</v>
      </c>
      <c r="P496" s="3">
        <v>0.05</v>
      </c>
      <c r="Q496" t="s">
        <v>3</v>
      </c>
      <c r="R496" s="7">
        <f t="shared" si="21"/>
        <v>1.25</v>
      </c>
      <c r="S496" s="7">
        <f t="shared" si="22"/>
        <v>6.25E-2</v>
      </c>
      <c r="T496">
        <f>Table1[[#This Row],[Total price]]-Table1[[#This Row],[Discount Amount]]</f>
        <v>1.1875</v>
      </c>
      <c r="U496">
        <f t="shared" si="23"/>
        <v>1.1875</v>
      </c>
    </row>
    <row r="497" spans="1:21">
      <c r="A497">
        <v>496</v>
      </c>
      <c r="B497" s="3" t="s">
        <v>2335</v>
      </c>
      <c r="C497" s="3" t="s">
        <v>1560</v>
      </c>
      <c r="D497" s="3" t="s">
        <v>2866</v>
      </c>
      <c r="E497" s="3" t="s">
        <v>3420</v>
      </c>
      <c r="F497" s="3">
        <v>177</v>
      </c>
      <c r="G497" s="4">
        <v>40513.489583333336</v>
      </c>
      <c r="H497" s="3">
        <v>4</v>
      </c>
      <c r="I497" s="5">
        <v>20</v>
      </c>
      <c r="J497" t="s">
        <v>143</v>
      </c>
      <c r="K497" t="s">
        <v>4497</v>
      </c>
      <c r="L497">
        <v>536409</v>
      </c>
      <c r="M497" s="2">
        <v>20669</v>
      </c>
      <c r="N497">
        <v>1.25</v>
      </c>
      <c r="O497" s="6">
        <v>1</v>
      </c>
      <c r="P497" s="3">
        <v>0.1</v>
      </c>
      <c r="Q497" t="s">
        <v>3</v>
      </c>
      <c r="R497" s="7">
        <f t="shared" si="21"/>
        <v>1.25</v>
      </c>
      <c r="S497" s="7">
        <f t="shared" si="22"/>
        <v>0.125</v>
      </c>
      <c r="T497">
        <f>Table1[[#This Row],[Total price]]-Table1[[#This Row],[Discount Amount]]</f>
        <v>1.125</v>
      </c>
      <c r="U497">
        <f t="shared" si="23"/>
        <v>1.125</v>
      </c>
    </row>
    <row r="498" spans="1:21">
      <c r="A498">
        <v>497</v>
      </c>
      <c r="B498" s="3" t="s">
        <v>2071</v>
      </c>
      <c r="C498" s="3" t="s">
        <v>912</v>
      </c>
      <c r="D498" s="3" t="s">
        <v>2866</v>
      </c>
      <c r="E498" s="3" t="s">
        <v>3421</v>
      </c>
      <c r="F498" s="3">
        <v>178</v>
      </c>
      <c r="G498" s="4">
        <v>40513.489583333336</v>
      </c>
      <c r="H498" s="3">
        <v>4</v>
      </c>
      <c r="I498" s="5">
        <v>10</v>
      </c>
      <c r="J498" t="s">
        <v>810</v>
      </c>
      <c r="K498" t="s">
        <v>4497</v>
      </c>
      <c r="L498">
        <v>536409</v>
      </c>
      <c r="M498" s="2" t="s">
        <v>809</v>
      </c>
      <c r="N498">
        <v>2.95</v>
      </c>
      <c r="O498" s="6">
        <v>1</v>
      </c>
      <c r="P498" s="3">
        <v>0.2</v>
      </c>
      <c r="Q498" t="s">
        <v>3</v>
      </c>
      <c r="R498" s="7">
        <f t="shared" si="21"/>
        <v>2.95</v>
      </c>
      <c r="S498" s="7">
        <f t="shared" si="22"/>
        <v>0.59000000000000008</v>
      </c>
      <c r="T498">
        <f>Table1[[#This Row],[Total price]]-Table1[[#This Row],[Discount Amount]]</f>
        <v>2.3600000000000003</v>
      </c>
      <c r="U498">
        <f t="shared" si="23"/>
        <v>2.3600000000000003</v>
      </c>
    </row>
    <row r="499" spans="1:21">
      <c r="A499">
        <v>498</v>
      </c>
      <c r="B499" s="3" t="s">
        <v>2334</v>
      </c>
      <c r="C499" s="3" t="s">
        <v>2280</v>
      </c>
      <c r="D499" s="3" t="s">
        <v>2866</v>
      </c>
      <c r="E499" s="3" t="s">
        <v>3422</v>
      </c>
      <c r="F499" s="3">
        <v>178</v>
      </c>
      <c r="G499" s="4">
        <v>40513.489583333336</v>
      </c>
      <c r="H499" s="3">
        <v>4</v>
      </c>
      <c r="I499" s="5">
        <v>12</v>
      </c>
      <c r="J499" t="s">
        <v>820</v>
      </c>
      <c r="K499" t="s">
        <v>4497</v>
      </c>
      <c r="L499">
        <v>536409</v>
      </c>
      <c r="M499" s="2" t="s">
        <v>819</v>
      </c>
      <c r="N499">
        <v>2.95</v>
      </c>
      <c r="O499" s="6">
        <v>1</v>
      </c>
      <c r="P499" s="3">
        <v>0.05</v>
      </c>
      <c r="Q499" t="s">
        <v>3</v>
      </c>
      <c r="R499" s="7">
        <f t="shared" si="21"/>
        <v>2.95</v>
      </c>
      <c r="S499" s="7">
        <f t="shared" si="22"/>
        <v>0.14750000000000002</v>
      </c>
      <c r="T499">
        <f>Table1[[#This Row],[Total price]]-Table1[[#This Row],[Discount Amount]]</f>
        <v>2.8025000000000002</v>
      </c>
      <c r="U499">
        <f t="shared" si="23"/>
        <v>2.8025000000000002</v>
      </c>
    </row>
    <row r="500" spans="1:21">
      <c r="A500">
        <v>499</v>
      </c>
      <c r="B500" s="3" t="s">
        <v>2333</v>
      </c>
      <c r="C500" s="3" t="s">
        <v>2332</v>
      </c>
      <c r="D500" s="3" t="s">
        <v>2866</v>
      </c>
      <c r="E500" s="3" t="s">
        <v>3423</v>
      </c>
      <c r="F500" s="3">
        <v>178</v>
      </c>
      <c r="G500" s="4">
        <v>40513.489583333336</v>
      </c>
      <c r="H500" s="3">
        <v>4</v>
      </c>
      <c r="I500" s="5">
        <v>3</v>
      </c>
      <c r="J500" t="s">
        <v>806</v>
      </c>
      <c r="K500" t="s">
        <v>4497</v>
      </c>
      <c r="L500">
        <v>536409</v>
      </c>
      <c r="M500" s="2" t="s">
        <v>805</v>
      </c>
      <c r="N500">
        <v>6.35</v>
      </c>
      <c r="O500" s="6">
        <v>1</v>
      </c>
      <c r="P500" s="3">
        <v>0.1</v>
      </c>
      <c r="Q500" t="s">
        <v>3</v>
      </c>
      <c r="R500" s="7">
        <f t="shared" si="21"/>
        <v>6.35</v>
      </c>
      <c r="S500" s="7">
        <f t="shared" si="22"/>
        <v>0.63500000000000001</v>
      </c>
      <c r="T500">
        <f>Table1[[#This Row],[Total price]]-Table1[[#This Row],[Discount Amount]]</f>
        <v>5.7149999999999999</v>
      </c>
      <c r="U500">
        <f t="shared" si="23"/>
        <v>5.7149999999999999</v>
      </c>
    </row>
    <row r="501" spans="1:21">
      <c r="A501">
        <v>500</v>
      </c>
      <c r="B501" s="3" t="s">
        <v>2331</v>
      </c>
      <c r="C501" s="3" t="s">
        <v>1614</v>
      </c>
      <c r="D501" s="3" t="s">
        <v>2866</v>
      </c>
      <c r="E501" s="3" t="s">
        <v>3424</v>
      </c>
      <c r="F501" s="3">
        <v>178</v>
      </c>
      <c r="G501" s="4">
        <v>40878.489583333336</v>
      </c>
      <c r="H501" s="3">
        <v>4</v>
      </c>
      <c r="I501" s="5">
        <v>18</v>
      </c>
      <c r="J501" t="s">
        <v>547</v>
      </c>
      <c r="K501" t="s">
        <v>4497</v>
      </c>
      <c r="L501">
        <v>536409</v>
      </c>
      <c r="M501" s="2">
        <v>21955</v>
      </c>
      <c r="N501">
        <v>7.95</v>
      </c>
      <c r="O501" s="6">
        <v>1</v>
      </c>
      <c r="P501" s="3">
        <v>7.0000000000000007E-2</v>
      </c>
      <c r="Q501" t="s">
        <v>3</v>
      </c>
      <c r="R501" s="7">
        <f t="shared" si="21"/>
        <v>7.95</v>
      </c>
      <c r="S501" s="7">
        <f t="shared" si="22"/>
        <v>0.55650000000000011</v>
      </c>
      <c r="T501">
        <f>Table1[[#This Row],[Total price]]-Table1[[#This Row],[Discount Amount]]</f>
        <v>7.3935000000000004</v>
      </c>
      <c r="U501">
        <f t="shared" si="23"/>
        <v>7.3935000000000004</v>
      </c>
    </row>
    <row r="502" spans="1:21">
      <c r="A502">
        <v>501</v>
      </c>
      <c r="B502" s="3" t="s">
        <v>2330</v>
      </c>
      <c r="C502" s="3" t="s">
        <v>2151</v>
      </c>
      <c r="D502" s="3" t="s">
        <v>3425</v>
      </c>
      <c r="E502" s="3" t="s">
        <v>3426</v>
      </c>
      <c r="F502" s="3">
        <v>179</v>
      </c>
      <c r="G502" s="4">
        <v>40878.489583333336</v>
      </c>
      <c r="H502" s="3">
        <v>4</v>
      </c>
      <c r="I502" s="5">
        <v>13</v>
      </c>
      <c r="J502" t="s">
        <v>474</v>
      </c>
      <c r="K502" t="s">
        <v>4497</v>
      </c>
      <c r="L502">
        <v>536409</v>
      </c>
      <c r="M502" s="2" t="s">
        <v>473</v>
      </c>
      <c r="N502">
        <v>4.25</v>
      </c>
      <c r="O502" s="6">
        <v>1</v>
      </c>
      <c r="P502" s="3">
        <v>0.05</v>
      </c>
      <c r="Q502" t="s">
        <v>3</v>
      </c>
      <c r="R502" s="7">
        <f t="shared" si="21"/>
        <v>4.25</v>
      </c>
      <c r="S502" s="7">
        <f t="shared" si="22"/>
        <v>0.21250000000000002</v>
      </c>
      <c r="T502">
        <f>Table1[[#This Row],[Total price]]-Table1[[#This Row],[Discount Amount]]</f>
        <v>4.0374999999999996</v>
      </c>
      <c r="U502">
        <f t="shared" si="23"/>
        <v>4.0374999999999996</v>
      </c>
    </row>
    <row r="503" spans="1:21">
      <c r="A503">
        <v>502</v>
      </c>
      <c r="B503" s="3" t="s">
        <v>2329</v>
      </c>
      <c r="C503" s="3" t="s">
        <v>2328</v>
      </c>
      <c r="D503" s="3" t="s">
        <v>2866</v>
      </c>
      <c r="E503" s="3" t="s">
        <v>3427</v>
      </c>
      <c r="F503" s="3">
        <v>179</v>
      </c>
      <c r="G503" s="4">
        <v>40878.489583333336</v>
      </c>
      <c r="H503" s="3">
        <v>4</v>
      </c>
      <c r="I503" s="5">
        <v>26</v>
      </c>
      <c r="J503" t="s">
        <v>472</v>
      </c>
      <c r="K503" t="s">
        <v>4497</v>
      </c>
      <c r="L503">
        <v>536409</v>
      </c>
      <c r="M503" s="2">
        <v>22109</v>
      </c>
      <c r="N503">
        <v>3.75</v>
      </c>
      <c r="O503" s="6">
        <v>1</v>
      </c>
      <c r="P503" s="3">
        <v>0.1</v>
      </c>
      <c r="Q503" t="s">
        <v>3</v>
      </c>
      <c r="R503" s="7">
        <f t="shared" si="21"/>
        <v>3.75</v>
      </c>
      <c r="S503" s="7">
        <f t="shared" si="22"/>
        <v>0.375</v>
      </c>
      <c r="T503">
        <f>Table1[[#This Row],[Total price]]-Table1[[#This Row],[Discount Amount]]</f>
        <v>3.375</v>
      </c>
      <c r="U503">
        <f t="shared" si="23"/>
        <v>3.375</v>
      </c>
    </row>
    <row r="504" spans="1:21">
      <c r="A504">
        <v>503</v>
      </c>
      <c r="B504" s="3" t="s">
        <v>2327</v>
      </c>
      <c r="C504" s="3" t="s">
        <v>1676</v>
      </c>
      <c r="D504" s="3" t="s">
        <v>2866</v>
      </c>
      <c r="E504" s="3" t="s">
        <v>3428</v>
      </c>
      <c r="F504" s="3">
        <v>179</v>
      </c>
      <c r="G504" s="4">
        <v>40878.489583333336</v>
      </c>
      <c r="H504" s="3">
        <v>4</v>
      </c>
      <c r="I504" s="5">
        <v>18</v>
      </c>
      <c r="J504" t="s">
        <v>778</v>
      </c>
      <c r="K504" t="s">
        <v>4497</v>
      </c>
      <c r="L504">
        <v>536409</v>
      </c>
      <c r="M504" s="2">
        <v>85116</v>
      </c>
      <c r="N504">
        <v>2.1</v>
      </c>
      <c r="O504" s="6">
        <v>5</v>
      </c>
      <c r="P504" s="3">
        <v>0.2</v>
      </c>
      <c r="Q504" t="s">
        <v>3</v>
      </c>
      <c r="R504" s="7">
        <f t="shared" si="21"/>
        <v>10.5</v>
      </c>
      <c r="S504" s="7">
        <f t="shared" si="22"/>
        <v>2.1</v>
      </c>
      <c r="T504">
        <f>Table1[[#This Row],[Total price]]-Table1[[#This Row],[Discount Amount]]</f>
        <v>8.4</v>
      </c>
      <c r="U504">
        <f t="shared" si="23"/>
        <v>42</v>
      </c>
    </row>
    <row r="505" spans="1:21">
      <c r="A505">
        <v>504</v>
      </c>
      <c r="B505" s="3" t="s">
        <v>2326</v>
      </c>
      <c r="C505" s="3" t="s">
        <v>1533</v>
      </c>
      <c r="D505" s="3" t="s">
        <v>2866</v>
      </c>
      <c r="E505" s="3" t="s">
        <v>3429</v>
      </c>
      <c r="F505" s="3">
        <v>179</v>
      </c>
      <c r="G505" s="4">
        <v>40878.489583333336</v>
      </c>
      <c r="H505" s="3">
        <v>4</v>
      </c>
      <c r="I505" s="5">
        <v>12</v>
      </c>
      <c r="J505" t="s">
        <v>319</v>
      </c>
      <c r="K505" t="s">
        <v>4497</v>
      </c>
      <c r="L505">
        <v>536409</v>
      </c>
      <c r="M505" s="2">
        <v>22531</v>
      </c>
      <c r="N505">
        <v>0.42</v>
      </c>
      <c r="O505" s="6">
        <v>1</v>
      </c>
      <c r="P505" s="3">
        <v>0.2</v>
      </c>
      <c r="Q505" t="s">
        <v>3</v>
      </c>
      <c r="R505" s="7">
        <f t="shared" si="21"/>
        <v>0.42</v>
      </c>
      <c r="S505" s="7">
        <f t="shared" si="22"/>
        <v>8.4000000000000005E-2</v>
      </c>
      <c r="T505">
        <f>Table1[[#This Row],[Total price]]-Table1[[#This Row],[Discount Amount]]</f>
        <v>0.33599999999999997</v>
      </c>
      <c r="U505">
        <f t="shared" si="23"/>
        <v>0.33599999999999997</v>
      </c>
    </row>
    <row r="506" spans="1:21">
      <c r="A506">
        <v>505</v>
      </c>
      <c r="B506" s="3" t="s">
        <v>2325</v>
      </c>
      <c r="C506" s="3" t="s">
        <v>2324</v>
      </c>
      <c r="D506" s="3" t="s">
        <v>2866</v>
      </c>
      <c r="E506" s="3" t="s">
        <v>3430</v>
      </c>
      <c r="F506" s="3">
        <v>179</v>
      </c>
      <c r="G506" s="4">
        <v>40878.489583333336</v>
      </c>
      <c r="H506" s="3">
        <v>4</v>
      </c>
      <c r="I506" s="5">
        <v>20</v>
      </c>
      <c r="J506" t="s">
        <v>230</v>
      </c>
      <c r="K506" t="s">
        <v>4497</v>
      </c>
      <c r="L506">
        <v>536409</v>
      </c>
      <c r="M506" s="2">
        <v>21811</v>
      </c>
      <c r="N506">
        <v>1.25</v>
      </c>
      <c r="O506" s="6">
        <v>1</v>
      </c>
      <c r="P506" s="3">
        <v>0.1</v>
      </c>
      <c r="Q506" t="s">
        <v>3</v>
      </c>
      <c r="R506" s="7">
        <f t="shared" si="21"/>
        <v>1.25</v>
      </c>
      <c r="S506" s="7">
        <f t="shared" si="22"/>
        <v>0.125</v>
      </c>
      <c r="T506">
        <f>Table1[[#This Row],[Total price]]-Table1[[#This Row],[Discount Amount]]</f>
        <v>1.125</v>
      </c>
      <c r="U506">
        <f t="shared" si="23"/>
        <v>1.125</v>
      </c>
    </row>
    <row r="507" spans="1:21">
      <c r="A507">
        <v>506</v>
      </c>
      <c r="B507" s="3" t="s">
        <v>2323</v>
      </c>
      <c r="C507" s="3" t="s">
        <v>1772</v>
      </c>
      <c r="D507" s="3" t="s">
        <v>2866</v>
      </c>
      <c r="E507" s="3" t="s">
        <v>3431</v>
      </c>
      <c r="F507" s="3">
        <v>180</v>
      </c>
      <c r="G507" s="4">
        <v>40878.489583333336</v>
      </c>
      <c r="H507" s="3">
        <v>4</v>
      </c>
      <c r="I507" s="5">
        <v>16</v>
      </c>
      <c r="J507" t="s">
        <v>120</v>
      </c>
      <c r="K507" t="s">
        <v>4497</v>
      </c>
      <c r="L507">
        <v>536409</v>
      </c>
      <c r="M507" s="2">
        <v>22183</v>
      </c>
      <c r="N507">
        <v>6.75</v>
      </c>
      <c r="O507" s="6">
        <v>1</v>
      </c>
      <c r="P507" s="3">
        <v>7.0000000000000007E-2</v>
      </c>
      <c r="Q507" t="s">
        <v>3</v>
      </c>
      <c r="R507" s="7">
        <f t="shared" si="21"/>
        <v>6.75</v>
      </c>
      <c r="S507" s="7">
        <f t="shared" si="22"/>
        <v>0.47250000000000003</v>
      </c>
      <c r="T507">
        <f>Table1[[#This Row],[Total price]]-Table1[[#This Row],[Discount Amount]]</f>
        <v>6.2774999999999999</v>
      </c>
      <c r="U507">
        <f t="shared" si="23"/>
        <v>6.2774999999999999</v>
      </c>
    </row>
    <row r="508" spans="1:21">
      <c r="A508">
        <v>507</v>
      </c>
      <c r="B508" s="3" t="s">
        <v>1393</v>
      </c>
      <c r="C508" s="3" t="s">
        <v>1400</v>
      </c>
      <c r="D508" s="3" t="s">
        <v>2866</v>
      </c>
      <c r="E508" s="3" t="s">
        <v>3432</v>
      </c>
      <c r="F508" s="3">
        <v>181</v>
      </c>
      <c r="G508" s="4">
        <v>40878.489583333336</v>
      </c>
      <c r="H508" s="3">
        <v>4</v>
      </c>
      <c r="I508" s="5">
        <v>10</v>
      </c>
      <c r="J508" t="s">
        <v>822</v>
      </c>
      <c r="K508" t="s">
        <v>4497</v>
      </c>
      <c r="L508">
        <v>536409</v>
      </c>
      <c r="M508" s="2">
        <v>21678</v>
      </c>
      <c r="N508">
        <v>0.85</v>
      </c>
      <c r="O508" s="6">
        <v>6</v>
      </c>
      <c r="P508" s="3">
        <v>0.05</v>
      </c>
      <c r="Q508" t="s">
        <v>3</v>
      </c>
      <c r="R508" s="7">
        <f t="shared" si="21"/>
        <v>5.0999999999999996</v>
      </c>
      <c r="S508" s="7">
        <f t="shared" si="22"/>
        <v>0.255</v>
      </c>
      <c r="T508">
        <f>Table1[[#This Row],[Total price]]-Table1[[#This Row],[Discount Amount]]</f>
        <v>4.8449999999999998</v>
      </c>
      <c r="U508">
        <f t="shared" si="23"/>
        <v>29.07</v>
      </c>
    </row>
    <row r="509" spans="1:21">
      <c r="A509">
        <v>508</v>
      </c>
      <c r="B509" s="3" t="s">
        <v>2322</v>
      </c>
      <c r="C509" s="3" t="s">
        <v>2171</v>
      </c>
      <c r="D509" s="3" t="s">
        <v>3433</v>
      </c>
      <c r="E509" s="3" t="s">
        <v>3434</v>
      </c>
      <c r="F509" s="3">
        <v>181</v>
      </c>
      <c r="G509" s="4">
        <v>40878.489583333336</v>
      </c>
      <c r="H509" s="3">
        <v>4</v>
      </c>
      <c r="I509" s="5">
        <v>11</v>
      </c>
      <c r="J509" t="s">
        <v>747</v>
      </c>
      <c r="K509" t="s">
        <v>4497</v>
      </c>
      <c r="L509">
        <v>536409</v>
      </c>
      <c r="M509" s="2">
        <v>21676</v>
      </c>
      <c r="N509">
        <v>0.85</v>
      </c>
      <c r="O509" s="6">
        <v>6</v>
      </c>
      <c r="P509" s="3">
        <v>0.1</v>
      </c>
      <c r="Q509" t="s">
        <v>3</v>
      </c>
      <c r="R509" s="7">
        <f t="shared" si="21"/>
        <v>5.0999999999999996</v>
      </c>
      <c r="S509" s="7">
        <f t="shared" si="22"/>
        <v>0.51</v>
      </c>
      <c r="T509">
        <f>Table1[[#This Row],[Total price]]-Table1[[#This Row],[Discount Amount]]</f>
        <v>4.59</v>
      </c>
      <c r="U509">
        <f t="shared" si="23"/>
        <v>27.54</v>
      </c>
    </row>
    <row r="510" spans="1:21">
      <c r="A510">
        <v>509</v>
      </c>
      <c r="B510" s="3" t="s">
        <v>2321</v>
      </c>
      <c r="C510" s="3" t="s">
        <v>1424</v>
      </c>
      <c r="D510" s="3" t="s">
        <v>2866</v>
      </c>
      <c r="E510" s="3" t="s">
        <v>3435</v>
      </c>
      <c r="F510" s="3">
        <v>181</v>
      </c>
      <c r="G510" s="4">
        <v>40878.489583333336</v>
      </c>
      <c r="H510" s="3">
        <v>4</v>
      </c>
      <c r="I510" s="5">
        <v>15</v>
      </c>
      <c r="J510" t="s">
        <v>743</v>
      </c>
      <c r="K510" t="s">
        <v>4497</v>
      </c>
      <c r="L510">
        <v>536409</v>
      </c>
      <c r="M510" s="2" t="s">
        <v>742</v>
      </c>
      <c r="N510">
        <v>2.95</v>
      </c>
      <c r="O510" s="6">
        <v>1</v>
      </c>
      <c r="P510" s="3">
        <v>0.2</v>
      </c>
      <c r="Q510" t="s">
        <v>3</v>
      </c>
      <c r="R510" s="7">
        <f t="shared" si="21"/>
        <v>2.95</v>
      </c>
      <c r="S510" s="7">
        <f t="shared" si="22"/>
        <v>0.59000000000000008</v>
      </c>
      <c r="T510">
        <f>Table1[[#This Row],[Total price]]-Table1[[#This Row],[Discount Amount]]</f>
        <v>2.3600000000000003</v>
      </c>
      <c r="U510">
        <f t="shared" si="23"/>
        <v>2.3600000000000003</v>
      </c>
    </row>
    <row r="511" spans="1:21">
      <c r="A511">
        <v>510</v>
      </c>
      <c r="B511" s="3" t="s">
        <v>2320</v>
      </c>
      <c r="C511" s="3" t="s">
        <v>2319</v>
      </c>
      <c r="D511" s="3" t="s">
        <v>2866</v>
      </c>
      <c r="E511" s="3" t="s">
        <v>3436</v>
      </c>
      <c r="F511" s="3">
        <v>181</v>
      </c>
      <c r="G511" s="4">
        <v>40878.489583333336</v>
      </c>
      <c r="H511" s="3">
        <v>4</v>
      </c>
      <c r="I511" s="5">
        <v>24</v>
      </c>
      <c r="J511" t="s">
        <v>796</v>
      </c>
      <c r="K511" t="s">
        <v>4497</v>
      </c>
      <c r="L511">
        <v>536409</v>
      </c>
      <c r="M511" s="2" t="s">
        <v>795</v>
      </c>
      <c r="N511">
        <v>2.95</v>
      </c>
      <c r="O511" s="6">
        <v>3</v>
      </c>
      <c r="P511" s="3">
        <v>0.05</v>
      </c>
      <c r="Q511" t="s">
        <v>3</v>
      </c>
      <c r="R511" s="7">
        <f t="shared" si="21"/>
        <v>8.8500000000000014</v>
      </c>
      <c r="S511" s="7">
        <f t="shared" si="22"/>
        <v>0.44250000000000012</v>
      </c>
      <c r="T511">
        <f>Table1[[#This Row],[Total price]]-Table1[[#This Row],[Discount Amount]]</f>
        <v>8.4075000000000006</v>
      </c>
      <c r="U511">
        <f t="shared" si="23"/>
        <v>25.222500000000004</v>
      </c>
    </row>
    <row r="512" spans="1:21">
      <c r="A512">
        <v>511</v>
      </c>
      <c r="B512" s="3" t="s">
        <v>2318</v>
      </c>
      <c r="C512" s="3" t="s">
        <v>975</v>
      </c>
      <c r="D512" s="3" t="s">
        <v>3437</v>
      </c>
      <c r="E512" s="3" t="s">
        <v>3438</v>
      </c>
      <c r="F512" s="3">
        <v>182</v>
      </c>
      <c r="G512" s="4">
        <v>40878.489583333336</v>
      </c>
      <c r="H512" s="3">
        <v>4</v>
      </c>
      <c r="I512" s="5">
        <v>25</v>
      </c>
      <c r="J512" t="s">
        <v>342</v>
      </c>
      <c r="K512" t="s">
        <v>4497</v>
      </c>
      <c r="L512">
        <v>536409</v>
      </c>
      <c r="M512" s="2">
        <v>21931</v>
      </c>
      <c r="N512">
        <v>1.95</v>
      </c>
      <c r="O512" s="6">
        <v>2</v>
      </c>
      <c r="P512" s="3">
        <v>0.05</v>
      </c>
      <c r="Q512" t="s">
        <v>3</v>
      </c>
      <c r="R512" s="7">
        <f t="shared" si="21"/>
        <v>3.9</v>
      </c>
      <c r="S512" s="7">
        <f t="shared" si="22"/>
        <v>0.19500000000000001</v>
      </c>
      <c r="T512">
        <f>Table1[[#This Row],[Total price]]-Table1[[#This Row],[Discount Amount]]</f>
        <v>3.7050000000000001</v>
      </c>
      <c r="U512">
        <f t="shared" si="23"/>
        <v>7.41</v>
      </c>
    </row>
    <row r="513" spans="1:21">
      <c r="A513">
        <v>512</v>
      </c>
      <c r="B513" s="3" t="s">
        <v>2317</v>
      </c>
      <c r="C513" s="3" t="s">
        <v>2007</v>
      </c>
      <c r="D513" s="3" t="s">
        <v>2866</v>
      </c>
      <c r="E513" s="3" t="s">
        <v>3439</v>
      </c>
      <c r="F513" s="3">
        <v>182</v>
      </c>
      <c r="G513" s="4">
        <v>40878.489583333336</v>
      </c>
      <c r="H513" s="3">
        <v>4</v>
      </c>
      <c r="I513" s="5">
        <v>24</v>
      </c>
      <c r="J513" t="s">
        <v>681</v>
      </c>
      <c r="K513" t="s">
        <v>4497</v>
      </c>
      <c r="L513">
        <v>536409</v>
      </c>
      <c r="M513" s="2" t="s">
        <v>680</v>
      </c>
      <c r="N513">
        <v>1.25</v>
      </c>
      <c r="O513" s="6">
        <v>12</v>
      </c>
      <c r="P513" s="3">
        <v>7.0000000000000007E-2</v>
      </c>
      <c r="Q513" t="s">
        <v>3</v>
      </c>
      <c r="R513" s="7">
        <f t="shared" si="21"/>
        <v>15</v>
      </c>
      <c r="S513" s="7">
        <f t="shared" si="22"/>
        <v>1.05</v>
      </c>
      <c r="T513">
        <f>Table1[[#This Row],[Total price]]-Table1[[#This Row],[Discount Amount]]</f>
        <v>13.95</v>
      </c>
      <c r="U513">
        <f t="shared" si="23"/>
        <v>167.39999999999998</v>
      </c>
    </row>
    <row r="514" spans="1:21">
      <c r="A514">
        <v>513</v>
      </c>
      <c r="B514" s="3" t="s">
        <v>2316</v>
      </c>
      <c r="C514" s="3" t="s">
        <v>2315</v>
      </c>
      <c r="D514" s="3" t="s">
        <v>2866</v>
      </c>
      <c r="E514" s="3" t="s">
        <v>3440</v>
      </c>
      <c r="F514" s="3">
        <v>183</v>
      </c>
      <c r="G514" s="4">
        <v>40878.489583333336</v>
      </c>
      <c r="H514" s="3">
        <v>4</v>
      </c>
      <c r="I514" s="5">
        <v>11</v>
      </c>
      <c r="J514" t="s">
        <v>739</v>
      </c>
      <c r="K514" t="s">
        <v>4497</v>
      </c>
      <c r="L514">
        <v>536409</v>
      </c>
      <c r="M514" s="2">
        <v>16238</v>
      </c>
      <c r="N514">
        <v>0.21</v>
      </c>
      <c r="O514" s="6">
        <v>28</v>
      </c>
      <c r="P514" s="3">
        <v>0.2</v>
      </c>
      <c r="Q514" t="s">
        <v>3</v>
      </c>
      <c r="R514" s="7">
        <f t="shared" si="21"/>
        <v>5.88</v>
      </c>
      <c r="S514" s="7">
        <f t="shared" si="22"/>
        <v>1.1759999999999999</v>
      </c>
      <c r="T514">
        <f>Table1[[#This Row],[Total price]]-Table1[[#This Row],[Discount Amount]]</f>
        <v>4.7039999999999997</v>
      </c>
      <c r="U514">
        <f t="shared" si="23"/>
        <v>131.71199999999999</v>
      </c>
    </row>
    <row r="515" spans="1:21">
      <c r="A515">
        <v>514</v>
      </c>
      <c r="B515" s="3" t="s">
        <v>2314</v>
      </c>
      <c r="C515" s="3" t="s">
        <v>2313</v>
      </c>
      <c r="D515" s="3" t="s">
        <v>2866</v>
      </c>
      <c r="E515" s="3" t="s">
        <v>3441</v>
      </c>
      <c r="F515" s="3">
        <v>183</v>
      </c>
      <c r="G515" s="4">
        <v>40878.489583333336</v>
      </c>
      <c r="H515" s="3">
        <v>4</v>
      </c>
      <c r="I515" s="5">
        <v>12</v>
      </c>
      <c r="J515" t="s">
        <v>542</v>
      </c>
      <c r="K515" t="s">
        <v>4497</v>
      </c>
      <c r="L515">
        <v>536409</v>
      </c>
      <c r="M515" s="2">
        <v>20668</v>
      </c>
      <c r="N515">
        <v>0.12</v>
      </c>
      <c r="O515" s="6">
        <v>24</v>
      </c>
      <c r="P515" s="3">
        <v>0.05</v>
      </c>
      <c r="Q515" t="s">
        <v>3</v>
      </c>
      <c r="R515" s="7">
        <f t="shared" ref="R515:R578" si="24">N515*O515</f>
        <v>2.88</v>
      </c>
      <c r="S515" s="7">
        <f t="shared" ref="S515:S578" si="25">R515*P515</f>
        <v>0.14399999999999999</v>
      </c>
      <c r="T515">
        <f>Table1[[#This Row],[Total price]]-Table1[[#This Row],[Discount Amount]]</f>
        <v>2.7359999999999998</v>
      </c>
      <c r="U515">
        <f t="shared" ref="U515:U578" si="26">T515*O515</f>
        <v>65.663999999999987</v>
      </c>
    </row>
    <row r="516" spans="1:21">
      <c r="A516">
        <v>515</v>
      </c>
      <c r="B516" s="3" t="s">
        <v>2312</v>
      </c>
      <c r="C516" s="3" t="s">
        <v>2206</v>
      </c>
      <c r="D516" s="3" t="s">
        <v>2866</v>
      </c>
      <c r="E516" s="3" t="s">
        <v>3442</v>
      </c>
      <c r="F516" s="3">
        <v>183</v>
      </c>
      <c r="G516" s="4">
        <v>40878.489583333336</v>
      </c>
      <c r="H516" s="3">
        <v>4</v>
      </c>
      <c r="I516" s="5">
        <v>19</v>
      </c>
      <c r="J516" t="s">
        <v>821</v>
      </c>
      <c r="K516" t="s">
        <v>4497</v>
      </c>
      <c r="L516">
        <v>536409</v>
      </c>
      <c r="M516" s="2">
        <v>84906</v>
      </c>
      <c r="N516">
        <v>5.95</v>
      </c>
      <c r="O516" s="6">
        <v>1</v>
      </c>
      <c r="P516" s="3">
        <v>7.0000000000000007E-2</v>
      </c>
      <c r="Q516" t="s">
        <v>3</v>
      </c>
      <c r="R516" s="7">
        <f t="shared" si="24"/>
        <v>5.95</v>
      </c>
      <c r="S516" s="7">
        <f t="shared" si="25"/>
        <v>0.41650000000000004</v>
      </c>
      <c r="T516">
        <f>Table1[[#This Row],[Total price]]-Table1[[#This Row],[Discount Amount]]</f>
        <v>5.5335000000000001</v>
      </c>
      <c r="U516">
        <f t="shared" si="26"/>
        <v>5.5335000000000001</v>
      </c>
    </row>
    <row r="517" spans="1:21">
      <c r="A517">
        <v>516</v>
      </c>
      <c r="B517" s="3" t="s">
        <v>1433</v>
      </c>
      <c r="C517" s="3" t="s">
        <v>1177</v>
      </c>
      <c r="D517" s="3" t="s">
        <v>2866</v>
      </c>
      <c r="E517" s="3" t="s">
        <v>3443</v>
      </c>
      <c r="F517" s="3">
        <v>183</v>
      </c>
      <c r="G517" s="4">
        <v>40878.489583333336</v>
      </c>
      <c r="H517" s="3">
        <v>4</v>
      </c>
      <c r="I517" s="5">
        <v>17</v>
      </c>
      <c r="J517" t="s">
        <v>802</v>
      </c>
      <c r="K517" t="s">
        <v>4497</v>
      </c>
      <c r="L517">
        <v>536409</v>
      </c>
      <c r="M517" s="2">
        <v>21867</v>
      </c>
      <c r="N517">
        <v>1.25</v>
      </c>
      <c r="O517" s="6">
        <v>1</v>
      </c>
      <c r="P517" s="3">
        <v>7.0000000000000007E-2</v>
      </c>
      <c r="Q517" t="s">
        <v>3</v>
      </c>
      <c r="R517" s="7">
        <f t="shared" si="24"/>
        <v>1.25</v>
      </c>
      <c r="S517" s="7">
        <f t="shared" si="25"/>
        <v>8.7500000000000008E-2</v>
      </c>
      <c r="T517">
        <f>Table1[[#This Row],[Total price]]-Table1[[#This Row],[Discount Amount]]</f>
        <v>1.1625000000000001</v>
      </c>
      <c r="U517">
        <f t="shared" si="26"/>
        <v>1.1625000000000001</v>
      </c>
    </row>
    <row r="518" spans="1:21">
      <c r="A518">
        <v>517</v>
      </c>
      <c r="B518" s="3" t="s">
        <v>2311</v>
      </c>
      <c r="C518" s="3" t="s">
        <v>1161</v>
      </c>
      <c r="D518" s="3" t="s">
        <v>2866</v>
      </c>
      <c r="E518" s="3" t="s">
        <v>3444</v>
      </c>
      <c r="F518" s="3">
        <v>184</v>
      </c>
      <c r="G518" s="4">
        <v>40878.489583333336</v>
      </c>
      <c r="H518" s="3">
        <v>4</v>
      </c>
      <c r="I518" s="5">
        <v>4</v>
      </c>
      <c r="J518" t="s">
        <v>552</v>
      </c>
      <c r="K518" t="s">
        <v>4497</v>
      </c>
      <c r="L518">
        <v>536409</v>
      </c>
      <c r="M518" s="2">
        <v>22075</v>
      </c>
      <c r="N518">
        <v>1.65</v>
      </c>
      <c r="O518" s="6">
        <v>1</v>
      </c>
      <c r="P518" s="3">
        <v>0.2</v>
      </c>
      <c r="Q518" t="s">
        <v>3</v>
      </c>
      <c r="R518" s="7">
        <f t="shared" si="24"/>
        <v>1.65</v>
      </c>
      <c r="S518" s="7">
        <f t="shared" si="25"/>
        <v>0.33</v>
      </c>
      <c r="T518">
        <f>Table1[[#This Row],[Total price]]-Table1[[#This Row],[Discount Amount]]</f>
        <v>1.3199999999999998</v>
      </c>
      <c r="U518">
        <f t="shared" si="26"/>
        <v>1.3199999999999998</v>
      </c>
    </row>
    <row r="519" spans="1:21">
      <c r="A519">
        <v>518</v>
      </c>
      <c r="B519" s="3" t="s">
        <v>2310</v>
      </c>
      <c r="C519" s="3" t="s">
        <v>2309</v>
      </c>
      <c r="D519" s="3" t="s">
        <v>2866</v>
      </c>
      <c r="E519" s="3" t="s">
        <v>3445</v>
      </c>
      <c r="F519" s="3">
        <v>184</v>
      </c>
      <c r="G519" s="4">
        <v>40878.489583333336</v>
      </c>
      <c r="H519" s="3">
        <v>4</v>
      </c>
      <c r="I519" s="5">
        <v>5</v>
      </c>
      <c r="J519" t="s">
        <v>362</v>
      </c>
      <c r="K519" t="s">
        <v>4497</v>
      </c>
      <c r="L519">
        <v>536409</v>
      </c>
      <c r="M519" s="2">
        <v>21866</v>
      </c>
      <c r="N519">
        <v>1.25</v>
      </c>
      <c r="O519" s="6">
        <v>1</v>
      </c>
      <c r="P519" s="3">
        <v>0.1</v>
      </c>
      <c r="Q519" t="s">
        <v>3</v>
      </c>
      <c r="R519" s="7">
        <f t="shared" si="24"/>
        <v>1.25</v>
      </c>
      <c r="S519" s="7">
        <f t="shared" si="25"/>
        <v>0.125</v>
      </c>
      <c r="T519">
        <f>Table1[[#This Row],[Total price]]-Table1[[#This Row],[Discount Amount]]</f>
        <v>1.125</v>
      </c>
      <c r="U519">
        <f t="shared" si="26"/>
        <v>1.125</v>
      </c>
    </row>
    <row r="520" spans="1:21">
      <c r="A520">
        <v>519</v>
      </c>
      <c r="B520" s="3" t="s">
        <v>2218</v>
      </c>
      <c r="C520" s="3" t="s">
        <v>1066</v>
      </c>
      <c r="D520" s="3" t="s">
        <v>2866</v>
      </c>
      <c r="E520" s="3" t="s">
        <v>3446</v>
      </c>
      <c r="F520" s="3">
        <v>184</v>
      </c>
      <c r="G520" s="4">
        <v>40878.489583333336</v>
      </c>
      <c r="H520" s="3">
        <v>4</v>
      </c>
      <c r="I520" s="5">
        <v>14</v>
      </c>
      <c r="J520" t="s">
        <v>733</v>
      </c>
      <c r="K520" t="s">
        <v>4497</v>
      </c>
      <c r="L520">
        <v>536409</v>
      </c>
      <c r="M520" s="2">
        <v>21326</v>
      </c>
      <c r="N520">
        <v>0.65</v>
      </c>
      <c r="O520" s="6">
        <v>12</v>
      </c>
      <c r="P520" s="3">
        <v>0.1</v>
      </c>
      <c r="Q520" t="s">
        <v>3</v>
      </c>
      <c r="R520" s="7">
        <f t="shared" si="24"/>
        <v>7.8000000000000007</v>
      </c>
      <c r="S520" s="7">
        <f t="shared" si="25"/>
        <v>0.78000000000000014</v>
      </c>
      <c r="T520">
        <f>Table1[[#This Row],[Total price]]-Table1[[#This Row],[Discount Amount]]</f>
        <v>7.0200000000000005</v>
      </c>
      <c r="U520">
        <f t="shared" si="26"/>
        <v>84.240000000000009</v>
      </c>
    </row>
    <row r="521" spans="1:21">
      <c r="A521">
        <v>520</v>
      </c>
      <c r="B521" s="3" t="s">
        <v>2302</v>
      </c>
      <c r="C521" s="3" t="s">
        <v>2308</v>
      </c>
      <c r="D521" s="3" t="s">
        <v>2866</v>
      </c>
      <c r="E521" s="3" t="s">
        <v>3447</v>
      </c>
      <c r="F521" s="3">
        <v>185</v>
      </c>
      <c r="G521" s="4">
        <v>40878.489583333336</v>
      </c>
      <c r="H521" s="3">
        <v>4</v>
      </c>
      <c r="I521" s="5">
        <v>20</v>
      </c>
      <c r="J521" t="s">
        <v>817</v>
      </c>
      <c r="K521" t="s">
        <v>4497</v>
      </c>
      <c r="L521">
        <v>536409</v>
      </c>
      <c r="M521" s="2">
        <v>21065</v>
      </c>
      <c r="N521">
        <v>5.95</v>
      </c>
      <c r="O521" s="6">
        <v>1</v>
      </c>
      <c r="P521" s="3">
        <v>0.1</v>
      </c>
      <c r="Q521" t="s">
        <v>3</v>
      </c>
      <c r="R521" s="7">
        <f t="shared" si="24"/>
        <v>5.95</v>
      </c>
      <c r="S521" s="7">
        <f t="shared" si="25"/>
        <v>0.59500000000000008</v>
      </c>
      <c r="T521">
        <f>Table1[[#This Row],[Total price]]-Table1[[#This Row],[Discount Amount]]</f>
        <v>5.3550000000000004</v>
      </c>
      <c r="U521">
        <f t="shared" si="26"/>
        <v>5.3550000000000004</v>
      </c>
    </row>
    <row r="522" spans="1:21">
      <c r="A522">
        <v>521</v>
      </c>
      <c r="B522" s="3" t="s">
        <v>2307</v>
      </c>
      <c r="C522" s="3" t="s">
        <v>2306</v>
      </c>
      <c r="D522" s="3" t="s">
        <v>2866</v>
      </c>
      <c r="E522" s="3" t="s">
        <v>3448</v>
      </c>
      <c r="F522" s="3">
        <v>185</v>
      </c>
      <c r="G522" s="4">
        <v>40878.489583333336</v>
      </c>
      <c r="H522" s="3">
        <v>4</v>
      </c>
      <c r="I522" s="5">
        <v>8</v>
      </c>
      <c r="J522" t="s">
        <v>563</v>
      </c>
      <c r="K522" t="s">
        <v>4497</v>
      </c>
      <c r="L522">
        <v>536409</v>
      </c>
      <c r="M522" s="2">
        <v>22074</v>
      </c>
      <c r="N522">
        <v>1.65</v>
      </c>
      <c r="O522" s="6">
        <v>1</v>
      </c>
      <c r="P522" s="3">
        <v>0.05</v>
      </c>
      <c r="Q522" t="s">
        <v>3</v>
      </c>
      <c r="R522" s="7">
        <f t="shared" si="24"/>
        <v>1.65</v>
      </c>
      <c r="S522" s="7">
        <f t="shared" si="25"/>
        <v>8.2500000000000004E-2</v>
      </c>
      <c r="T522">
        <f>Table1[[#This Row],[Total price]]-Table1[[#This Row],[Discount Amount]]</f>
        <v>1.5674999999999999</v>
      </c>
      <c r="U522">
        <f t="shared" si="26"/>
        <v>1.5674999999999999</v>
      </c>
    </row>
    <row r="523" spans="1:21">
      <c r="A523">
        <v>522</v>
      </c>
      <c r="B523" s="3" t="s">
        <v>2305</v>
      </c>
      <c r="C523" s="3" t="s">
        <v>2304</v>
      </c>
      <c r="D523" s="3" t="s">
        <v>3449</v>
      </c>
      <c r="E523" s="3" t="s">
        <v>3450</v>
      </c>
      <c r="F523" s="3">
        <v>186</v>
      </c>
      <c r="G523" s="4">
        <v>40878.489583333336</v>
      </c>
      <c r="H523" s="3">
        <v>4</v>
      </c>
      <c r="I523" s="5">
        <v>4</v>
      </c>
      <c r="J523" t="s">
        <v>513</v>
      </c>
      <c r="K523" t="s">
        <v>4497</v>
      </c>
      <c r="L523">
        <v>536409</v>
      </c>
      <c r="M523" s="2">
        <v>22900</v>
      </c>
      <c r="N523">
        <v>2.95</v>
      </c>
      <c r="O523" s="6">
        <v>1</v>
      </c>
      <c r="P523" s="3">
        <v>0.1</v>
      </c>
      <c r="Q523" t="s">
        <v>3</v>
      </c>
      <c r="R523" s="7">
        <f t="shared" si="24"/>
        <v>2.95</v>
      </c>
      <c r="S523" s="7">
        <f t="shared" si="25"/>
        <v>0.29500000000000004</v>
      </c>
      <c r="T523">
        <f>Table1[[#This Row],[Total price]]-Table1[[#This Row],[Discount Amount]]</f>
        <v>2.6550000000000002</v>
      </c>
      <c r="U523">
        <f t="shared" si="26"/>
        <v>2.6550000000000002</v>
      </c>
    </row>
    <row r="524" spans="1:21">
      <c r="A524">
        <v>523</v>
      </c>
      <c r="B524" s="3" t="s">
        <v>1286</v>
      </c>
      <c r="C524" s="3" t="s">
        <v>1508</v>
      </c>
      <c r="D524" s="3" t="s">
        <v>2866</v>
      </c>
      <c r="E524" s="3" t="s">
        <v>3451</v>
      </c>
      <c r="F524" s="3">
        <v>186</v>
      </c>
      <c r="G524" s="4">
        <v>40878.489583333336</v>
      </c>
      <c r="H524" s="3">
        <v>4</v>
      </c>
      <c r="I524" s="5">
        <v>6</v>
      </c>
      <c r="J524" t="s">
        <v>356</v>
      </c>
      <c r="K524" t="s">
        <v>4497</v>
      </c>
      <c r="L524">
        <v>536409</v>
      </c>
      <c r="M524" s="2">
        <v>20713</v>
      </c>
      <c r="N524">
        <v>1.95</v>
      </c>
      <c r="O524" s="6">
        <v>1</v>
      </c>
      <c r="P524" s="3">
        <v>0.1</v>
      </c>
      <c r="Q524" t="s">
        <v>3</v>
      </c>
      <c r="R524" s="7">
        <f t="shared" si="24"/>
        <v>1.95</v>
      </c>
      <c r="S524" s="7">
        <f t="shared" si="25"/>
        <v>0.19500000000000001</v>
      </c>
      <c r="T524">
        <f>Table1[[#This Row],[Total price]]-Table1[[#This Row],[Discount Amount]]</f>
        <v>1.7549999999999999</v>
      </c>
      <c r="U524">
        <f t="shared" si="26"/>
        <v>1.7549999999999999</v>
      </c>
    </row>
    <row r="525" spans="1:21">
      <c r="A525">
        <v>524</v>
      </c>
      <c r="B525" s="3" t="s">
        <v>2303</v>
      </c>
      <c r="C525" s="3" t="s">
        <v>1957</v>
      </c>
      <c r="D525" s="3" t="s">
        <v>2866</v>
      </c>
      <c r="E525" s="3" t="s">
        <v>3452</v>
      </c>
      <c r="F525" s="3">
        <v>187</v>
      </c>
      <c r="G525" s="4">
        <v>40878.489583333336</v>
      </c>
      <c r="H525" s="3">
        <v>4</v>
      </c>
      <c r="I525" s="5">
        <v>5</v>
      </c>
      <c r="J525" t="s">
        <v>511</v>
      </c>
      <c r="K525" t="s">
        <v>4497</v>
      </c>
      <c r="L525">
        <v>536409</v>
      </c>
      <c r="M525" s="2">
        <v>20966</v>
      </c>
      <c r="N525">
        <v>1.25</v>
      </c>
      <c r="O525" s="6">
        <v>2</v>
      </c>
      <c r="P525" s="3">
        <v>0.05</v>
      </c>
      <c r="Q525" t="s">
        <v>3</v>
      </c>
      <c r="R525" s="7">
        <f t="shared" si="24"/>
        <v>2.5</v>
      </c>
      <c r="S525" s="7">
        <f t="shared" si="25"/>
        <v>0.125</v>
      </c>
      <c r="T525">
        <f>Table1[[#This Row],[Total price]]-Table1[[#This Row],[Discount Amount]]</f>
        <v>2.375</v>
      </c>
      <c r="U525">
        <f t="shared" si="26"/>
        <v>4.75</v>
      </c>
    </row>
    <row r="526" spans="1:21">
      <c r="A526">
        <v>525</v>
      </c>
      <c r="B526" s="3" t="s">
        <v>2302</v>
      </c>
      <c r="C526" s="3" t="s">
        <v>2301</v>
      </c>
      <c r="D526" s="3" t="s">
        <v>2866</v>
      </c>
      <c r="E526" s="3" t="s">
        <v>3453</v>
      </c>
      <c r="F526" s="3">
        <v>188</v>
      </c>
      <c r="G526" s="4">
        <v>40878.489583333336</v>
      </c>
      <c r="H526" s="3">
        <v>4</v>
      </c>
      <c r="I526" s="5">
        <v>7</v>
      </c>
      <c r="J526" t="s">
        <v>554</v>
      </c>
      <c r="K526" t="s">
        <v>4497</v>
      </c>
      <c r="L526">
        <v>536409</v>
      </c>
      <c r="M526" s="2">
        <v>21116</v>
      </c>
      <c r="N526">
        <v>4.95</v>
      </c>
      <c r="O526" s="6">
        <v>1</v>
      </c>
      <c r="P526" s="3">
        <v>7.0000000000000007E-2</v>
      </c>
      <c r="Q526" t="s">
        <v>3</v>
      </c>
      <c r="R526" s="7">
        <f t="shared" si="24"/>
        <v>4.95</v>
      </c>
      <c r="S526" s="7">
        <f t="shared" si="25"/>
        <v>0.34650000000000003</v>
      </c>
      <c r="T526">
        <f>Table1[[#This Row],[Total price]]-Table1[[#This Row],[Discount Amount]]</f>
        <v>4.6035000000000004</v>
      </c>
      <c r="U526">
        <f t="shared" si="26"/>
        <v>4.6035000000000004</v>
      </c>
    </row>
    <row r="527" spans="1:21">
      <c r="A527">
        <v>526</v>
      </c>
      <c r="B527" s="3" t="s">
        <v>2300</v>
      </c>
      <c r="C527" s="3" t="s">
        <v>2217</v>
      </c>
      <c r="D527" s="3" t="s">
        <v>2866</v>
      </c>
      <c r="E527" s="3" t="s">
        <v>3454</v>
      </c>
      <c r="F527" s="3">
        <v>189</v>
      </c>
      <c r="G527" s="4">
        <v>40878.489583333336</v>
      </c>
      <c r="H527" s="3">
        <v>4</v>
      </c>
      <c r="I527" s="5">
        <v>16</v>
      </c>
      <c r="J527" t="s">
        <v>806</v>
      </c>
      <c r="K527" t="s">
        <v>4497</v>
      </c>
      <c r="L527">
        <v>536409</v>
      </c>
      <c r="M527" s="2" t="s">
        <v>805</v>
      </c>
      <c r="N527">
        <v>6.35</v>
      </c>
      <c r="O527" s="6">
        <v>2</v>
      </c>
      <c r="P527" s="3">
        <v>0.2</v>
      </c>
      <c r="Q527" t="s">
        <v>3</v>
      </c>
      <c r="R527" s="7">
        <f t="shared" si="24"/>
        <v>12.7</v>
      </c>
      <c r="S527" s="7">
        <f t="shared" si="25"/>
        <v>2.54</v>
      </c>
      <c r="T527">
        <f>Table1[[#This Row],[Total price]]-Table1[[#This Row],[Discount Amount]]</f>
        <v>10.16</v>
      </c>
      <c r="U527">
        <f t="shared" si="26"/>
        <v>20.32</v>
      </c>
    </row>
    <row r="528" spans="1:21">
      <c r="A528">
        <v>527</v>
      </c>
      <c r="B528" s="3" t="s">
        <v>2299</v>
      </c>
      <c r="C528" s="3" t="s">
        <v>1611</v>
      </c>
      <c r="D528" s="3" t="s">
        <v>2866</v>
      </c>
      <c r="E528" s="3" t="s">
        <v>3455</v>
      </c>
      <c r="F528" s="3">
        <v>190</v>
      </c>
      <c r="G528" s="4">
        <v>40878.489583333336</v>
      </c>
      <c r="H528" s="3">
        <v>4</v>
      </c>
      <c r="I528" s="5">
        <v>24</v>
      </c>
      <c r="J528" t="s">
        <v>28</v>
      </c>
      <c r="K528" t="s">
        <v>4497</v>
      </c>
      <c r="L528">
        <v>536409</v>
      </c>
      <c r="M528" s="2">
        <v>22633</v>
      </c>
      <c r="N528">
        <v>2.1</v>
      </c>
      <c r="O528" s="6">
        <v>1</v>
      </c>
      <c r="P528" s="3">
        <v>0.05</v>
      </c>
      <c r="Q528" t="s">
        <v>3</v>
      </c>
      <c r="R528" s="7">
        <f t="shared" si="24"/>
        <v>2.1</v>
      </c>
      <c r="S528" s="7">
        <f t="shared" si="25"/>
        <v>0.10500000000000001</v>
      </c>
      <c r="T528">
        <f>Table1[[#This Row],[Total price]]-Table1[[#This Row],[Discount Amount]]</f>
        <v>1.9950000000000001</v>
      </c>
      <c r="U528">
        <f t="shared" si="26"/>
        <v>1.9950000000000001</v>
      </c>
    </row>
    <row r="529" spans="1:21">
      <c r="A529">
        <v>528</v>
      </c>
      <c r="B529" s="3" t="s">
        <v>1739</v>
      </c>
      <c r="C529" s="3" t="s">
        <v>1446</v>
      </c>
      <c r="D529" s="3" t="s">
        <v>3456</v>
      </c>
      <c r="E529" s="3" t="s">
        <v>3457</v>
      </c>
      <c r="F529" s="3">
        <v>190</v>
      </c>
      <c r="G529" s="4">
        <v>40878.489583333336</v>
      </c>
      <c r="H529" s="3">
        <v>4</v>
      </c>
      <c r="I529" s="5">
        <v>15</v>
      </c>
      <c r="J529" t="s">
        <v>158</v>
      </c>
      <c r="K529" t="s">
        <v>4497</v>
      </c>
      <c r="L529">
        <v>536409</v>
      </c>
      <c r="M529" s="2">
        <v>22866</v>
      </c>
      <c r="N529">
        <v>2.1</v>
      </c>
      <c r="O529" s="6">
        <v>1</v>
      </c>
      <c r="P529" s="3">
        <v>0.2</v>
      </c>
      <c r="Q529" t="s">
        <v>3</v>
      </c>
      <c r="R529" s="7">
        <f t="shared" si="24"/>
        <v>2.1</v>
      </c>
      <c r="S529" s="7">
        <f t="shared" si="25"/>
        <v>0.42000000000000004</v>
      </c>
      <c r="T529">
        <f>Table1[[#This Row],[Total price]]-Table1[[#This Row],[Discount Amount]]</f>
        <v>1.6800000000000002</v>
      </c>
      <c r="U529">
        <f t="shared" si="26"/>
        <v>1.6800000000000002</v>
      </c>
    </row>
    <row r="530" spans="1:21">
      <c r="A530">
        <v>529</v>
      </c>
      <c r="B530" s="3" t="s">
        <v>2298</v>
      </c>
      <c r="C530" s="3" t="s">
        <v>2297</v>
      </c>
      <c r="D530" s="3" t="s">
        <v>2866</v>
      </c>
      <c r="E530" s="3" t="s">
        <v>3458</v>
      </c>
      <c r="F530" s="3">
        <v>190</v>
      </c>
      <c r="G530" s="4">
        <v>40878.489583333336</v>
      </c>
      <c r="H530" s="3">
        <v>4</v>
      </c>
      <c r="I530" s="5">
        <v>3</v>
      </c>
      <c r="J530" t="s">
        <v>216</v>
      </c>
      <c r="K530" t="s">
        <v>4497</v>
      </c>
      <c r="L530">
        <v>536409</v>
      </c>
      <c r="M530" s="2">
        <v>22198</v>
      </c>
      <c r="N530">
        <v>1.65</v>
      </c>
      <c r="O530" s="6">
        <v>1</v>
      </c>
      <c r="P530" s="3">
        <v>0.2</v>
      </c>
      <c r="Q530" t="s">
        <v>3</v>
      </c>
      <c r="R530" s="7">
        <f t="shared" si="24"/>
        <v>1.65</v>
      </c>
      <c r="S530" s="7">
        <f t="shared" si="25"/>
        <v>0.33</v>
      </c>
      <c r="T530">
        <f>Table1[[#This Row],[Total price]]-Table1[[#This Row],[Discount Amount]]</f>
        <v>1.3199999999999998</v>
      </c>
      <c r="U530">
        <f t="shared" si="26"/>
        <v>1.3199999999999998</v>
      </c>
    </row>
    <row r="531" spans="1:21">
      <c r="A531">
        <v>530</v>
      </c>
      <c r="B531" s="3" t="s">
        <v>1292</v>
      </c>
      <c r="C531" s="3" t="s">
        <v>1574</v>
      </c>
      <c r="D531" s="3" t="s">
        <v>2866</v>
      </c>
      <c r="E531" s="3" t="s">
        <v>3459</v>
      </c>
      <c r="F531" s="3">
        <v>191</v>
      </c>
      <c r="G531" s="4">
        <v>40878.489583333336</v>
      </c>
      <c r="H531" s="3">
        <v>4</v>
      </c>
      <c r="I531" s="5">
        <v>25</v>
      </c>
      <c r="J531" t="s">
        <v>295</v>
      </c>
      <c r="K531" t="s">
        <v>4497</v>
      </c>
      <c r="L531">
        <v>536409</v>
      </c>
      <c r="M531" s="2">
        <v>21824</v>
      </c>
      <c r="N531">
        <v>1.45</v>
      </c>
      <c r="O531" s="6">
        <v>3</v>
      </c>
      <c r="P531" s="3">
        <v>0.05</v>
      </c>
      <c r="Q531" t="s">
        <v>3</v>
      </c>
      <c r="R531" s="7">
        <f t="shared" si="24"/>
        <v>4.3499999999999996</v>
      </c>
      <c r="S531" s="7">
        <f t="shared" si="25"/>
        <v>0.2175</v>
      </c>
      <c r="T531">
        <f>Table1[[#This Row],[Total price]]-Table1[[#This Row],[Discount Amount]]</f>
        <v>4.1324999999999994</v>
      </c>
      <c r="U531">
        <f t="shared" si="26"/>
        <v>12.397499999999997</v>
      </c>
    </row>
    <row r="532" spans="1:21">
      <c r="A532">
        <v>531</v>
      </c>
      <c r="B532" s="3" t="s">
        <v>2296</v>
      </c>
      <c r="C532" s="3" t="s">
        <v>2295</v>
      </c>
      <c r="D532" s="3" t="s">
        <v>3460</v>
      </c>
      <c r="E532" s="3" t="s">
        <v>3461</v>
      </c>
      <c r="F532" s="3">
        <v>191</v>
      </c>
      <c r="G532" s="4">
        <v>40878.489583333336</v>
      </c>
      <c r="H532" s="3">
        <v>4</v>
      </c>
      <c r="I532" s="5">
        <v>12</v>
      </c>
      <c r="J532" t="s">
        <v>294</v>
      </c>
      <c r="K532" t="s">
        <v>4497</v>
      </c>
      <c r="L532">
        <v>536409</v>
      </c>
      <c r="M532" s="2">
        <v>21823</v>
      </c>
      <c r="N532">
        <v>1.45</v>
      </c>
      <c r="O532" s="6">
        <v>3</v>
      </c>
      <c r="P532" s="3">
        <v>0.2</v>
      </c>
      <c r="Q532" t="s">
        <v>3</v>
      </c>
      <c r="R532" s="7">
        <f t="shared" si="24"/>
        <v>4.3499999999999996</v>
      </c>
      <c r="S532" s="7">
        <f t="shared" si="25"/>
        <v>0.87</v>
      </c>
      <c r="T532">
        <f>Table1[[#This Row],[Total price]]-Table1[[#This Row],[Discount Amount]]</f>
        <v>3.4799999999999995</v>
      </c>
      <c r="U532">
        <f t="shared" si="26"/>
        <v>10.439999999999998</v>
      </c>
    </row>
    <row r="533" spans="1:21">
      <c r="A533">
        <v>532</v>
      </c>
      <c r="B533" s="3" t="s">
        <v>2294</v>
      </c>
      <c r="C533" s="3" t="s">
        <v>2293</v>
      </c>
      <c r="D533" s="3" t="s">
        <v>2866</v>
      </c>
      <c r="E533" s="3" t="s">
        <v>3462</v>
      </c>
      <c r="F533" s="3">
        <v>191</v>
      </c>
      <c r="G533" s="4">
        <v>40878.489583333336</v>
      </c>
      <c r="H533" s="3">
        <v>4</v>
      </c>
      <c r="I533" s="5">
        <v>3</v>
      </c>
      <c r="J533" t="s">
        <v>397</v>
      </c>
      <c r="K533" t="s">
        <v>4497</v>
      </c>
      <c r="L533">
        <v>536409</v>
      </c>
      <c r="M533" s="2">
        <v>22153</v>
      </c>
      <c r="N533">
        <v>0.42</v>
      </c>
      <c r="O533" s="6">
        <v>6</v>
      </c>
      <c r="P533" s="3">
        <v>7.0000000000000007E-2</v>
      </c>
      <c r="Q533" t="s">
        <v>3</v>
      </c>
      <c r="R533" s="7">
        <f t="shared" si="24"/>
        <v>2.52</v>
      </c>
      <c r="S533" s="7">
        <f t="shared" si="25"/>
        <v>0.17640000000000003</v>
      </c>
      <c r="T533">
        <f>Table1[[#This Row],[Total price]]-Table1[[#This Row],[Discount Amount]]</f>
        <v>2.3435999999999999</v>
      </c>
      <c r="U533">
        <f t="shared" si="26"/>
        <v>14.061599999999999</v>
      </c>
    </row>
    <row r="534" spans="1:21">
      <c r="A534">
        <v>533</v>
      </c>
      <c r="B534" s="3" t="s">
        <v>2292</v>
      </c>
      <c r="C534" s="3" t="s">
        <v>1355</v>
      </c>
      <c r="D534" s="3" t="s">
        <v>3463</v>
      </c>
      <c r="E534" s="3" t="s">
        <v>3464</v>
      </c>
      <c r="F534" s="3">
        <v>191</v>
      </c>
      <c r="G534" s="4">
        <v>40878.489583333336</v>
      </c>
      <c r="H534" s="3">
        <v>4</v>
      </c>
      <c r="I534" s="5">
        <v>8</v>
      </c>
      <c r="J534" t="s">
        <v>75</v>
      </c>
      <c r="K534" t="s">
        <v>4497</v>
      </c>
      <c r="L534">
        <v>536409</v>
      </c>
      <c r="M534" s="2">
        <v>22197</v>
      </c>
      <c r="N534">
        <v>0.85</v>
      </c>
      <c r="O534" s="6">
        <v>2</v>
      </c>
      <c r="P534" s="3">
        <v>0.05</v>
      </c>
      <c r="Q534" t="s">
        <v>3</v>
      </c>
      <c r="R534" s="7">
        <f t="shared" si="24"/>
        <v>1.7</v>
      </c>
      <c r="S534" s="7">
        <f t="shared" si="25"/>
        <v>8.5000000000000006E-2</v>
      </c>
      <c r="T534">
        <f>Table1[[#This Row],[Total price]]-Table1[[#This Row],[Discount Amount]]</f>
        <v>1.615</v>
      </c>
      <c r="U534">
        <f t="shared" si="26"/>
        <v>3.23</v>
      </c>
    </row>
    <row r="535" spans="1:21">
      <c r="A535">
        <v>534</v>
      </c>
      <c r="B535" s="3" t="s">
        <v>2263</v>
      </c>
      <c r="C535" s="3" t="s">
        <v>2291</v>
      </c>
      <c r="D535" s="3" t="s">
        <v>2866</v>
      </c>
      <c r="E535" s="3" t="s">
        <v>3465</v>
      </c>
      <c r="F535" s="3">
        <v>191</v>
      </c>
      <c r="G535" s="4">
        <v>40878.489583333336</v>
      </c>
      <c r="H535" s="3">
        <v>4</v>
      </c>
      <c r="I535" s="5">
        <v>23</v>
      </c>
      <c r="J535" t="s">
        <v>38</v>
      </c>
      <c r="K535" t="s">
        <v>4497</v>
      </c>
      <c r="L535">
        <v>536409</v>
      </c>
      <c r="M535" s="2" t="s">
        <v>37</v>
      </c>
      <c r="N535">
        <v>1.95</v>
      </c>
      <c r="O535" s="6">
        <v>2</v>
      </c>
      <c r="P535" s="3">
        <v>0.05</v>
      </c>
      <c r="Q535" t="s">
        <v>3</v>
      </c>
      <c r="R535" s="7">
        <f t="shared" si="24"/>
        <v>3.9</v>
      </c>
      <c r="S535" s="7">
        <f t="shared" si="25"/>
        <v>0.19500000000000001</v>
      </c>
      <c r="T535">
        <f>Table1[[#This Row],[Total price]]-Table1[[#This Row],[Discount Amount]]</f>
        <v>3.7050000000000001</v>
      </c>
      <c r="U535">
        <f t="shared" si="26"/>
        <v>7.41</v>
      </c>
    </row>
    <row r="536" spans="1:21">
      <c r="A536">
        <v>535</v>
      </c>
      <c r="B536" s="3" t="s">
        <v>2290</v>
      </c>
      <c r="C536" s="3" t="s">
        <v>2066</v>
      </c>
      <c r="D536" s="3" t="s">
        <v>3466</v>
      </c>
      <c r="E536" s="3" t="s">
        <v>3467</v>
      </c>
      <c r="F536" s="3">
        <v>192</v>
      </c>
      <c r="G536" s="4">
        <v>40878.489583333336</v>
      </c>
      <c r="H536" s="3">
        <v>4</v>
      </c>
      <c r="I536" s="5">
        <v>8</v>
      </c>
      <c r="J536" t="s">
        <v>339</v>
      </c>
      <c r="K536" t="s">
        <v>4497</v>
      </c>
      <c r="L536">
        <v>536409</v>
      </c>
      <c r="M536" s="2" t="s">
        <v>338</v>
      </c>
      <c r="N536">
        <v>1.95</v>
      </c>
      <c r="O536" s="6">
        <v>1</v>
      </c>
      <c r="P536" s="3">
        <v>0.1</v>
      </c>
      <c r="Q536" t="s">
        <v>3</v>
      </c>
      <c r="R536" s="7">
        <f t="shared" si="24"/>
        <v>1.95</v>
      </c>
      <c r="S536" s="7">
        <f t="shared" si="25"/>
        <v>0.19500000000000001</v>
      </c>
      <c r="T536">
        <f>Table1[[#This Row],[Total price]]-Table1[[#This Row],[Discount Amount]]</f>
        <v>1.7549999999999999</v>
      </c>
      <c r="U536">
        <f t="shared" si="26"/>
        <v>1.7549999999999999</v>
      </c>
    </row>
    <row r="537" spans="1:21">
      <c r="A537">
        <v>536</v>
      </c>
      <c r="B537" s="3" t="s">
        <v>2289</v>
      </c>
      <c r="C537" s="3" t="s">
        <v>2288</v>
      </c>
      <c r="D537" s="3" t="s">
        <v>2866</v>
      </c>
      <c r="E537" s="3" t="s">
        <v>3468</v>
      </c>
      <c r="F537" s="3">
        <v>192</v>
      </c>
      <c r="G537" s="4">
        <v>40878.489583333336</v>
      </c>
      <c r="H537" s="3">
        <v>4</v>
      </c>
      <c r="I537" s="5">
        <v>25</v>
      </c>
      <c r="J537" t="s">
        <v>497</v>
      </c>
      <c r="K537" t="s">
        <v>4497</v>
      </c>
      <c r="L537">
        <v>536409</v>
      </c>
      <c r="M537" s="2">
        <v>20717</v>
      </c>
      <c r="N537">
        <v>1.25</v>
      </c>
      <c r="O537" s="6">
        <v>1</v>
      </c>
      <c r="P537" s="3">
        <v>7.0000000000000007E-2</v>
      </c>
      <c r="Q537" t="s">
        <v>3</v>
      </c>
      <c r="R537" s="7">
        <f t="shared" si="24"/>
        <v>1.25</v>
      </c>
      <c r="S537" s="7">
        <f t="shared" si="25"/>
        <v>8.7500000000000008E-2</v>
      </c>
      <c r="T537">
        <f>Table1[[#This Row],[Total price]]-Table1[[#This Row],[Discount Amount]]</f>
        <v>1.1625000000000001</v>
      </c>
      <c r="U537">
        <f t="shared" si="26"/>
        <v>1.1625000000000001</v>
      </c>
    </row>
    <row r="538" spans="1:21">
      <c r="A538">
        <v>537</v>
      </c>
      <c r="B538" s="3" t="s">
        <v>1407</v>
      </c>
      <c r="C538" s="3" t="s">
        <v>2287</v>
      </c>
      <c r="D538" s="3" t="s">
        <v>2866</v>
      </c>
      <c r="E538" s="3" t="s">
        <v>3469</v>
      </c>
      <c r="F538" s="3">
        <v>192</v>
      </c>
      <c r="G538" s="4">
        <v>40878.489583333336</v>
      </c>
      <c r="H538" s="3">
        <v>4</v>
      </c>
      <c r="I538" s="5">
        <v>2</v>
      </c>
      <c r="J538" t="s">
        <v>494</v>
      </c>
      <c r="K538" t="s">
        <v>4497</v>
      </c>
      <c r="L538">
        <v>536409</v>
      </c>
      <c r="M538" s="2">
        <v>20723</v>
      </c>
      <c r="N538">
        <v>0.85</v>
      </c>
      <c r="O538" s="6">
        <v>1</v>
      </c>
      <c r="P538" s="3">
        <v>0.05</v>
      </c>
      <c r="Q538" t="s">
        <v>3</v>
      </c>
      <c r="R538" s="7">
        <f t="shared" si="24"/>
        <v>0.85</v>
      </c>
      <c r="S538" s="7">
        <f t="shared" si="25"/>
        <v>4.2500000000000003E-2</v>
      </c>
      <c r="T538">
        <f>Table1[[#This Row],[Total price]]-Table1[[#This Row],[Discount Amount]]</f>
        <v>0.8075</v>
      </c>
      <c r="U538">
        <f t="shared" si="26"/>
        <v>0.8075</v>
      </c>
    </row>
    <row r="539" spans="1:21">
      <c r="A539">
        <v>538</v>
      </c>
      <c r="B539" s="3" t="s">
        <v>2286</v>
      </c>
      <c r="C539" s="3" t="s">
        <v>2285</v>
      </c>
      <c r="D539" s="3" t="s">
        <v>2866</v>
      </c>
      <c r="E539" s="3" t="s">
        <v>3470</v>
      </c>
      <c r="F539" s="3">
        <v>192</v>
      </c>
      <c r="G539" s="4">
        <v>40878.489583333336</v>
      </c>
      <c r="H539" s="3">
        <v>4</v>
      </c>
      <c r="I539" s="5">
        <v>24</v>
      </c>
      <c r="J539" t="s">
        <v>513</v>
      </c>
      <c r="K539" t="s">
        <v>4497</v>
      </c>
      <c r="L539">
        <v>536409</v>
      </c>
      <c r="M539" s="2">
        <v>22900</v>
      </c>
      <c r="N539">
        <v>2.95</v>
      </c>
      <c r="O539" s="6">
        <v>1</v>
      </c>
      <c r="P539" s="3">
        <v>7.0000000000000007E-2</v>
      </c>
      <c r="Q539" t="s">
        <v>3</v>
      </c>
      <c r="R539" s="7">
        <f t="shared" si="24"/>
        <v>2.95</v>
      </c>
      <c r="S539" s="7">
        <f t="shared" si="25"/>
        <v>0.20650000000000004</v>
      </c>
      <c r="T539">
        <f>Table1[[#This Row],[Total price]]-Table1[[#This Row],[Discount Amount]]</f>
        <v>2.7435</v>
      </c>
      <c r="U539">
        <f t="shared" si="26"/>
        <v>2.7435</v>
      </c>
    </row>
    <row r="540" spans="1:21">
      <c r="A540">
        <v>539</v>
      </c>
      <c r="B540" s="3" t="s">
        <v>2193</v>
      </c>
      <c r="C540" s="3" t="s">
        <v>893</v>
      </c>
      <c r="D540" s="3" t="s">
        <v>2866</v>
      </c>
      <c r="E540" s="3" t="s">
        <v>3471</v>
      </c>
      <c r="F540" s="3">
        <v>192</v>
      </c>
      <c r="G540" s="4">
        <v>40878.489583333336</v>
      </c>
      <c r="H540" s="3">
        <v>4</v>
      </c>
      <c r="I540" s="5">
        <v>10</v>
      </c>
      <c r="J540" t="s">
        <v>259</v>
      </c>
      <c r="K540" t="s">
        <v>4497</v>
      </c>
      <c r="L540">
        <v>536409</v>
      </c>
      <c r="M540" s="2">
        <v>21980</v>
      </c>
      <c r="N540">
        <v>0.28999999999999998</v>
      </c>
      <c r="O540" s="6">
        <v>12</v>
      </c>
      <c r="P540" s="3">
        <v>0.2</v>
      </c>
      <c r="Q540" t="s">
        <v>3</v>
      </c>
      <c r="R540" s="7">
        <f t="shared" si="24"/>
        <v>3.4799999999999995</v>
      </c>
      <c r="S540" s="7">
        <f t="shared" si="25"/>
        <v>0.69599999999999995</v>
      </c>
      <c r="T540">
        <f>Table1[[#This Row],[Total price]]-Table1[[#This Row],[Discount Amount]]</f>
        <v>2.7839999999999998</v>
      </c>
      <c r="U540">
        <f t="shared" si="26"/>
        <v>33.408000000000001</v>
      </c>
    </row>
    <row r="541" spans="1:21">
      <c r="A541">
        <v>540</v>
      </c>
      <c r="B541" s="3" t="s">
        <v>2192</v>
      </c>
      <c r="C541" s="3" t="s">
        <v>2127</v>
      </c>
      <c r="D541" s="3" t="s">
        <v>2866</v>
      </c>
      <c r="E541" s="3" t="s">
        <v>3472</v>
      </c>
      <c r="F541" s="3">
        <v>193</v>
      </c>
      <c r="G541" s="4">
        <v>40878.489583333336</v>
      </c>
      <c r="H541" s="3">
        <v>4</v>
      </c>
      <c r="I541" s="5">
        <v>12</v>
      </c>
      <c r="J541" t="s">
        <v>15</v>
      </c>
      <c r="K541" t="s">
        <v>4497</v>
      </c>
      <c r="L541">
        <v>536409</v>
      </c>
      <c r="M541" s="2">
        <v>22111</v>
      </c>
      <c r="N541">
        <v>4.95</v>
      </c>
      <c r="O541" s="6">
        <v>1</v>
      </c>
      <c r="P541" s="3">
        <v>0.1</v>
      </c>
      <c r="Q541" t="s">
        <v>3</v>
      </c>
      <c r="R541" s="7">
        <f t="shared" si="24"/>
        <v>4.95</v>
      </c>
      <c r="S541" s="7">
        <f t="shared" si="25"/>
        <v>0.49500000000000005</v>
      </c>
      <c r="T541">
        <f>Table1[[#This Row],[Total price]]-Table1[[#This Row],[Discount Amount]]</f>
        <v>4.4550000000000001</v>
      </c>
      <c r="U541">
        <f t="shared" si="26"/>
        <v>4.4550000000000001</v>
      </c>
    </row>
    <row r="542" spans="1:21">
      <c r="A542">
        <v>541</v>
      </c>
      <c r="B542" s="3" t="s">
        <v>2284</v>
      </c>
      <c r="C542" s="3" t="s">
        <v>2283</v>
      </c>
      <c r="D542" s="3" t="s">
        <v>2866</v>
      </c>
      <c r="E542" s="3" t="s">
        <v>3473</v>
      </c>
      <c r="F542" s="3">
        <v>194</v>
      </c>
      <c r="G542" s="4">
        <v>40878.489583333336</v>
      </c>
      <c r="H542" s="3">
        <v>4</v>
      </c>
      <c r="I542" s="5">
        <v>21</v>
      </c>
      <c r="J542" t="s">
        <v>379</v>
      </c>
      <c r="K542" t="s">
        <v>4497</v>
      </c>
      <c r="L542">
        <v>536409</v>
      </c>
      <c r="M542" s="2">
        <v>22112</v>
      </c>
      <c r="N542">
        <v>4.95</v>
      </c>
      <c r="O542" s="6">
        <v>1</v>
      </c>
      <c r="P542" s="3">
        <v>0.2</v>
      </c>
      <c r="Q542" t="s">
        <v>3</v>
      </c>
      <c r="R542" s="7">
        <f t="shared" si="24"/>
        <v>4.95</v>
      </c>
      <c r="S542" s="7">
        <f t="shared" si="25"/>
        <v>0.9900000000000001</v>
      </c>
      <c r="T542">
        <f>Table1[[#This Row],[Total price]]-Table1[[#This Row],[Discount Amount]]</f>
        <v>3.96</v>
      </c>
      <c r="U542">
        <f t="shared" si="26"/>
        <v>3.96</v>
      </c>
    </row>
    <row r="543" spans="1:21">
      <c r="A543">
        <v>542</v>
      </c>
      <c r="B543" s="3" t="s">
        <v>2282</v>
      </c>
      <c r="C543" s="3" t="s">
        <v>1680</v>
      </c>
      <c r="D543" s="3" t="s">
        <v>2866</v>
      </c>
      <c r="E543" s="3" t="s">
        <v>3474</v>
      </c>
      <c r="F543" s="3">
        <v>195</v>
      </c>
      <c r="G543" s="4">
        <v>40878.489583333336</v>
      </c>
      <c r="H543" s="3">
        <v>4</v>
      </c>
      <c r="I543" s="5">
        <v>18</v>
      </c>
      <c r="J543" t="s">
        <v>387</v>
      </c>
      <c r="K543" t="s">
        <v>4497</v>
      </c>
      <c r="L543">
        <v>536412</v>
      </c>
      <c r="M543" s="2">
        <v>20728</v>
      </c>
      <c r="N543">
        <v>1.65</v>
      </c>
      <c r="O543" s="6">
        <v>3</v>
      </c>
      <c r="P543" s="3">
        <v>0.2</v>
      </c>
      <c r="Q543" t="s">
        <v>3</v>
      </c>
      <c r="R543" s="7">
        <f t="shared" si="24"/>
        <v>4.9499999999999993</v>
      </c>
      <c r="S543" s="7">
        <f t="shared" si="25"/>
        <v>0.98999999999999988</v>
      </c>
      <c r="T543">
        <f>Table1[[#This Row],[Total price]]-Table1[[#This Row],[Discount Amount]]</f>
        <v>3.9599999999999995</v>
      </c>
      <c r="U543">
        <f t="shared" si="26"/>
        <v>11.879999999999999</v>
      </c>
    </row>
    <row r="544" spans="1:21">
      <c r="A544">
        <v>543</v>
      </c>
      <c r="B544" s="3" t="s">
        <v>2281</v>
      </c>
      <c r="C544" s="3" t="s">
        <v>2280</v>
      </c>
      <c r="D544" s="3" t="s">
        <v>2866</v>
      </c>
      <c r="E544" s="3" t="s">
        <v>3475</v>
      </c>
      <c r="F544" s="3">
        <v>195</v>
      </c>
      <c r="G544" s="4">
        <v>40878.489583333336</v>
      </c>
      <c r="H544" s="3">
        <v>4</v>
      </c>
      <c r="I544" s="5">
        <v>14</v>
      </c>
      <c r="J544" t="s">
        <v>201</v>
      </c>
      <c r="K544" t="s">
        <v>4497</v>
      </c>
      <c r="L544">
        <v>536412</v>
      </c>
      <c r="M544" s="2">
        <v>22382</v>
      </c>
      <c r="N544">
        <v>1.65</v>
      </c>
      <c r="O544" s="6">
        <v>3</v>
      </c>
      <c r="P544" s="3">
        <v>0.05</v>
      </c>
      <c r="Q544" t="s">
        <v>3</v>
      </c>
      <c r="R544" s="7">
        <f t="shared" si="24"/>
        <v>4.9499999999999993</v>
      </c>
      <c r="S544" s="7">
        <f t="shared" si="25"/>
        <v>0.24749999999999997</v>
      </c>
      <c r="T544">
        <f>Table1[[#This Row],[Total price]]-Table1[[#This Row],[Discount Amount]]</f>
        <v>4.7024999999999997</v>
      </c>
      <c r="U544">
        <f t="shared" si="26"/>
        <v>14.107499999999998</v>
      </c>
    </row>
    <row r="545" spans="1:21">
      <c r="A545">
        <v>544</v>
      </c>
      <c r="B545" s="3" t="s">
        <v>2279</v>
      </c>
      <c r="C545" s="3" t="s">
        <v>965</v>
      </c>
      <c r="D545" s="3" t="s">
        <v>2866</v>
      </c>
      <c r="E545" s="3" t="s">
        <v>3476</v>
      </c>
      <c r="F545" s="3">
        <v>195</v>
      </c>
      <c r="G545" s="4">
        <v>40878.489583333336</v>
      </c>
      <c r="H545" s="3">
        <v>4</v>
      </c>
      <c r="I545" s="5">
        <v>5</v>
      </c>
      <c r="J545" t="s">
        <v>156</v>
      </c>
      <c r="K545" t="s">
        <v>4497</v>
      </c>
      <c r="L545">
        <v>536412</v>
      </c>
      <c r="M545" s="2">
        <v>22326</v>
      </c>
      <c r="N545">
        <v>2.95</v>
      </c>
      <c r="O545" s="6">
        <v>1</v>
      </c>
      <c r="P545" s="3">
        <v>0.2</v>
      </c>
      <c r="Q545" t="s">
        <v>3</v>
      </c>
      <c r="R545" s="7">
        <f t="shared" si="24"/>
        <v>2.95</v>
      </c>
      <c r="S545" s="7">
        <f t="shared" si="25"/>
        <v>0.59000000000000008</v>
      </c>
      <c r="T545">
        <f>Table1[[#This Row],[Total price]]-Table1[[#This Row],[Discount Amount]]</f>
        <v>2.3600000000000003</v>
      </c>
      <c r="U545">
        <f t="shared" si="26"/>
        <v>2.3600000000000003</v>
      </c>
    </row>
    <row r="546" spans="1:21">
      <c r="A546">
        <v>545</v>
      </c>
      <c r="B546" s="3" t="s">
        <v>1974</v>
      </c>
      <c r="C546" s="3" t="s">
        <v>902</v>
      </c>
      <c r="D546" s="3" t="s">
        <v>2866</v>
      </c>
      <c r="E546" s="3" t="s">
        <v>3477</v>
      </c>
      <c r="F546" s="3">
        <v>195</v>
      </c>
      <c r="G546" s="4">
        <v>40878.489583333336</v>
      </c>
      <c r="H546" s="3">
        <v>4</v>
      </c>
      <c r="I546" s="5">
        <v>4</v>
      </c>
      <c r="J546" t="s">
        <v>582</v>
      </c>
      <c r="K546" t="s">
        <v>4497</v>
      </c>
      <c r="L546">
        <v>536412</v>
      </c>
      <c r="M546" s="2">
        <v>22662</v>
      </c>
      <c r="N546">
        <v>1.65</v>
      </c>
      <c r="O546" s="6">
        <v>4</v>
      </c>
      <c r="P546" s="3">
        <v>0.2</v>
      </c>
      <c r="Q546" t="s">
        <v>3</v>
      </c>
      <c r="R546" s="7">
        <f t="shared" si="24"/>
        <v>6.6</v>
      </c>
      <c r="S546" s="7">
        <f t="shared" si="25"/>
        <v>1.32</v>
      </c>
      <c r="T546">
        <f>Table1[[#This Row],[Total price]]-Table1[[#This Row],[Discount Amount]]</f>
        <v>5.2799999999999994</v>
      </c>
      <c r="U546">
        <f t="shared" si="26"/>
        <v>21.119999999999997</v>
      </c>
    </row>
    <row r="547" spans="1:21">
      <c r="A547">
        <v>546</v>
      </c>
      <c r="B547" s="3" t="s">
        <v>1067</v>
      </c>
      <c r="C547" s="3" t="s">
        <v>948</v>
      </c>
      <c r="D547" s="3" t="s">
        <v>3478</v>
      </c>
      <c r="E547" s="3" t="s">
        <v>3479</v>
      </c>
      <c r="F547" s="3">
        <v>195</v>
      </c>
      <c r="G547" s="4">
        <v>40878.489583333336</v>
      </c>
      <c r="H547" s="3">
        <v>4</v>
      </c>
      <c r="I547" s="5">
        <v>21</v>
      </c>
      <c r="J547" t="s">
        <v>238</v>
      </c>
      <c r="K547" t="s">
        <v>4497</v>
      </c>
      <c r="L547">
        <v>536412</v>
      </c>
      <c r="M547" s="2">
        <v>22383</v>
      </c>
      <c r="N547">
        <v>1.65</v>
      </c>
      <c r="O547" s="6">
        <v>3</v>
      </c>
      <c r="P547" s="3">
        <v>0.1</v>
      </c>
      <c r="Q547" t="s">
        <v>3</v>
      </c>
      <c r="R547" s="7">
        <f t="shared" si="24"/>
        <v>4.9499999999999993</v>
      </c>
      <c r="S547" s="7">
        <f t="shared" si="25"/>
        <v>0.49499999999999994</v>
      </c>
      <c r="T547">
        <f>Table1[[#This Row],[Total price]]-Table1[[#This Row],[Discount Amount]]</f>
        <v>4.4549999999999992</v>
      </c>
      <c r="U547">
        <f t="shared" si="26"/>
        <v>13.364999999999998</v>
      </c>
    </row>
    <row r="548" spans="1:21">
      <c r="A548">
        <v>547</v>
      </c>
      <c r="B548" s="3" t="s">
        <v>2278</v>
      </c>
      <c r="C548" s="3" t="s">
        <v>1341</v>
      </c>
      <c r="D548" s="3" t="s">
        <v>2866</v>
      </c>
      <c r="E548" s="3" t="s">
        <v>3480</v>
      </c>
      <c r="F548" s="3">
        <v>196</v>
      </c>
      <c r="G548" s="4">
        <v>40878.489583333336</v>
      </c>
      <c r="H548" s="3">
        <v>4</v>
      </c>
      <c r="I548" s="5">
        <v>6</v>
      </c>
      <c r="J548" t="s">
        <v>392</v>
      </c>
      <c r="K548" t="s">
        <v>4497</v>
      </c>
      <c r="L548">
        <v>536412</v>
      </c>
      <c r="M548" s="2">
        <v>20727</v>
      </c>
      <c r="N548">
        <v>1.65</v>
      </c>
      <c r="O548" s="6">
        <v>3</v>
      </c>
      <c r="P548" s="3">
        <v>0.05</v>
      </c>
      <c r="Q548" t="s">
        <v>3</v>
      </c>
      <c r="R548" s="7">
        <f t="shared" si="24"/>
        <v>4.9499999999999993</v>
      </c>
      <c r="S548" s="7">
        <f t="shared" si="25"/>
        <v>0.24749999999999997</v>
      </c>
      <c r="T548">
        <f>Table1[[#This Row],[Total price]]-Table1[[#This Row],[Discount Amount]]</f>
        <v>4.7024999999999997</v>
      </c>
      <c r="U548">
        <f t="shared" si="26"/>
        <v>14.107499999999998</v>
      </c>
    </row>
    <row r="549" spans="1:21">
      <c r="A549">
        <v>548</v>
      </c>
      <c r="B549" s="3" t="s">
        <v>2277</v>
      </c>
      <c r="C549" s="3" t="s">
        <v>1481</v>
      </c>
      <c r="D549" s="3" t="s">
        <v>2866</v>
      </c>
      <c r="E549" s="3" t="s">
        <v>3481</v>
      </c>
      <c r="F549" s="3">
        <v>196</v>
      </c>
      <c r="G549" s="4">
        <v>40878.489583333336</v>
      </c>
      <c r="H549" s="3">
        <v>4</v>
      </c>
      <c r="I549" s="5">
        <v>3</v>
      </c>
      <c r="J549" t="s">
        <v>528</v>
      </c>
      <c r="K549" t="s">
        <v>4497</v>
      </c>
      <c r="L549">
        <v>536412</v>
      </c>
      <c r="M549" s="2">
        <v>22328</v>
      </c>
      <c r="N549">
        <v>2.95</v>
      </c>
      <c r="O549" s="6">
        <v>1</v>
      </c>
      <c r="P549" s="3">
        <v>7.0000000000000007E-2</v>
      </c>
      <c r="Q549" t="s">
        <v>3</v>
      </c>
      <c r="R549" s="7">
        <f t="shared" si="24"/>
        <v>2.95</v>
      </c>
      <c r="S549" s="7">
        <f t="shared" si="25"/>
        <v>0.20650000000000004</v>
      </c>
      <c r="T549">
        <f>Table1[[#This Row],[Total price]]-Table1[[#This Row],[Discount Amount]]</f>
        <v>2.7435</v>
      </c>
      <c r="U549">
        <f t="shared" si="26"/>
        <v>2.7435</v>
      </c>
    </row>
    <row r="550" spans="1:21">
      <c r="A550">
        <v>549</v>
      </c>
      <c r="B550" s="3" t="s">
        <v>1013</v>
      </c>
      <c r="C550" s="3" t="s">
        <v>1993</v>
      </c>
      <c r="D550" s="3" t="s">
        <v>3482</v>
      </c>
      <c r="E550" s="3" t="s">
        <v>3483</v>
      </c>
      <c r="F550" s="3">
        <v>196</v>
      </c>
      <c r="G550" s="4">
        <v>40878.489583333336</v>
      </c>
      <c r="H550" s="3">
        <v>3</v>
      </c>
      <c r="I550" s="5">
        <v>10</v>
      </c>
      <c r="J550" t="s">
        <v>645</v>
      </c>
      <c r="K550" t="s">
        <v>4497</v>
      </c>
      <c r="L550">
        <v>536412</v>
      </c>
      <c r="M550" s="2">
        <v>22327</v>
      </c>
      <c r="N550">
        <v>2.95</v>
      </c>
      <c r="O550" s="6">
        <v>1</v>
      </c>
      <c r="P550" s="3">
        <v>7.0000000000000007E-2</v>
      </c>
      <c r="Q550" t="s">
        <v>3</v>
      </c>
      <c r="R550" s="7">
        <f t="shared" si="24"/>
        <v>2.95</v>
      </c>
      <c r="S550" s="7">
        <f t="shared" si="25"/>
        <v>0.20650000000000004</v>
      </c>
      <c r="T550">
        <f>Table1[[#This Row],[Total price]]-Table1[[#This Row],[Discount Amount]]</f>
        <v>2.7435</v>
      </c>
      <c r="U550">
        <f t="shared" si="26"/>
        <v>2.7435</v>
      </c>
    </row>
    <row r="551" spans="1:21">
      <c r="A551">
        <v>550</v>
      </c>
      <c r="B551" s="3" t="s">
        <v>2276</v>
      </c>
      <c r="C551" s="3" t="s">
        <v>2275</v>
      </c>
      <c r="D551" s="3" t="s">
        <v>2866</v>
      </c>
      <c r="E551" s="3" t="s">
        <v>3484</v>
      </c>
      <c r="F551" s="3">
        <v>196</v>
      </c>
      <c r="G551" s="4">
        <v>40878.489583333336</v>
      </c>
      <c r="H551" s="3">
        <v>4</v>
      </c>
      <c r="I551" s="5">
        <v>12</v>
      </c>
      <c r="J551" t="s">
        <v>619</v>
      </c>
      <c r="K551" t="s">
        <v>4497</v>
      </c>
      <c r="L551">
        <v>536412</v>
      </c>
      <c r="M551" s="2">
        <v>22630</v>
      </c>
      <c r="N551">
        <v>1.95</v>
      </c>
      <c r="O551" s="6">
        <v>1</v>
      </c>
      <c r="P551" s="3">
        <v>7.0000000000000007E-2</v>
      </c>
      <c r="Q551" t="s">
        <v>3</v>
      </c>
      <c r="R551" s="7">
        <f t="shared" si="24"/>
        <v>1.95</v>
      </c>
      <c r="S551" s="7">
        <f t="shared" si="25"/>
        <v>0.13650000000000001</v>
      </c>
      <c r="T551">
        <f>Table1[[#This Row],[Total price]]-Table1[[#This Row],[Discount Amount]]</f>
        <v>1.8134999999999999</v>
      </c>
      <c r="U551">
        <f t="shared" si="26"/>
        <v>1.8134999999999999</v>
      </c>
    </row>
    <row r="552" spans="1:21">
      <c r="A552">
        <v>551</v>
      </c>
      <c r="B552" s="3" t="s">
        <v>1631</v>
      </c>
      <c r="C552" s="3" t="s">
        <v>2274</v>
      </c>
      <c r="D552" s="3" t="s">
        <v>3485</v>
      </c>
      <c r="E552" s="3" t="s">
        <v>3486</v>
      </c>
      <c r="F552" s="3">
        <v>196</v>
      </c>
      <c r="G552" s="4">
        <v>40878.489583333336</v>
      </c>
      <c r="H552" s="3">
        <v>4</v>
      </c>
      <c r="I552" s="5">
        <v>20</v>
      </c>
      <c r="J552" t="s">
        <v>482</v>
      </c>
      <c r="K552" t="s">
        <v>4497</v>
      </c>
      <c r="L552">
        <v>536412</v>
      </c>
      <c r="M552" s="2">
        <v>22629</v>
      </c>
      <c r="N552">
        <v>1.95</v>
      </c>
      <c r="O552" s="6">
        <v>1</v>
      </c>
      <c r="P552" s="3">
        <v>0.1</v>
      </c>
      <c r="Q552" t="s">
        <v>3</v>
      </c>
      <c r="R552" s="7">
        <f t="shared" si="24"/>
        <v>1.95</v>
      </c>
      <c r="S552" s="7">
        <f t="shared" si="25"/>
        <v>0.19500000000000001</v>
      </c>
      <c r="T552">
        <f>Table1[[#This Row],[Total price]]-Table1[[#This Row],[Discount Amount]]</f>
        <v>1.7549999999999999</v>
      </c>
      <c r="U552">
        <f t="shared" si="26"/>
        <v>1.7549999999999999</v>
      </c>
    </row>
    <row r="553" spans="1:21">
      <c r="A553">
        <v>552</v>
      </c>
      <c r="B553" s="3" t="s">
        <v>1771</v>
      </c>
      <c r="C553" s="3" t="s">
        <v>1788</v>
      </c>
      <c r="D553" s="3" t="s">
        <v>2866</v>
      </c>
      <c r="E553" s="3" t="s">
        <v>3487</v>
      </c>
      <c r="F553" s="3">
        <v>197</v>
      </c>
      <c r="G553" s="4">
        <v>40878.489583333336</v>
      </c>
      <c r="H553" s="3">
        <v>4</v>
      </c>
      <c r="I553" s="5">
        <v>4</v>
      </c>
      <c r="J553" t="s">
        <v>468</v>
      </c>
      <c r="K553" t="s">
        <v>4497</v>
      </c>
      <c r="L553">
        <v>536412</v>
      </c>
      <c r="M553" s="2">
        <v>21245</v>
      </c>
      <c r="N553">
        <v>1.69</v>
      </c>
      <c r="O553" s="6">
        <v>1</v>
      </c>
      <c r="P553" s="3">
        <v>0.2</v>
      </c>
      <c r="Q553" t="s">
        <v>3</v>
      </c>
      <c r="R553" s="7">
        <f t="shared" si="24"/>
        <v>1.69</v>
      </c>
      <c r="S553" s="7">
        <f t="shared" si="25"/>
        <v>0.33800000000000002</v>
      </c>
      <c r="T553">
        <f>Table1[[#This Row],[Total price]]-Table1[[#This Row],[Discount Amount]]</f>
        <v>1.3519999999999999</v>
      </c>
      <c r="U553">
        <f t="shared" si="26"/>
        <v>1.3519999999999999</v>
      </c>
    </row>
    <row r="554" spans="1:21">
      <c r="A554">
        <v>553</v>
      </c>
      <c r="B554" s="3" t="s">
        <v>2273</v>
      </c>
      <c r="C554" s="3" t="s">
        <v>1944</v>
      </c>
      <c r="D554" s="3" t="s">
        <v>2866</v>
      </c>
      <c r="E554" s="3" t="s">
        <v>3488</v>
      </c>
      <c r="F554" s="3">
        <v>197</v>
      </c>
      <c r="G554" s="4">
        <v>40878.489583333336</v>
      </c>
      <c r="H554" s="3">
        <v>4</v>
      </c>
      <c r="I554" s="5">
        <v>2</v>
      </c>
      <c r="J554" t="s">
        <v>485</v>
      </c>
      <c r="K554" t="s">
        <v>4497</v>
      </c>
      <c r="L554">
        <v>536412</v>
      </c>
      <c r="M554" s="2">
        <v>21244</v>
      </c>
      <c r="N554">
        <v>1.69</v>
      </c>
      <c r="O554" s="6">
        <v>1</v>
      </c>
      <c r="P554" s="3">
        <v>7.0000000000000007E-2</v>
      </c>
      <c r="Q554" t="s">
        <v>3</v>
      </c>
      <c r="R554" s="7">
        <f t="shared" si="24"/>
        <v>1.69</v>
      </c>
      <c r="S554" s="7">
        <f t="shared" si="25"/>
        <v>0.1183</v>
      </c>
      <c r="T554">
        <f>Table1[[#This Row],[Total price]]-Table1[[#This Row],[Discount Amount]]</f>
        <v>1.5716999999999999</v>
      </c>
      <c r="U554">
        <f t="shared" si="26"/>
        <v>1.5716999999999999</v>
      </c>
    </row>
    <row r="555" spans="1:21">
      <c r="A555">
        <v>554</v>
      </c>
      <c r="B555" s="3" t="s">
        <v>2272</v>
      </c>
      <c r="C555" s="3" t="s">
        <v>1243</v>
      </c>
      <c r="D555" s="3" t="s">
        <v>2866</v>
      </c>
      <c r="E555" s="3" t="s">
        <v>3489</v>
      </c>
      <c r="F555" s="3">
        <v>198</v>
      </c>
      <c r="G555" s="4">
        <v>40878.489583333336</v>
      </c>
      <c r="H555" s="3">
        <v>4</v>
      </c>
      <c r="I555" s="5">
        <v>6</v>
      </c>
      <c r="J555" t="s">
        <v>313</v>
      </c>
      <c r="K555" t="s">
        <v>4497</v>
      </c>
      <c r="L555">
        <v>536412</v>
      </c>
      <c r="M555" s="2">
        <v>21242</v>
      </c>
      <c r="N555">
        <v>1.69</v>
      </c>
      <c r="O555" s="6">
        <v>1</v>
      </c>
      <c r="P555" s="3">
        <v>0.05</v>
      </c>
      <c r="Q555" t="s">
        <v>3</v>
      </c>
      <c r="R555" s="7">
        <f t="shared" si="24"/>
        <v>1.69</v>
      </c>
      <c r="S555" s="7">
        <f t="shared" si="25"/>
        <v>8.4500000000000006E-2</v>
      </c>
      <c r="T555">
        <f>Table1[[#This Row],[Total price]]-Table1[[#This Row],[Discount Amount]]</f>
        <v>1.6054999999999999</v>
      </c>
      <c r="U555">
        <f t="shared" si="26"/>
        <v>1.6054999999999999</v>
      </c>
    </row>
    <row r="556" spans="1:21">
      <c r="A556">
        <v>555</v>
      </c>
      <c r="B556" s="3" t="s">
        <v>2271</v>
      </c>
      <c r="C556" s="3" t="s">
        <v>1405</v>
      </c>
      <c r="D556" s="3" t="s">
        <v>2866</v>
      </c>
      <c r="E556" s="3" t="s">
        <v>3490</v>
      </c>
      <c r="F556" s="3">
        <v>198</v>
      </c>
      <c r="G556" s="4">
        <v>40878.489583333336</v>
      </c>
      <c r="H556" s="3">
        <v>4</v>
      </c>
      <c r="I556" s="5">
        <v>20</v>
      </c>
      <c r="J556" t="s">
        <v>486</v>
      </c>
      <c r="K556" t="s">
        <v>4497</v>
      </c>
      <c r="L556">
        <v>536412</v>
      </c>
      <c r="M556" s="2">
        <v>21243</v>
      </c>
      <c r="N556">
        <v>1.69</v>
      </c>
      <c r="O556" s="6">
        <v>1</v>
      </c>
      <c r="P556" s="3">
        <v>7.0000000000000007E-2</v>
      </c>
      <c r="Q556" t="s">
        <v>3</v>
      </c>
      <c r="R556" s="7">
        <f t="shared" si="24"/>
        <v>1.69</v>
      </c>
      <c r="S556" s="7">
        <f t="shared" si="25"/>
        <v>0.1183</v>
      </c>
      <c r="T556">
        <f>Table1[[#This Row],[Total price]]-Table1[[#This Row],[Discount Amount]]</f>
        <v>1.5716999999999999</v>
      </c>
      <c r="U556">
        <f t="shared" si="26"/>
        <v>1.5716999999999999</v>
      </c>
    </row>
    <row r="557" spans="1:21">
      <c r="A557">
        <v>556</v>
      </c>
      <c r="B557" s="3" t="s">
        <v>2270</v>
      </c>
      <c r="C557" s="3" t="s">
        <v>2269</v>
      </c>
      <c r="D557" s="3" t="s">
        <v>2866</v>
      </c>
      <c r="E557" s="3" t="s">
        <v>3491</v>
      </c>
      <c r="F557" s="3">
        <v>198</v>
      </c>
      <c r="G557" s="4">
        <v>40878.489583333336</v>
      </c>
      <c r="H557" s="3">
        <v>4</v>
      </c>
      <c r="I557" s="5">
        <v>8</v>
      </c>
      <c r="J557" t="s">
        <v>645</v>
      </c>
      <c r="K557" t="s">
        <v>4497</v>
      </c>
      <c r="L557">
        <v>536412</v>
      </c>
      <c r="M557" s="2">
        <v>22327</v>
      </c>
      <c r="N557">
        <v>2.95</v>
      </c>
      <c r="O557" s="6">
        <v>1</v>
      </c>
      <c r="P557" s="3">
        <v>0.2</v>
      </c>
      <c r="Q557" t="s">
        <v>3</v>
      </c>
      <c r="R557" s="7">
        <f t="shared" si="24"/>
        <v>2.95</v>
      </c>
      <c r="S557" s="7">
        <f t="shared" si="25"/>
        <v>0.59000000000000008</v>
      </c>
      <c r="T557">
        <f>Table1[[#This Row],[Total price]]-Table1[[#This Row],[Discount Amount]]</f>
        <v>2.3600000000000003</v>
      </c>
      <c r="U557">
        <f t="shared" si="26"/>
        <v>2.3600000000000003</v>
      </c>
    </row>
    <row r="558" spans="1:21">
      <c r="A558">
        <v>557</v>
      </c>
      <c r="B558" s="3" t="s">
        <v>2268</v>
      </c>
      <c r="C558" s="3" t="s">
        <v>2267</v>
      </c>
      <c r="D558" s="3" t="s">
        <v>2866</v>
      </c>
      <c r="E558" s="3" t="s">
        <v>3492</v>
      </c>
      <c r="F558" s="3">
        <v>198</v>
      </c>
      <c r="G558" s="4">
        <v>40878.489583333336</v>
      </c>
      <c r="H558" s="3">
        <v>4</v>
      </c>
      <c r="I558" s="5">
        <v>13</v>
      </c>
      <c r="J558" t="s">
        <v>376</v>
      </c>
      <c r="K558" t="s">
        <v>4497</v>
      </c>
      <c r="L558">
        <v>536412</v>
      </c>
      <c r="M558" s="2">
        <v>22273</v>
      </c>
      <c r="N558">
        <v>2.95</v>
      </c>
      <c r="O558" s="6">
        <v>1</v>
      </c>
      <c r="P558" s="3">
        <v>0.05</v>
      </c>
      <c r="Q558" t="s">
        <v>3</v>
      </c>
      <c r="R558" s="7">
        <f t="shared" si="24"/>
        <v>2.95</v>
      </c>
      <c r="S558" s="7">
        <f t="shared" si="25"/>
        <v>0.14750000000000002</v>
      </c>
      <c r="T558">
        <f>Table1[[#This Row],[Total price]]-Table1[[#This Row],[Discount Amount]]</f>
        <v>2.8025000000000002</v>
      </c>
      <c r="U558">
        <f t="shared" si="26"/>
        <v>2.8025000000000002</v>
      </c>
    </row>
    <row r="559" spans="1:21">
      <c r="A559">
        <v>558</v>
      </c>
      <c r="B559" s="3" t="s">
        <v>2052</v>
      </c>
      <c r="C559" s="3" t="s">
        <v>2266</v>
      </c>
      <c r="D559" s="3" t="s">
        <v>2866</v>
      </c>
      <c r="E559" s="3" t="s">
        <v>3493</v>
      </c>
      <c r="F559" s="3">
        <v>198</v>
      </c>
      <c r="G559" s="4">
        <v>40878.489583333336</v>
      </c>
      <c r="H559" s="3">
        <v>4</v>
      </c>
      <c r="I559" s="5">
        <v>17</v>
      </c>
      <c r="J559" t="s">
        <v>232</v>
      </c>
      <c r="K559" t="s">
        <v>4497</v>
      </c>
      <c r="L559">
        <v>536412</v>
      </c>
      <c r="M559" s="2">
        <v>22940</v>
      </c>
      <c r="N559">
        <v>4.25</v>
      </c>
      <c r="O559" s="6">
        <v>3</v>
      </c>
      <c r="P559" s="3">
        <v>0.05</v>
      </c>
      <c r="Q559" t="s">
        <v>3</v>
      </c>
      <c r="R559" s="7">
        <f t="shared" si="24"/>
        <v>12.75</v>
      </c>
      <c r="S559" s="7">
        <f t="shared" si="25"/>
        <v>0.63750000000000007</v>
      </c>
      <c r="T559">
        <f>Table1[[#This Row],[Total price]]-Table1[[#This Row],[Discount Amount]]</f>
        <v>12.112500000000001</v>
      </c>
      <c r="U559">
        <f t="shared" si="26"/>
        <v>36.337500000000006</v>
      </c>
    </row>
    <row r="560" spans="1:21">
      <c r="A560">
        <v>559</v>
      </c>
      <c r="B560" s="3" t="s">
        <v>2265</v>
      </c>
      <c r="C560" s="3" t="s">
        <v>1022</v>
      </c>
      <c r="D560" s="3" t="s">
        <v>3494</v>
      </c>
      <c r="E560" s="3" t="s">
        <v>3495</v>
      </c>
      <c r="F560" s="3">
        <v>199</v>
      </c>
      <c r="G560" s="4">
        <v>40878.489583333336</v>
      </c>
      <c r="H560" s="3">
        <v>4</v>
      </c>
      <c r="I560" s="5">
        <v>25</v>
      </c>
      <c r="J560" t="s">
        <v>206</v>
      </c>
      <c r="K560" t="s">
        <v>4497</v>
      </c>
      <c r="L560">
        <v>536412</v>
      </c>
      <c r="M560" s="2">
        <v>22652</v>
      </c>
      <c r="N560">
        <v>1.65</v>
      </c>
      <c r="O560" s="6">
        <v>5</v>
      </c>
      <c r="P560" s="3">
        <v>0.05</v>
      </c>
      <c r="Q560" t="s">
        <v>3</v>
      </c>
      <c r="R560" s="7">
        <f t="shared" si="24"/>
        <v>8.25</v>
      </c>
      <c r="S560" s="7">
        <f t="shared" si="25"/>
        <v>0.41250000000000003</v>
      </c>
      <c r="T560">
        <f>Table1[[#This Row],[Total price]]-Table1[[#This Row],[Discount Amount]]</f>
        <v>7.8375000000000004</v>
      </c>
      <c r="U560">
        <f t="shared" si="26"/>
        <v>39.1875</v>
      </c>
    </row>
    <row r="561" spans="1:21">
      <c r="A561">
        <v>560</v>
      </c>
      <c r="B561" s="3" t="s">
        <v>2264</v>
      </c>
      <c r="C561" s="3" t="s">
        <v>1070</v>
      </c>
      <c r="D561" s="3" t="s">
        <v>2866</v>
      </c>
      <c r="E561" s="3" t="s">
        <v>3496</v>
      </c>
      <c r="F561" s="3">
        <v>199</v>
      </c>
      <c r="G561" s="4">
        <v>40878.489583333336</v>
      </c>
      <c r="H561" s="3">
        <v>4</v>
      </c>
      <c r="I561" s="5">
        <v>18</v>
      </c>
      <c r="J561" t="s">
        <v>146</v>
      </c>
      <c r="K561" t="s">
        <v>4497</v>
      </c>
      <c r="L561">
        <v>536412</v>
      </c>
      <c r="M561" s="2">
        <v>22759</v>
      </c>
      <c r="N561">
        <v>1.65</v>
      </c>
      <c r="O561" s="6">
        <v>1</v>
      </c>
      <c r="P561" s="3">
        <v>7.0000000000000007E-2</v>
      </c>
      <c r="Q561" t="s">
        <v>3</v>
      </c>
      <c r="R561" s="7">
        <f t="shared" si="24"/>
        <v>1.65</v>
      </c>
      <c r="S561" s="7">
        <f t="shared" si="25"/>
        <v>0.11550000000000001</v>
      </c>
      <c r="T561">
        <f>Table1[[#This Row],[Total price]]-Table1[[#This Row],[Discount Amount]]</f>
        <v>1.5345</v>
      </c>
      <c r="U561">
        <f t="shared" si="26"/>
        <v>1.5345</v>
      </c>
    </row>
    <row r="562" spans="1:21">
      <c r="A562">
        <v>561</v>
      </c>
      <c r="B562" s="3" t="s">
        <v>1440</v>
      </c>
      <c r="C562" s="3" t="s">
        <v>1010</v>
      </c>
      <c r="D562" s="3" t="s">
        <v>2866</v>
      </c>
      <c r="E562" s="3" t="s">
        <v>3497</v>
      </c>
      <c r="F562" s="3">
        <v>199</v>
      </c>
      <c r="G562" s="4">
        <v>40878.489583333336</v>
      </c>
      <c r="H562" s="3">
        <v>4</v>
      </c>
      <c r="I562" s="5">
        <v>4</v>
      </c>
      <c r="J562" t="s">
        <v>590</v>
      </c>
      <c r="K562" t="s">
        <v>4497</v>
      </c>
      <c r="L562">
        <v>536412</v>
      </c>
      <c r="M562" s="2">
        <v>21880</v>
      </c>
      <c r="N562">
        <v>0.65</v>
      </c>
      <c r="O562" s="6">
        <v>10</v>
      </c>
      <c r="P562" s="3">
        <v>0.2</v>
      </c>
      <c r="Q562" t="s">
        <v>3</v>
      </c>
      <c r="R562" s="7">
        <f t="shared" si="24"/>
        <v>6.5</v>
      </c>
      <c r="S562" s="7">
        <f t="shared" si="25"/>
        <v>1.3</v>
      </c>
      <c r="T562">
        <f>Table1[[#This Row],[Total price]]-Table1[[#This Row],[Discount Amount]]</f>
        <v>5.2</v>
      </c>
      <c r="U562">
        <f t="shared" si="26"/>
        <v>52</v>
      </c>
    </row>
    <row r="563" spans="1:21">
      <c r="A563">
        <v>562</v>
      </c>
      <c r="B563" s="3" t="s">
        <v>2263</v>
      </c>
      <c r="C563" s="3" t="s">
        <v>2262</v>
      </c>
      <c r="D563" s="3" t="s">
        <v>2866</v>
      </c>
      <c r="E563" s="3" t="s">
        <v>3498</v>
      </c>
      <c r="F563" s="3">
        <v>200</v>
      </c>
      <c r="G563" s="4">
        <v>40878.489583333336</v>
      </c>
      <c r="H563" s="3">
        <v>4</v>
      </c>
      <c r="I563" s="5">
        <v>23</v>
      </c>
      <c r="J563" t="s">
        <v>636</v>
      </c>
      <c r="K563" t="s">
        <v>4497</v>
      </c>
      <c r="L563">
        <v>536412</v>
      </c>
      <c r="M563" s="2">
        <v>21738</v>
      </c>
      <c r="N563">
        <v>2.95</v>
      </c>
      <c r="O563" s="6">
        <v>1</v>
      </c>
      <c r="P563" s="3">
        <v>0.05</v>
      </c>
      <c r="Q563" t="s">
        <v>3</v>
      </c>
      <c r="R563" s="7">
        <f t="shared" si="24"/>
        <v>2.95</v>
      </c>
      <c r="S563" s="7">
        <f t="shared" si="25"/>
        <v>0.14750000000000002</v>
      </c>
      <c r="T563">
        <f>Table1[[#This Row],[Total price]]-Table1[[#This Row],[Discount Amount]]</f>
        <v>2.8025000000000002</v>
      </c>
      <c r="U563">
        <f t="shared" si="26"/>
        <v>2.8025000000000002</v>
      </c>
    </row>
    <row r="564" spans="1:21">
      <c r="A564">
        <v>563</v>
      </c>
      <c r="B564" s="3" t="s">
        <v>2261</v>
      </c>
      <c r="C564" s="3" t="s">
        <v>1539</v>
      </c>
      <c r="D564" s="3" t="s">
        <v>2866</v>
      </c>
      <c r="E564" s="3" t="s">
        <v>3499</v>
      </c>
      <c r="F564" s="3">
        <v>200</v>
      </c>
      <c r="G564" s="4">
        <v>40878.489583333336</v>
      </c>
      <c r="H564" s="3">
        <v>4</v>
      </c>
      <c r="I564" s="5">
        <v>22</v>
      </c>
      <c r="J564" t="s">
        <v>51</v>
      </c>
      <c r="K564" t="s">
        <v>4497</v>
      </c>
      <c r="L564">
        <v>536412</v>
      </c>
      <c r="M564" s="2">
        <v>22077</v>
      </c>
      <c r="N564">
        <v>1.65</v>
      </c>
      <c r="O564" s="6">
        <v>1</v>
      </c>
      <c r="P564" s="3">
        <v>7.0000000000000007E-2</v>
      </c>
      <c r="Q564" t="s">
        <v>3</v>
      </c>
      <c r="R564" s="7">
        <f t="shared" si="24"/>
        <v>1.65</v>
      </c>
      <c r="S564" s="7">
        <f t="shared" si="25"/>
        <v>0.11550000000000001</v>
      </c>
      <c r="T564">
        <f>Table1[[#This Row],[Total price]]-Table1[[#This Row],[Discount Amount]]</f>
        <v>1.5345</v>
      </c>
      <c r="U564">
        <f t="shared" si="26"/>
        <v>1.5345</v>
      </c>
    </row>
    <row r="565" spans="1:21">
      <c r="A565">
        <v>564</v>
      </c>
      <c r="B565" s="3" t="s">
        <v>2260</v>
      </c>
      <c r="C565" s="3" t="s">
        <v>2259</v>
      </c>
      <c r="D565" s="3" t="s">
        <v>2866</v>
      </c>
      <c r="E565" s="3" t="s">
        <v>3500</v>
      </c>
      <c r="F565" s="3">
        <v>201</v>
      </c>
      <c r="G565" s="4">
        <v>40878.489583333336</v>
      </c>
      <c r="H565" s="3">
        <v>4</v>
      </c>
      <c r="I565" s="5">
        <v>24</v>
      </c>
      <c r="J565" t="s">
        <v>351</v>
      </c>
      <c r="K565" t="s">
        <v>4497</v>
      </c>
      <c r="L565">
        <v>536412</v>
      </c>
      <c r="M565" s="2" t="s">
        <v>350</v>
      </c>
      <c r="N565">
        <v>1.25</v>
      </c>
      <c r="O565" s="6">
        <v>3</v>
      </c>
      <c r="P565" s="3">
        <v>0.05</v>
      </c>
      <c r="Q565" t="s">
        <v>3</v>
      </c>
      <c r="R565" s="7">
        <f t="shared" si="24"/>
        <v>3.75</v>
      </c>
      <c r="S565" s="7">
        <f t="shared" si="25"/>
        <v>0.1875</v>
      </c>
      <c r="T565">
        <f>Table1[[#This Row],[Total price]]-Table1[[#This Row],[Discount Amount]]</f>
        <v>3.5625</v>
      </c>
      <c r="U565">
        <f t="shared" si="26"/>
        <v>10.6875</v>
      </c>
    </row>
    <row r="566" spans="1:21">
      <c r="A566">
        <v>565</v>
      </c>
      <c r="B566" s="3" t="s">
        <v>2258</v>
      </c>
      <c r="C566" s="3" t="s">
        <v>2257</v>
      </c>
      <c r="D566" s="3" t="s">
        <v>2866</v>
      </c>
      <c r="E566" s="3" t="s">
        <v>3501</v>
      </c>
      <c r="F566" s="3">
        <v>201</v>
      </c>
      <c r="G566" s="4">
        <v>40878.489583333336</v>
      </c>
      <c r="H566" s="3">
        <v>4</v>
      </c>
      <c r="I566" s="5">
        <v>7</v>
      </c>
      <c r="J566" t="s">
        <v>876</v>
      </c>
      <c r="K566" t="s">
        <v>4497</v>
      </c>
      <c r="L566">
        <v>536412</v>
      </c>
      <c r="M566" s="2">
        <v>22961</v>
      </c>
      <c r="N566">
        <v>1.45</v>
      </c>
      <c r="O566" s="6">
        <v>24</v>
      </c>
      <c r="P566" s="3">
        <v>0.2</v>
      </c>
      <c r="Q566" t="s">
        <v>3</v>
      </c>
      <c r="R566" s="7">
        <f t="shared" si="24"/>
        <v>34.799999999999997</v>
      </c>
      <c r="S566" s="7">
        <f t="shared" si="25"/>
        <v>6.96</v>
      </c>
      <c r="T566">
        <f>Table1[[#This Row],[Total price]]-Table1[[#This Row],[Discount Amount]]</f>
        <v>27.839999999999996</v>
      </c>
      <c r="U566">
        <f t="shared" si="26"/>
        <v>668.15999999999985</v>
      </c>
    </row>
    <row r="567" spans="1:21">
      <c r="A567">
        <v>566</v>
      </c>
      <c r="B567" s="3" t="s">
        <v>2256</v>
      </c>
      <c r="C567" s="3" t="s">
        <v>2255</v>
      </c>
      <c r="D567" s="3" t="s">
        <v>2866</v>
      </c>
      <c r="E567" s="3" t="s">
        <v>3502</v>
      </c>
      <c r="F567" s="3">
        <v>201</v>
      </c>
      <c r="G567" s="4">
        <v>40878.489583333336</v>
      </c>
      <c r="H567" s="3">
        <v>4</v>
      </c>
      <c r="I567" s="5">
        <v>14</v>
      </c>
      <c r="J567" t="s">
        <v>738</v>
      </c>
      <c r="K567" t="s">
        <v>4497</v>
      </c>
      <c r="L567">
        <v>536412</v>
      </c>
      <c r="M567" s="2">
        <v>21448</v>
      </c>
      <c r="N567">
        <v>1.65</v>
      </c>
      <c r="O567" s="6">
        <v>2</v>
      </c>
      <c r="P567" s="3">
        <v>0.1</v>
      </c>
      <c r="Q567" t="s">
        <v>3</v>
      </c>
      <c r="R567" s="7">
        <f t="shared" si="24"/>
        <v>3.3</v>
      </c>
      <c r="S567" s="7">
        <f t="shared" si="25"/>
        <v>0.33</v>
      </c>
      <c r="T567">
        <f>Table1[[#This Row],[Total price]]-Table1[[#This Row],[Discount Amount]]</f>
        <v>2.9699999999999998</v>
      </c>
      <c r="U567">
        <f t="shared" si="26"/>
        <v>5.9399999999999995</v>
      </c>
    </row>
    <row r="568" spans="1:21">
      <c r="A568">
        <v>567</v>
      </c>
      <c r="B568" s="3" t="s">
        <v>1370</v>
      </c>
      <c r="C568" s="3" t="s">
        <v>1058</v>
      </c>
      <c r="D568" s="3" t="s">
        <v>2866</v>
      </c>
      <c r="E568" s="3" t="s">
        <v>3503</v>
      </c>
      <c r="F568" s="3">
        <v>201</v>
      </c>
      <c r="G568" s="4">
        <v>40878.489583333336</v>
      </c>
      <c r="H568" s="3">
        <v>4</v>
      </c>
      <c r="I568" s="5">
        <v>17</v>
      </c>
      <c r="J568" t="s">
        <v>11</v>
      </c>
      <c r="K568" t="s">
        <v>4497</v>
      </c>
      <c r="L568">
        <v>536412</v>
      </c>
      <c r="M568" s="2">
        <v>22837</v>
      </c>
      <c r="N568">
        <v>4.6500000000000004</v>
      </c>
      <c r="O568" s="6">
        <v>3</v>
      </c>
      <c r="P568" s="3">
        <v>0.05</v>
      </c>
      <c r="Q568" t="s">
        <v>3</v>
      </c>
      <c r="R568" s="7">
        <f t="shared" si="24"/>
        <v>13.950000000000001</v>
      </c>
      <c r="S568" s="7">
        <f t="shared" si="25"/>
        <v>0.69750000000000012</v>
      </c>
      <c r="T568">
        <f>Table1[[#This Row],[Total price]]-Table1[[#This Row],[Discount Amount]]</f>
        <v>13.252500000000001</v>
      </c>
      <c r="U568">
        <f t="shared" si="26"/>
        <v>39.757500000000007</v>
      </c>
    </row>
    <row r="569" spans="1:21">
      <c r="A569">
        <v>568</v>
      </c>
      <c r="B569" s="3" t="s">
        <v>2254</v>
      </c>
      <c r="C569" s="3" t="s">
        <v>2253</v>
      </c>
      <c r="D569" s="3" t="s">
        <v>2866</v>
      </c>
      <c r="E569" s="3" t="s">
        <v>3504</v>
      </c>
      <c r="F569" s="3">
        <v>202</v>
      </c>
      <c r="G569" s="4">
        <v>40878.489583333336</v>
      </c>
      <c r="H569" s="3">
        <v>4</v>
      </c>
      <c r="I569" s="5">
        <v>8</v>
      </c>
      <c r="J569" t="s">
        <v>228</v>
      </c>
      <c r="K569" t="s">
        <v>4497</v>
      </c>
      <c r="L569">
        <v>536412</v>
      </c>
      <c r="M569" s="2">
        <v>22749</v>
      </c>
      <c r="N569">
        <v>3.75</v>
      </c>
      <c r="O569" s="6">
        <v>2</v>
      </c>
      <c r="P569" s="3">
        <v>7.0000000000000007E-2</v>
      </c>
      <c r="Q569" t="s">
        <v>3</v>
      </c>
      <c r="R569" s="7">
        <f t="shared" si="24"/>
        <v>7.5</v>
      </c>
      <c r="S569" s="7">
        <f t="shared" si="25"/>
        <v>0.52500000000000002</v>
      </c>
      <c r="T569">
        <f>Table1[[#This Row],[Total price]]-Table1[[#This Row],[Discount Amount]]</f>
        <v>6.9749999999999996</v>
      </c>
      <c r="U569">
        <f t="shared" si="26"/>
        <v>13.95</v>
      </c>
    </row>
    <row r="570" spans="1:21">
      <c r="A570">
        <v>569</v>
      </c>
      <c r="B570" s="3" t="s">
        <v>2252</v>
      </c>
      <c r="C570" s="3" t="s">
        <v>894</v>
      </c>
      <c r="D570" s="3" t="s">
        <v>2866</v>
      </c>
      <c r="E570" s="3" t="s">
        <v>3505</v>
      </c>
      <c r="F570" s="3">
        <v>202</v>
      </c>
      <c r="G570" s="4">
        <v>40878.489583333336</v>
      </c>
      <c r="H570" s="3">
        <v>4</v>
      </c>
      <c r="I570" s="5">
        <v>17</v>
      </c>
      <c r="J570" t="s">
        <v>232</v>
      </c>
      <c r="K570" t="s">
        <v>4497</v>
      </c>
      <c r="L570">
        <v>536412</v>
      </c>
      <c r="M570" s="2">
        <v>22940</v>
      </c>
      <c r="N570">
        <v>4.25</v>
      </c>
      <c r="O570" s="6">
        <v>1</v>
      </c>
      <c r="P570" s="3">
        <v>0.05</v>
      </c>
      <c r="Q570" t="s">
        <v>3</v>
      </c>
      <c r="R570" s="7">
        <f t="shared" si="24"/>
        <v>4.25</v>
      </c>
      <c r="S570" s="7">
        <f t="shared" si="25"/>
        <v>0.21250000000000002</v>
      </c>
      <c r="T570">
        <f>Table1[[#This Row],[Total price]]-Table1[[#This Row],[Discount Amount]]</f>
        <v>4.0374999999999996</v>
      </c>
      <c r="U570">
        <f t="shared" si="26"/>
        <v>4.0374999999999996</v>
      </c>
    </row>
    <row r="571" spans="1:21">
      <c r="A571">
        <v>570</v>
      </c>
      <c r="B571" s="3" t="s">
        <v>2251</v>
      </c>
      <c r="C571" s="3" t="s">
        <v>1100</v>
      </c>
      <c r="D571" s="3" t="s">
        <v>2866</v>
      </c>
      <c r="E571" s="3" t="s">
        <v>3506</v>
      </c>
      <c r="F571" s="3">
        <v>202</v>
      </c>
      <c r="G571" s="4">
        <v>40878.489583333336</v>
      </c>
      <c r="H571" s="3">
        <v>4</v>
      </c>
      <c r="I571" s="5">
        <v>15</v>
      </c>
      <c r="J571" t="s">
        <v>228</v>
      </c>
      <c r="K571" t="s">
        <v>4497</v>
      </c>
      <c r="L571">
        <v>536412</v>
      </c>
      <c r="M571" s="2">
        <v>22749</v>
      </c>
      <c r="N571">
        <v>3.75</v>
      </c>
      <c r="O571" s="6">
        <v>1</v>
      </c>
      <c r="P571" s="3">
        <v>0.05</v>
      </c>
      <c r="Q571" t="s">
        <v>3</v>
      </c>
      <c r="R571" s="7">
        <f t="shared" si="24"/>
        <v>3.75</v>
      </c>
      <c r="S571" s="7">
        <f t="shared" si="25"/>
        <v>0.1875</v>
      </c>
      <c r="T571">
        <f>Table1[[#This Row],[Total price]]-Table1[[#This Row],[Discount Amount]]</f>
        <v>3.5625</v>
      </c>
      <c r="U571">
        <f t="shared" si="26"/>
        <v>3.5625</v>
      </c>
    </row>
    <row r="572" spans="1:21">
      <c r="A572">
        <v>571</v>
      </c>
      <c r="B572" s="3" t="s">
        <v>2250</v>
      </c>
      <c r="C572" s="3" t="s">
        <v>1392</v>
      </c>
      <c r="D572" s="3" t="s">
        <v>2866</v>
      </c>
      <c r="E572" s="3" t="s">
        <v>3507</v>
      </c>
      <c r="F572" s="3">
        <v>202</v>
      </c>
      <c r="G572" s="4">
        <v>40878.489583333336</v>
      </c>
      <c r="H572" s="3">
        <v>4</v>
      </c>
      <c r="I572" s="5">
        <v>25</v>
      </c>
      <c r="J572" t="s">
        <v>51</v>
      </c>
      <c r="K572" t="s">
        <v>4497</v>
      </c>
      <c r="L572">
        <v>536412</v>
      </c>
      <c r="M572" s="2">
        <v>22077</v>
      </c>
      <c r="N572">
        <v>1.65</v>
      </c>
      <c r="O572" s="6">
        <v>2</v>
      </c>
      <c r="P572" s="3">
        <v>0.05</v>
      </c>
      <c r="Q572" t="s">
        <v>3</v>
      </c>
      <c r="R572" s="7">
        <f t="shared" si="24"/>
        <v>3.3</v>
      </c>
      <c r="S572" s="7">
        <f t="shared" si="25"/>
        <v>0.16500000000000001</v>
      </c>
      <c r="T572">
        <f>Table1[[#This Row],[Total price]]-Table1[[#This Row],[Discount Amount]]</f>
        <v>3.1349999999999998</v>
      </c>
      <c r="U572">
        <f t="shared" si="26"/>
        <v>6.27</v>
      </c>
    </row>
    <row r="573" spans="1:21">
      <c r="A573">
        <v>572</v>
      </c>
      <c r="B573" s="3" t="s">
        <v>2249</v>
      </c>
      <c r="C573" s="3" t="s">
        <v>1090</v>
      </c>
      <c r="D573" s="3" t="s">
        <v>2866</v>
      </c>
      <c r="E573" s="3" t="s">
        <v>3508</v>
      </c>
      <c r="F573" s="3">
        <v>203</v>
      </c>
      <c r="G573" s="4">
        <v>40878.489583333336</v>
      </c>
      <c r="H573" s="3">
        <v>4</v>
      </c>
      <c r="I573" s="5">
        <v>26</v>
      </c>
      <c r="J573" t="s">
        <v>636</v>
      </c>
      <c r="K573" t="s">
        <v>4497</v>
      </c>
      <c r="L573">
        <v>536412</v>
      </c>
      <c r="M573" s="2">
        <v>21738</v>
      </c>
      <c r="N573">
        <v>2.95</v>
      </c>
      <c r="O573" s="6">
        <v>2</v>
      </c>
      <c r="P573" s="3">
        <v>0.05</v>
      </c>
      <c r="Q573" t="s">
        <v>3</v>
      </c>
      <c r="R573" s="7">
        <f t="shared" si="24"/>
        <v>5.9</v>
      </c>
      <c r="S573" s="7">
        <f t="shared" si="25"/>
        <v>0.29500000000000004</v>
      </c>
      <c r="T573">
        <f>Table1[[#This Row],[Total price]]-Table1[[#This Row],[Discount Amount]]</f>
        <v>5.6050000000000004</v>
      </c>
      <c r="U573">
        <f t="shared" si="26"/>
        <v>11.21</v>
      </c>
    </row>
    <row r="574" spans="1:21">
      <c r="A574">
        <v>573</v>
      </c>
      <c r="B574" s="3" t="s">
        <v>2248</v>
      </c>
      <c r="C574" s="3" t="s">
        <v>2247</v>
      </c>
      <c r="D574" s="3" t="s">
        <v>3509</v>
      </c>
      <c r="E574" s="3" t="s">
        <v>3510</v>
      </c>
      <c r="F574" s="3">
        <v>203</v>
      </c>
      <c r="G574" s="4">
        <v>40878.489583333336</v>
      </c>
      <c r="H574" s="3">
        <v>4</v>
      </c>
      <c r="I574" s="5">
        <v>3</v>
      </c>
      <c r="J574" t="s">
        <v>351</v>
      </c>
      <c r="K574" t="s">
        <v>4497</v>
      </c>
      <c r="L574">
        <v>536412</v>
      </c>
      <c r="M574" s="2" t="s">
        <v>350</v>
      </c>
      <c r="N574">
        <v>1.25</v>
      </c>
      <c r="O574" s="6">
        <v>1</v>
      </c>
      <c r="P574" s="3">
        <v>0.1</v>
      </c>
      <c r="Q574" t="s">
        <v>3</v>
      </c>
      <c r="R574" s="7">
        <f t="shared" si="24"/>
        <v>1.25</v>
      </c>
      <c r="S574" s="7">
        <f t="shared" si="25"/>
        <v>0.125</v>
      </c>
      <c r="T574">
        <f>Table1[[#This Row],[Total price]]-Table1[[#This Row],[Discount Amount]]</f>
        <v>1.125</v>
      </c>
      <c r="U574">
        <f t="shared" si="26"/>
        <v>1.125</v>
      </c>
    </row>
    <row r="575" spans="1:21">
      <c r="A575">
        <v>574</v>
      </c>
      <c r="B575" s="3" t="s">
        <v>1255</v>
      </c>
      <c r="C575" s="3" t="s">
        <v>2246</v>
      </c>
      <c r="D575" s="3" t="s">
        <v>2866</v>
      </c>
      <c r="E575" s="3" t="s">
        <v>3511</v>
      </c>
      <c r="F575" s="3">
        <v>203</v>
      </c>
      <c r="G575" s="4">
        <v>40878.489583333336</v>
      </c>
      <c r="H575" s="3">
        <v>4</v>
      </c>
      <c r="I575" s="5">
        <v>17</v>
      </c>
      <c r="J575" t="s">
        <v>466</v>
      </c>
      <c r="K575" t="s">
        <v>4497</v>
      </c>
      <c r="L575">
        <v>536412</v>
      </c>
      <c r="M575" s="2">
        <v>22243</v>
      </c>
      <c r="N575">
        <v>1.65</v>
      </c>
      <c r="O575" s="6">
        <v>6</v>
      </c>
      <c r="P575" s="3">
        <v>0.2</v>
      </c>
      <c r="Q575" t="s">
        <v>3</v>
      </c>
      <c r="R575" s="7">
        <f t="shared" si="24"/>
        <v>9.8999999999999986</v>
      </c>
      <c r="S575" s="7">
        <f t="shared" si="25"/>
        <v>1.9799999999999998</v>
      </c>
      <c r="T575">
        <f>Table1[[#This Row],[Total price]]-Table1[[#This Row],[Discount Amount]]</f>
        <v>7.919999999999999</v>
      </c>
      <c r="U575">
        <f t="shared" si="26"/>
        <v>47.519999999999996</v>
      </c>
    </row>
    <row r="576" spans="1:21">
      <c r="A576">
        <v>575</v>
      </c>
      <c r="B576" s="3" t="s">
        <v>2245</v>
      </c>
      <c r="C576" s="3" t="s">
        <v>2244</v>
      </c>
      <c r="D576" s="3" t="s">
        <v>2866</v>
      </c>
      <c r="E576" s="3" t="s">
        <v>3512</v>
      </c>
      <c r="F576" s="3">
        <v>203</v>
      </c>
      <c r="G576" s="4">
        <v>40878.489583333336</v>
      </c>
      <c r="H576" s="3">
        <v>4</v>
      </c>
      <c r="I576" s="5">
        <v>19</v>
      </c>
      <c r="J576" t="s">
        <v>850</v>
      </c>
      <c r="K576" t="s">
        <v>4497</v>
      </c>
      <c r="L576">
        <v>536412</v>
      </c>
      <c r="M576" s="2">
        <v>22141</v>
      </c>
      <c r="N576">
        <v>2.1</v>
      </c>
      <c r="O576" s="6">
        <v>1</v>
      </c>
      <c r="P576" s="3">
        <v>7.0000000000000007E-2</v>
      </c>
      <c r="Q576" t="s">
        <v>3</v>
      </c>
      <c r="R576" s="7">
        <f t="shared" si="24"/>
        <v>2.1</v>
      </c>
      <c r="S576" s="7">
        <f t="shared" si="25"/>
        <v>0.14700000000000002</v>
      </c>
      <c r="T576">
        <f>Table1[[#This Row],[Total price]]-Table1[[#This Row],[Discount Amount]]</f>
        <v>1.9530000000000001</v>
      </c>
      <c r="U576">
        <f t="shared" si="26"/>
        <v>1.9530000000000001</v>
      </c>
    </row>
    <row r="577" spans="1:21">
      <c r="A577">
        <v>576</v>
      </c>
      <c r="B577" s="3" t="s">
        <v>1498</v>
      </c>
      <c r="C577" s="3" t="s">
        <v>2243</v>
      </c>
      <c r="D577" s="3" t="s">
        <v>3513</v>
      </c>
      <c r="E577" s="3" t="s">
        <v>3514</v>
      </c>
      <c r="F577" s="3">
        <v>204</v>
      </c>
      <c r="G577" s="4">
        <v>40878.489583333336</v>
      </c>
      <c r="H577" s="3">
        <v>4</v>
      </c>
      <c r="I577" s="5">
        <v>6</v>
      </c>
      <c r="J577" t="s">
        <v>851</v>
      </c>
      <c r="K577" t="s">
        <v>4497</v>
      </c>
      <c r="L577">
        <v>536412</v>
      </c>
      <c r="M577" s="2">
        <v>22144</v>
      </c>
      <c r="N577">
        <v>2.1</v>
      </c>
      <c r="O577" s="6">
        <v>2</v>
      </c>
      <c r="P577" s="3">
        <v>7.0000000000000007E-2</v>
      </c>
      <c r="Q577" t="s">
        <v>3</v>
      </c>
      <c r="R577" s="7">
        <f t="shared" si="24"/>
        <v>4.2</v>
      </c>
      <c r="S577" s="7">
        <f t="shared" si="25"/>
        <v>0.29400000000000004</v>
      </c>
      <c r="T577">
        <f>Table1[[#This Row],[Total price]]-Table1[[#This Row],[Discount Amount]]</f>
        <v>3.9060000000000001</v>
      </c>
      <c r="U577">
        <f t="shared" si="26"/>
        <v>7.8120000000000003</v>
      </c>
    </row>
    <row r="578" spans="1:21">
      <c r="A578">
        <v>577</v>
      </c>
      <c r="B578" s="3" t="s">
        <v>2242</v>
      </c>
      <c r="C578" s="3" t="s">
        <v>2241</v>
      </c>
      <c r="D578" s="3" t="s">
        <v>2866</v>
      </c>
      <c r="E578" s="3" t="s">
        <v>3515</v>
      </c>
      <c r="F578" s="3">
        <v>204</v>
      </c>
      <c r="G578" s="4">
        <v>40878.489583333336</v>
      </c>
      <c r="H578" s="3">
        <v>4</v>
      </c>
      <c r="I578" s="5">
        <v>17</v>
      </c>
      <c r="J578" t="s">
        <v>466</v>
      </c>
      <c r="K578" t="s">
        <v>4497</v>
      </c>
      <c r="L578">
        <v>536412</v>
      </c>
      <c r="M578" s="2">
        <v>22243</v>
      </c>
      <c r="N578">
        <v>1.65</v>
      </c>
      <c r="O578" s="6">
        <v>3</v>
      </c>
      <c r="P578" s="3">
        <v>0.1</v>
      </c>
      <c r="Q578" t="s">
        <v>3</v>
      </c>
      <c r="R578" s="7">
        <f t="shared" si="24"/>
        <v>4.9499999999999993</v>
      </c>
      <c r="S578" s="7">
        <f t="shared" si="25"/>
        <v>0.49499999999999994</v>
      </c>
      <c r="T578">
        <f>Table1[[#This Row],[Total price]]-Table1[[#This Row],[Discount Amount]]</f>
        <v>4.4549999999999992</v>
      </c>
      <c r="U578">
        <f t="shared" si="26"/>
        <v>13.364999999999998</v>
      </c>
    </row>
    <row r="579" spans="1:21">
      <c r="A579">
        <v>578</v>
      </c>
      <c r="B579" s="3" t="s">
        <v>2240</v>
      </c>
      <c r="C579" s="3" t="s">
        <v>2239</v>
      </c>
      <c r="D579" s="3" t="s">
        <v>2866</v>
      </c>
      <c r="E579" s="3" t="s">
        <v>3516</v>
      </c>
      <c r="F579" s="3">
        <v>205</v>
      </c>
      <c r="G579" s="4">
        <v>40878.489583333336</v>
      </c>
      <c r="H579" s="3">
        <v>4</v>
      </c>
      <c r="I579" s="5">
        <v>22</v>
      </c>
      <c r="J579" t="s">
        <v>51</v>
      </c>
      <c r="K579" t="s">
        <v>4497</v>
      </c>
      <c r="L579">
        <v>536412</v>
      </c>
      <c r="M579" s="2">
        <v>22077</v>
      </c>
      <c r="N579">
        <v>1.65</v>
      </c>
      <c r="O579" s="6">
        <v>7</v>
      </c>
      <c r="P579" s="3">
        <v>0.05</v>
      </c>
      <c r="Q579" t="s">
        <v>3</v>
      </c>
      <c r="R579" s="7">
        <f t="shared" ref="R579:R642" si="27">N579*O579</f>
        <v>11.549999999999999</v>
      </c>
      <c r="S579" s="7">
        <f t="shared" ref="S579:S642" si="28">R579*P579</f>
        <v>0.57750000000000001</v>
      </c>
      <c r="T579">
        <f>Table1[[#This Row],[Total price]]-Table1[[#This Row],[Discount Amount]]</f>
        <v>10.972499999999998</v>
      </c>
      <c r="U579">
        <f t="shared" ref="U579:U642" si="29">T579*O579</f>
        <v>76.80749999999999</v>
      </c>
    </row>
    <row r="580" spans="1:21">
      <c r="A580">
        <v>579</v>
      </c>
      <c r="B580" s="3" t="s">
        <v>2238</v>
      </c>
      <c r="C580" s="3" t="s">
        <v>1418</v>
      </c>
      <c r="D580" s="3" t="s">
        <v>2866</v>
      </c>
      <c r="E580" s="3" t="s">
        <v>3517</v>
      </c>
      <c r="F580" s="3">
        <v>205</v>
      </c>
      <c r="G580" s="4">
        <v>40878.489583333336</v>
      </c>
      <c r="H580" s="3">
        <v>4</v>
      </c>
      <c r="I580" s="5">
        <v>24</v>
      </c>
      <c r="J580" t="s">
        <v>738</v>
      </c>
      <c r="K580" t="s">
        <v>4497</v>
      </c>
      <c r="L580">
        <v>536412</v>
      </c>
      <c r="M580" s="2">
        <v>21448</v>
      </c>
      <c r="N580">
        <v>1.65</v>
      </c>
      <c r="O580" s="6">
        <v>1</v>
      </c>
      <c r="P580" s="3">
        <v>0.1</v>
      </c>
      <c r="Q580" t="s">
        <v>3</v>
      </c>
      <c r="R580" s="7">
        <f t="shared" si="27"/>
        <v>1.65</v>
      </c>
      <c r="S580" s="7">
        <f t="shared" si="28"/>
        <v>0.16500000000000001</v>
      </c>
      <c r="T580">
        <f>Table1[[#This Row],[Total price]]-Table1[[#This Row],[Discount Amount]]</f>
        <v>1.4849999999999999</v>
      </c>
      <c r="U580">
        <f t="shared" si="29"/>
        <v>1.4849999999999999</v>
      </c>
    </row>
    <row r="581" spans="1:21">
      <c r="A581">
        <v>580</v>
      </c>
      <c r="B581" s="3" t="s">
        <v>1303</v>
      </c>
      <c r="C581" s="3" t="s">
        <v>1380</v>
      </c>
      <c r="D581" s="3" t="s">
        <v>3518</v>
      </c>
      <c r="E581" s="3" t="s">
        <v>3519</v>
      </c>
      <c r="F581" s="3">
        <v>206</v>
      </c>
      <c r="G581" s="4">
        <v>40878.489583333336</v>
      </c>
      <c r="H581" s="3">
        <v>4</v>
      </c>
      <c r="I581" s="5">
        <v>25</v>
      </c>
      <c r="J581" t="s">
        <v>146</v>
      </c>
      <c r="K581" t="s">
        <v>4497</v>
      </c>
      <c r="L581">
        <v>536412</v>
      </c>
      <c r="M581" s="2">
        <v>22759</v>
      </c>
      <c r="N581">
        <v>1.65</v>
      </c>
      <c r="O581" s="6">
        <v>5</v>
      </c>
      <c r="P581" s="3">
        <v>0.05</v>
      </c>
      <c r="Q581" t="s">
        <v>3</v>
      </c>
      <c r="R581" s="7">
        <f t="shared" si="27"/>
        <v>8.25</v>
      </c>
      <c r="S581" s="7">
        <f t="shared" si="28"/>
        <v>0.41250000000000003</v>
      </c>
      <c r="T581">
        <f>Table1[[#This Row],[Total price]]-Table1[[#This Row],[Discount Amount]]</f>
        <v>7.8375000000000004</v>
      </c>
      <c r="U581">
        <f t="shared" si="29"/>
        <v>39.1875</v>
      </c>
    </row>
    <row r="582" spans="1:21">
      <c r="A582">
        <v>581</v>
      </c>
      <c r="B582" s="3" t="s">
        <v>2237</v>
      </c>
      <c r="C582" s="3" t="s">
        <v>1690</v>
      </c>
      <c r="D582" s="3" t="s">
        <v>2866</v>
      </c>
      <c r="E582" s="3" t="s">
        <v>3520</v>
      </c>
      <c r="F582" s="3">
        <v>206</v>
      </c>
      <c r="G582" s="4">
        <v>40878.489583333336</v>
      </c>
      <c r="H582" s="3">
        <v>4</v>
      </c>
      <c r="I582" s="5">
        <v>20</v>
      </c>
      <c r="J582" t="s">
        <v>250</v>
      </c>
      <c r="K582" t="s">
        <v>4497</v>
      </c>
      <c r="L582">
        <v>536412</v>
      </c>
      <c r="M582" s="2">
        <v>22242</v>
      </c>
      <c r="N582">
        <v>1.65</v>
      </c>
      <c r="O582" s="6">
        <v>5</v>
      </c>
      <c r="P582" s="3">
        <v>0.2</v>
      </c>
      <c r="Q582" t="s">
        <v>3</v>
      </c>
      <c r="R582" s="7">
        <f t="shared" si="27"/>
        <v>8.25</v>
      </c>
      <c r="S582" s="7">
        <f t="shared" si="28"/>
        <v>1.6500000000000001</v>
      </c>
      <c r="T582">
        <f>Table1[[#This Row],[Total price]]-Table1[[#This Row],[Discount Amount]]</f>
        <v>6.6</v>
      </c>
      <c r="U582">
        <f t="shared" si="29"/>
        <v>33</v>
      </c>
    </row>
    <row r="583" spans="1:21">
      <c r="A583">
        <v>582</v>
      </c>
      <c r="B583" s="3" t="s">
        <v>2236</v>
      </c>
      <c r="C583" s="3" t="s">
        <v>1214</v>
      </c>
      <c r="D583" s="3" t="s">
        <v>2866</v>
      </c>
      <c r="E583" s="3" t="s">
        <v>3521</v>
      </c>
      <c r="F583" s="3">
        <v>207</v>
      </c>
      <c r="G583" s="4">
        <v>40878.489583333336</v>
      </c>
      <c r="H583" s="3">
        <v>3</v>
      </c>
      <c r="I583" s="5">
        <v>12</v>
      </c>
      <c r="J583" t="s">
        <v>351</v>
      </c>
      <c r="K583" t="s">
        <v>4497</v>
      </c>
      <c r="L583">
        <v>536412</v>
      </c>
      <c r="M583" s="2" t="s">
        <v>350</v>
      </c>
      <c r="N583">
        <v>1.25</v>
      </c>
      <c r="O583" s="6">
        <v>12</v>
      </c>
      <c r="P583" s="3">
        <v>0.2</v>
      </c>
      <c r="Q583" t="s">
        <v>3</v>
      </c>
      <c r="R583" s="7">
        <f t="shared" si="27"/>
        <v>15</v>
      </c>
      <c r="S583" s="7">
        <f t="shared" si="28"/>
        <v>3</v>
      </c>
      <c r="T583">
        <f>Table1[[#This Row],[Total price]]-Table1[[#This Row],[Discount Amount]]</f>
        <v>12</v>
      </c>
      <c r="U583">
        <f t="shared" si="29"/>
        <v>144</v>
      </c>
    </row>
    <row r="584" spans="1:21">
      <c r="A584">
        <v>583</v>
      </c>
      <c r="B584" s="3" t="s">
        <v>2235</v>
      </c>
      <c r="C584" s="3" t="s">
        <v>1837</v>
      </c>
      <c r="D584" s="3" t="s">
        <v>3522</v>
      </c>
      <c r="E584" s="3" t="s">
        <v>3523</v>
      </c>
      <c r="F584" s="3">
        <v>207</v>
      </c>
      <c r="G584" s="4">
        <v>40878.489583333336</v>
      </c>
      <c r="H584" s="3">
        <v>4</v>
      </c>
      <c r="I584" s="5">
        <v>5</v>
      </c>
      <c r="J584" t="s">
        <v>87</v>
      </c>
      <c r="K584" t="s">
        <v>4497</v>
      </c>
      <c r="L584">
        <v>536412</v>
      </c>
      <c r="M584" s="2">
        <v>21731</v>
      </c>
      <c r="N584">
        <v>1.65</v>
      </c>
      <c r="O584" s="6">
        <v>5</v>
      </c>
      <c r="P584" s="3">
        <v>0.05</v>
      </c>
      <c r="Q584" t="s">
        <v>3</v>
      </c>
      <c r="R584" s="7">
        <f t="shared" si="27"/>
        <v>8.25</v>
      </c>
      <c r="S584" s="7">
        <f t="shared" si="28"/>
        <v>0.41250000000000003</v>
      </c>
      <c r="T584">
        <f>Table1[[#This Row],[Total price]]-Table1[[#This Row],[Discount Amount]]</f>
        <v>7.8375000000000004</v>
      </c>
      <c r="U584">
        <f t="shared" si="29"/>
        <v>39.1875</v>
      </c>
    </row>
    <row r="585" spans="1:21">
      <c r="A585">
        <v>584</v>
      </c>
      <c r="B585" s="3" t="s">
        <v>2234</v>
      </c>
      <c r="C585" s="3" t="s">
        <v>1185</v>
      </c>
      <c r="D585" s="3" t="s">
        <v>3524</v>
      </c>
      <c r="E585" s="3" t="s">
        <v>3525</v>
      </c>
      <c r="F585" s="3">
        <v>207</v>
      </c>
      <c r="G585" s="4">
        <v>40878.489583333336</v>
      </c>
      <c r="H585" s="3">
        <v>4</v>
      </c>
      <c r="I585" s="5">
        <v>11</v>
      </c>
      <c r="J585" t="s">
        <v>466</v>
      </c>
      <c r="K585" t="s">
        <v>4497</v>
      </c>
      <c r="L585">
        <v>536412</v>
      </c>
      <c r="M585" s="2">
        <v>22243</v>
      </c>
      <c r="N585">
        <v>1.65</v>
      </c>
      <c r="O585" s="6">
        <v>1</v>
      </c>
      <c r="P585" s="3">
        <v>7.0000000000000007E-2</v>
      </c>
      <c r="Q585" t="s">
        <v>3</v>
      </c>
      <c r="R585" s="7">
        <f t="shared" si="27"/>
        <v>1.65</v>
      </c>
      <c r="S585" s="7">
        <f t="shared" si="28"/>
        <v>0.11550000000000001</v>
      </c>
      <c r="T585">
        <f>Table1[[#This Row],[Total price]]-Table1[[#This Row],[Discount Amount]]</f>
        <v>1.5345</v>
      </c>
      <c r="U585">
        <f t="shared" si="29"/>
        <v>1.5345</v>
      </c>
    </row>
    <row r="586" spans="1:21">
      <c r="A586">
        <v>585</v>
      </c>
      <c r="B586" s="3" t="s">
        <v>2233</v>
      </c>
      <c r="C586" s="3" t="s">
        <v>1083</v>
      </c>
      <c r="D586" s="3" t="s">
        <v>2866</v>
      </c>
      <c r="E586" s="3" t="s">
        <v>3526</v>
      </c>
      <c r="F586" s="3">
        <v>207</v>
      </c>
      <c r="G586" s="4">
        <v>40878.489583333336</v>
      </c>
      <c r="H586" s="3">
        <v>4</v>
      </c>
      <c r="I586" s="5">
        <v>7</v>
      </c>
      <c r="J586" t="s">
        <v>628</v>
      </c>
      <c r="K586" t="s">
        <v>4497</v>
      </c>
      <c r="L586">
        <v>536412</v>
      </c>
      <c r="M586" s="2">
        <v>21739</v>
      </c>
      <c r="N586">
        <v>2.95</v>
      </c>
      <c r="O586" s="6">
        <v>2</v>
      </c>
      <c r="P586" s="3">
        <v>0.1</v>
      </c>
      <c r="Q586" t="s">
        <v>3</v>
      </c>
      <c r="R586" s="7">
        <f t="shared" si="27"/>
        <v>5.9</v>
      </c>
      <c r="S586" s="7">
        <f t="shared" si="28"/>
        <v>0.59000000000000008</v>
      </c>
      <c r="T586">
        <f>Table1[[#This Row],[Total price]]-Table1[[#This Row],[Discount Amount]]</f>
        <v>5.3100000000000005</v>
      </c>
      <c r="U586">
        <f t="shared" si="29"/>
        <v>10.620000000000001</v>
      </c>
    </row>
    <row r="587" spans="1:21">
      <c r="A587">
        <v>586</v>
      </c>
      <c r="B587" s="3" t="s">
        <v>2232</v>
      </c>
      <c r="C587" s="3" t="s">
        <v>1909</v>
      </c>
      <c r="D587" s="3" t="s">
        <v>2866</v>
      </c>
      <c r="E587" s="3" t="s">
        <v>3527</v>
      </c>
      <c r="F587" s="3">
        <v>208</v>
      </c>
      <c r="G587" s="4">
        <v>40878.489583333336</v>
      </c>
      <c r="H587" s="3">
        <v>4</v>
      </c>
      <c r="I587" s="5">
        <v>6</v>
      </c>
      <c r="J587" t="s">
        <v>636</v>
      </c>
      <c r="K587" t="s">
        <v>4497</v>
      </c>
      <c r="L587">
        <v>536412</v>
      </c>
      <c r="M587" s="2">
        <v>21738</v>
      </c>
      <c r="N587">
        <v>2.95</v>
      </c>
      <c r="O587" s="6">
        <v>5</v>
      </c>
      <c r="P587" s="3">
        <v>0.05</v>
      </c>
      <c r="Q587" t="s">
        <v>3</v>
      </c>
      <c r="R587" s="7">
        <f t="shared" si="27"/>
        <v>14.75</v>
      </c>
      <c r="S587" s="7">
        <f t="shared" si="28"/>
        <v>0.73750000000000004</v>
      </c>
      <c r="T587">
        <f>Table1[[#This Row],[Total price]]-Table1[[#This Row],[Discount Amount]]</f>
        <v>14.012499999999999</v>
      </c>
      <c r="U587">
        <f t="shared" si="29"/>
        <v>70.0625</v>
      </c>
    </row>
    <row r="588" spans="1:21">
      <c r="A588">
        <v>587</v>
      </c>
      <c r="B588" s="3" t="s">
        <v>2231</v>
      </c>
      <c r="C588" s="3" t="s">
        <v>2230</v>
      </c>
      <c r="D588" s="3" t="s">
        <v>2866</v>
      </c>
      <c r="E588" s="3" t="s">
        <v>3528</v>
      </c>
      <c r="F588" s="3">
        <v>208</v>
      </c>
      <c r="G588" s="4">
        <v>40878.489583333336</v>
      </c>
      <c r="H588" s="3">
        <v>4</v>
      </c>
      <c r="I588" s="5">
        <v>4</v>
      </c>
      <c r="J588" t="s">
        <v>140</v>
      </c>
      <c r="K588" t="s">
        <v>4497</v>
      </c>
      <c r="L588">
        <v>536412</v>
      </c>
      <c r="M588" s="2">
        <v>22271</v>
      </c>
      <c r="N588">
        <v>2.95</v>
      </c>
      <c r="O588" s="6">
        <v>2</v>
      </c>
      <c r="P588" s="3">
        <v>7.0000000000000007E-2</v>
      </c>
      <c r="Q588" t="s">
        <v>3</v>
      </c>
      <c r="R588" s="7">
        <f t="shared" si="27"/>
        <v>5.9</v>
      </c>
      <c r="S588" s="7">
        <f t="shared" si="28"/>
        <v>0.41300000000000009</v>
      </c>
      <c r="T588">
        <f>Table1[[#This Row],[Total price]]-Table1[[#This Row],[Discount Amount]]</f>
        <v>5.4870000000000001</v>
      </c>
      <c r="U588">
        <f t="shared" si="29"/>
        <v>10.974</v>
      </c>
    </row>
    <row r="589" spans="1:21">
      <c r="A589">
        <v>588</v>
      </c>
      <c r="B589" s="3" t="s">
        <v>2229</v>
      </c>
      <c r="C589" s="3" t="s">
        <v>1788</v>
      </c>
      <c r="D589" s="3" t="s">
        <v>2866</v>
      </c>
      <c r="E589" s="3" t="s">
        <v>3529</v>
      </c>
      <c r="F589" s="3">
        <v>208</v>
      </c>
      <c r="G589" s="4">
        <v>40878.489583333336</v>
      </c>
      <c r="H589" s="3">
        <v>4</v>
      </c>
      <c r="I589" s="5">
        <v>3</v>
      </c>
      <c r="J589" t="s">
        <v>376</v>
      </c>
      <c r="K589" t="s">
        <v>4497</v>
      </c>
      <c r="L589">
        <v>536412</v>
      </c>
      <c r="M589" s="2">
        <v>22273</v>
      </c>
      <c r="N589">
        <v>2.95</v>
      </c>
      <c r="O589" s="6">
        <v>1</v>
      </c>
      <c r="P589" s="3">
        <v>0.05</v>
      </c>
      <c r="Q589" t="s">
        <v>3</v>
      </c>
      <c r="R589" s="7">
        <f t="shared" si="27"/>
        <v>2.95</v>
      </c>
      <c r="S589" s="7">
        <f t="shared" si="28"/>
        <v>0.14750000000000002</v>
      </c>
      <c r="T589">
        <f>Table1[[#This Row],[Total price]]-Table1[[#This Row],[Discount Amount]]</f>
        <v>2.8025000000000002</v>
      </c>
      <c r="U589">
        <f t="shared" si="29"/>
        <v>2.8025000000000002</v>
      </c>
    </row>
    <row r="590" spans="1:21">
      <c r="A590">
        <v>589</v>
      </c>
      <c r="B590" s="3" t="s">
        <v>2228</v>
      </c>
      <c r="C590" s="3" t="s">
        <v>2227</v>
      </c>
      <c r="D590" s="3" t="s">
        <v>2866</v>
      </c>
      <c r="E590" s="3" t="s">
        <v>3530</v>
      </c>
      <c r="F590" s="3">
        <v>208</v>
      </c>
      <c r="G590" s="4">
        <v>40878.489583333336</v>
      </c>
      <c r="H590" s="3">
        <v>4</v>
      </c>
      <c r="I590" s="5">
        <v>12</v>
      </c>
      <c r="J590" t="s">
        <v>292</v>
      </c>
      <c r="K590" t="s">
        <v>4497</v>
      </c>
      <c r="L590">
        <v>536412</v>
      </c>
      <c r="M590" s="2">
        <v>22274</v>
      </c>
      <c r="N590">
        <v>2.95</v>
      </c>
      <c r="O590" s="6">
        <v>2</v>
      </c>
      <c r="P590" s="3">
        <v>0.2</v>
      </c>
      <c r="Q590" t="s">
        <v>3</v>
      </c>
      <c r="R590" s="7">
        <f t="shared" si="27"/>
        <v>5.9</v>
      </c>
      <c r="S590" s="7">
        <f t="shared" si="28"/>
        <v>1.1800000000000002</v>
      </c>
      <c r="T590">
        <f>Table1[[#This Row],[Total price]]-Table1[[#This Row],[Discount Amount]]</f>
        <v>4.7200000000000006</v>
      </c>
      <c r="U590">
        <f t="shared" si="29"/>
        <v>9.4400000000000013</v>
      </c>
    </row>
    <row r="591" spans="1:21">
      <c r="A591">
        <v>590</v>
      </c>
      <c r="B591" s="3" t="s">
        <v>2226</v>
      </c>
      <c r="C591" s="3" t="s">
        <v>2225</v>
      </c>
      <c r="D591" s="3" t="s">
        <v>2866</v>
      </c>
      <c r="E591" s="3" t="s">
        <v>3531</v>
      </c>
      <c r="F591" s="3">
        <v>208</v>
      </c>
      <c r="G591" s="4">
        <v>40878.489583333336</v>
      </c>
      <c r="H591" s="3">
        <v>4</v>
      </c>
      <c r="I591" s="5">
        <v>10</v>
      </c>
      <c r="J591" t="s">
        <v>228</v>
      </c>
      <c r="K591" t="s">
        <v>4497</v>
      </c>
      <c r="L591">
        <v>536412</v>
      </c>
      <c r="M591" s="2">
        <v>22749</v>
      </c>
      <c r="N591">
        <v>3.75</v>
      </c>
      <c r="O591" s="6">
        <v>1</v>
      </c>
      <c r="P591" s="3">
        <v>0.05</v>
      </c>
      <c r="Q591" t="s">
        <v>3</v>
      </c>
      <c r="R591" s="7">
        <f t="shared" si="27"/>
        <v>3.75</v>
      </c>
      <c r="S591" s="7">
        <f t="shared" si="28"/>
        <v>0.1875</v>
      </c>
      <c r="T591">
        <f>Table1[[#This Row],[Total price]]-Table1[[#This Row],[Discount Amount]]</f>
        <v>3.5625</v>
      </c>
      <c r="U591">
        <f t="shared" si="29"/>
        <v>3.5625</v>
      </c>
    </row>
    <row r="592" spans="1:21">
      <c r="A592">
        <v>591</v>
      </c>
      <c r="B592" s="3" t="s">
        <v>2224</v>
      </c>
      <c r="C592" s="3" t="s">
        <v>1682</v>
      </c>
      <c r="D592" s="3" t="s">
        <v>2866</v>
      </c>
      <c r="E592" s="3" t="s">
        <v>3532</v>
      </c>
      <c r="F592" s="3">
        <v>209</v>
      </c>
      <c r="G592" s="4">
        <v>40878.489583333336</v>
      </c>
      <c r="H592" s="3">
        <v>4</v>
      </c>
      <c r="I592" s="5">
        <v>13</v>
      </c>
      <c r="J592" t="s">
        <v>380</v>
      </c>
      <c r="K592" t="s">
        <v>4497</v>
      </c>
      <c r="L592">
        <v>536412</v>
      </c>
      <c r="M592" s="2">
        <v>22751</v>
      </c>
      <c r="N592">
        <v>3.75</v>
      </c>
      <c r="O592" s="6">
        <v>2</v>
      </c>
      <c r="P592" s="3">
        <v>0.1</v>
      </c>
      <c r="Q592" t="s">
        <v>3</v>
      </c>
      <c r="R592" s="7">
        <f t="shared" si="27"/>
        <v>7.5</v>
      </c>
      <c r="S592" s="7">
        <f t="shared" si="28"/>
        <v>0.75</v>
      </c>
      <c r="T592">
        <f>Table1[[#This Row],[Total price]]-Table1[[#This Row],[Discount Amount]]</f>
        <v>6.75</v>
      </c>
      <c r="U592">
        <f t="shared" si="29"/>
        <v>13.5</v>
      </c>
    </row>
    <row r="593" spans="1:21">
      <c r="A593">
        <v>592</v>
      </c>
      <c r="B593" s="3" t="s">
        <v>2223</v>
      </c>
      <c r="C593" s="3" t="s">
        <v>907</v>
      </c>
      <c r="D593" s="3" t="s">
        <v>2866</v>
      </c>
      <c r="E593" s="3" t="s">
        <v>3533</v>
      </c>
      <c r="F593" s="3">
        <v>210</v>
      </c>
      <c r="G593" s="4">
        <v>40878.489583333336</v>
      </c>
      <c r="H593" s="3">
        <v>4</v>
      </c>
      <c r="I593" s="5">
        <v>14</v>
      </c>
      <c r="J593" t="s">
        <v>148</v>
      </c>
      <c r="K593" t="s">
        <v>4497</v>
      </c>
      <c r="L593">
        <v>536412</v>
      </c>
      <c r="M593" s="2">
        <v>21034</v>
      </c>
      <c r="N593">
        <v>0.95</v>
      </c>
      <c r="O593" s="6">
        <v>1</v>
      </c>
      <c r="P593" s="3">
        <v>7.0000000000000007E-2</v>
      </c>
      <c r="Q593" t="s">
        <v>3</v>
      </c>
      <c r="R593" s="7">
        <f t="shared" si="27"/>
        <v>0.95</v>
      </c>
      <c r="S593" s="7">
        <f t="shared" si="28"/>
        <v>6.6500000000000004E-2</v>
      </c>
      <c r="T593">
        <f>Table1[[#This Row],[Total price]]-Table1[[#This Row],[Discount Amount]]</f>
        <v>0.88349999999999995</v>
      </c>
      <c r="U593">
        <f t="shared" si="29"/>
        <v>0.88349999999999995</v>
      </c>
    </row>
    <row r="594" spans="1:21">
      <c r="A594">
        <v>593</v>
      </c>
      <c r="B594" s="3" t="s">
        <v>2222</v>
      </c>
      <c r="C594" s="3" t="s">
        <v>1314</v>
      </c>
      <c r="D594" s="3" t="s">
        <v>2866</v>
      </c>
      <c r="E594" s="3" t="s">
        <v>3534</v>
      </c>
      <c r="F594" s="3">
        <v>210</v>
      </c>
      <c r="G594" s="4">
        <v>40878.489583333336</v>
      </c>
      <c r="H594" s="3">
        <v>4</v>
      </c>
      <c r="I594" s="5">
        <v>13</v>
      </c>
      <c r="J594" t="s">
        <v>376</v>
      </c>
      <c r="K594" t="s">
        <v>4497</v>
      </c>
      <c r="L594">
        <v>536412</v>
      </c>
      <c r="M594" s="2">
        <v>22273</v>
      </c>
      <c r="N594">
        <v>2.95</v>
      </c>
      <c r="O594" s="6">
        <v>2</v>
      </c>
      <c r="P594" s="3">
        <v>0.2</v>
      </c>
      <c r="Q594" t="s">
        <v>3</v>
      </c>
      <c r="R594" s="7">
        <f t="shared" si="27"/>
        <v>5.9</v>
      </c>
      <c r="S594" s="7">
        <f t="shared" si="28"/>
        <v>1.1800000000000002</v>
      </c>
      <c r="T594">
        <f>Table1[[#This Row],[Total price]]-Table1[[#This Row],[Discount Amount]]</f>
        <v>4.7200000000000006</v>
      </c>
      <c r="U594">
        <f t="shared" si="29"/>
        <v>9.4400000000000013</v>
      </c>
    </row>
    <row r="595" spans="1:21">
      <c r="A595">
        <v>594</v>
      </c>
      <c r="B595" s="3" t="s">
        <v>2221</v>
      </c>
      <c r="C595" s="3" t="s">
        <v>2164</v>
      </c>
      <c r="D595" s="3" t="s">
        <v>2866</v>
      </c>
      <c r="E595" s="3" t="s">
        <v>3535</v>
      </c>
      <c r="F595" s="3">
        <v>211</v>
      </c>
      <c r="G595" s="4">
        <v>40878.489583333336</v>
      </c>
      <c r="H595" s="3">
        <v>4</v>
      </c>
      <c r="I595" s="5">
        <v>10</v>
      </c>
      <c r="J595" t="s">
        <v>630</v>
      </c>
      <c r="K595" t="s">
        <v>4497</v>
      </c>
      <c r="L595">
        <v>536412</v>
      </c>
      <c r="M595" s="2">
        <v>22568</v>
      </c>
      <c r="N595">
        <v>3.75</v>
      </c>
      <c r="O595" s="6">
        <v>3</v>
      </c>
      <c r="P595" s="3">
        <v>7.0000000000000007E-2</v>
      </c>
      <c r="Q595" t="s">
        <v>3</v>
      </c>
      <c r="R595" s="7">
        <f t="shared" si="27"/>
        <v>11.25</v>
      </c>
      <c r="S595" s="7">
        <f t="shared" si="28"/>
        <v>0.78750000000000009</v>
      </c>
      <c r="T595">
        <f>Table1[[#This Row],[Total price]]-Table1[[#This Row],[Discount Amount]]</f>
        <v>10.4625</v>
      </c>
      <c r="U595">
        <f t="shared" si="29"/>
        <v>31.387500000000003</v>
      </c>
    </row>
    <row r="596" spans="1:21">
      <c r="A596">
        <v>595</v>
      </c>
      <c r="B596" s="3" t="s">
        <v>2220</v>
      </c>
      <c r="C596" s="3" t="s">
        <v>1038</v>
      </c>
      <c r="D596" s="3" t="s">
        <v>2866</v>
      </c>
      <c r="E596" s="3" t="s">
        <v>3536</v>
      </c>
      <c r="F596" s="3">
        <v>211</v>
      </c>
      <c r="G596" s="4">
        <v>40878.489583333336</v>
      </c>
      <c r="H596" s="3">
        <v>4</v>
      </c>
      <c r="I596" s="5">
        <v>2</v>
      </c>
      <c r="J596" t="s">
        <v>850</v>
      </c>
      <c r="K596" t="s">
        <v>4497</v>
      </c>
      <c r="L596">
        <v>536412</v>
      </c>
      <c r="M596" s="2">
        <v>22141</v>
      </c>
      <c r="N596">
        <v>2.1</v>
      </c>
      <c r="O596" s="6">
        <v>1</v>
      </c>
      <c r="P596" s="3">
        <v>7.0000000000000007E-2</v>
      </c>
      <c r="Q596" t="s">
        <v>3</v>
      </c>
      <c r="R596" s="7">
        <f t="shared" si="27"/>
        <v>2.1</v>
      </c>
      <c r="S596" s="7">
        <f t="shared" si="28"/>
        <v>0.14700000000000002</v>
      </c>
      <c r="T596">
        <f>Table1[[#This Row],[Total price]]-Table1[[#This Row],[Discount Amount]]</f>
        <v>1.9530000000000001</v>
      </c>
      <c r="U596">
        <f t="shared" si="29"/>
        <v>1.9530000000000001</v>
      </c>
    </row>
    <row r="597" spans="1:21">
      <c r="A597">
        <v>596</v>
      </c>
      <c r="B597" s="3" t="s">
        <v>2219</v>
      </c>
      <c r="C597" s="3" t="s">
        <v>1259</v>
      </c>
      <c r="D597" s="3" t="s">
        <v>2866</v>
      </c>
      <c r="E597" s="3" t="s">
        <v>3537</v>
      </c>
      <c r="F597" s="3">
        <v>212</v>
      </c>
      <c r="G597" s="4">
        <v>40878.489583333336</v>
      </c>
      <c r="H597" s="3">
        <v>4</v>
      </c>
      <c r="I597" s="5">
        <v>16</v>
      </c>
      <c r="J597" t="s">
        <v>851</v>
      </c>
      <c r="K597" t="s">
        <v>4497</v>
      </c>
      <c r="L597">
        <v>536412</v>
      </c>
      <c r="M597" s="2">
        <v>22144</v>
      </c>
      <c r="N597">
        <v>2.1</v>
      </c>
      <c r="O597" s="6">
        <v>1</v>
      </c>
      <c r="P597" s="3">
        <v>7.0000000000000007E-2</v>
      </c>
      <c r="Q597" t="s">
        <v>3</v>
      </c>
      <c r="R597" s="7">
        <f t="shared" si="27"/>
        <v>2.1</v>
      </c>
      <c r="S597" s="7">
        <f t="shared" si="28"/>
        <v>0.14700000000000002</v>
      </c>
      <c r="T597">
        <f>Table1[[#This Row],[Total price]]-Table1[[#This Row],[Discount Amount]]</f>
        <v>1.9530000000000001</v>
      </c>
      <c r="U597">
        <f t="shared" si="29"/>
        <v>1.9530000000000001</v>
      </c>
    </row>
    <row r="598" spans="1:21">
      <c r="A598">
        <v>597</v>
      </c>
      <c r="B598" s="3" t="s">
        <v>2218</v>
      </c>
      <c r="C598" s="3" t="s">
        <v>2217</v>
      </c>
      <c r="D598" s="3" t="s">
        <v>2866</v>
      </c>
      <c r="E598" s="3" t="s">
        <v>3538</v>
      </c>
      <c r="F598" s="3">
        <v>212</v>
      </c>
      <c r="G598" s="4">
        <v>40878.489583333336</v>
      </c>
      <c r="H598" s="3">
        <v>4</v>
      </c>
      <c r="I598" s="5">
        <v>12</v>
      </c>
      <c r="J598" t="s">
        <v>631</v>
      </c>
      <c r="K598" t="s">
        <v>4497</v>
      </c>
      <c r="L598">
        <v>536412</v>
      </c>
      <c r="M598" s="2">
        <v>22570</v>
      </c>
      <c r="N598">
        <v>3.75</v>
      </c>
      <c r="O598" s="6">
        <v>3</v>
      </c>
      <c r="P598" s="3">
        <v>0.2</v>
      </c>
      <c r="Q598" t="s">
        <v>3</v>
      </c>
      <c r="R598" s="7">
        <f t="shared" si="27"/>
        <v>11.25</v>
      </c>
      <c r="S598" s="7">
        <f t="shared" si="28"/>
        <v>2.25</v>
      </c>
      <c r="T598">
        <f>Table1[[#This Row],[Total price]]-Table1[[#This Row],[Discount Amount]]</f>
        <v>9</v>
      </c>
      <c r="U598">
        <f t="shared" si="29"/>
        <v>27</v>
      </c>
    </row>
    <row r="599" spans="1:21">
      <c r="A599">
        <v>598</v>
      </c>
      <c r="B599" s="3" t="s">
        <v>2216</v>
      </c>
      <c r="C599" s="3" t="s">
        <v>2215</v>
      </c>
      <c r="D599" s="3" t="s">
        <v>2866</v>
      </c>
      <c r="E599" s="3" t="s">
        <v>3539</v>
      </c>
      <c r="F599" s="3">
        <v>212</v>
      </c>
      <c r="G599" s="4">
        <v>40878.489583333336</v>
      </c>
      <c r="H599" s="3">
        <v>3</v>
      </c>
      <c r="I599" s="5">
        <v>19</v>
      </c>
      <c r="J599" t="s">
        <v>521</v>
      </c>
      <c r="K599" t="s">
        <v>4497</v>
      </c>
      <c r="L599">
        <v>536412</v>
      </c>
      <c r="M599" s="2">
        <v>22569</v>
      </c>
      <c r="N599">
        <v>3.75</v>
      </c>
      <c r="O599" s="6">
        <v>2</v>
      </c>
      <c r="P599" s="3">
        <v>0.1</v>
      </c>
      <c r="Q599" t="s">
        <v>3</v>
      </c>
      <c r="R599" s="7">
        <f t="shared" si="27"/>
        <v>7.5</v>
      </c>
      <c r="S599" s="7">
        <f t="shared" si="28"/>
        <v>0.75</v>
      </c>
      <c r="T599">
        <f>Table1[[#This Row],[Total price]]-Table1[[#This Row],[Discount Amount]]</f>
        <v>6.75</v>
      </c>
      <c r="U599">
        <f t="shared" si="29"/>
        <v>13.5</v>
      </c>
    </row>
    <row r="600" spans="1:21">
      <c r="A600">
        <v>599</v>
      </c>
      <c r="B600" s="3" t="s">
        <v>2214</v>
      </c>
      <c r="C600" s="3" t="s">
        <v>2213</v>
      </c>
      <c r="D600" s="3" t="s">
        <v>2866</v>
      </c>
      <c r="E600" s="3" t="s">
        <v>3540</v>
      </c>
      <c r="F600" s="3">
        <v>212</v>
      </c>
      <c r="G600" s="4">
        <v>40878.489583333336</v>
      </c>
      <c r="H600" s="3">
        <v>4</v>
      </c>
      <c r="I600" s="5">
        <v>7</v>
      </c>
      <c r="J600" t="s">
        <v>738</v>
      </c>
      <c r="K600" t="s">
        <v>4497</v>
      </c>
      <c r="L600">
        <v>536412</v>
      </c>
      <c r="M600" s="2">
        <v>21448</v>
      </c>
      <c r="N600">
        <v>1.65</v>
      </c>
      <c r="O600" s="6">
        <v>1</v>
      </c>
      <c r="P600" s="3">
        <v>0.2</v>
      </c>
      <c r="Q600" t="s">
        <v>3</v>
      </c>
      <c r="R600" s="7">
        <f t="shared" si="27"/>
        <v>1.65</v>
      </c>
      <c r="S600" s="7">
        <f t="shared" si="28"/>
        <v>0.33</v>
      </c>
      <c r="T600">
        <f>Table1[[#This Row],[Total price]]-Table1[[#This Row],[Discount Amount]]</f>
        <v>1.3199999999999998</v>
      </c>
      <c r="U600">
        <f t="shared" si="29"/>
        <v>1.3199999999999998</v>
      </c>
    </row>
    <row r="601" spans="1:21">
      <c r="A601">
        <v>600</v>
      </c>
      <c r="B601" s="3" t="s">
        <v>2212</v>
      </c>
      <c r="C601" s="3" t="s">
        <v>1110</v>
      </c>
      <c r="D601" s="3" t="s">
        <v>3541</v>
      </c>
      <c r="E601" s="3" t="s">
        <v>3542</v>
      </c>
      <c r="F601" s="3">
        <v>213</v>
      </c>
      <c r="G601" s="4">
        <v>40878.489583333336</v>
      </c>
      <c r="H601" s="3">
        <v>4</v>
      </c>
      <c r="I601" s="5">
        <v>13</v>
      </c>
      <c r="J601" t="s">
        <v>411</v>
      </c>
      <c r="K601" t="s">
        <v>4497</v>
      </c>
      <c r="L601">
        <v>536412</v>
      </c>
      <c r="M601" s="2">
        <v>22086</v>
      </c>
      <c r="N601">
        <v>2.95</v>
      </c>
      <c r="O601" s="6">
        <v>1</v>
      </c>
      <c r="P601" s="3">
        <v>0.1</v>
      </c>
      <c r="Q601" t="s">
        <v>3</v>
      </c>
      <c r="R601" s="7">
        <f t="shared" si="27"/>
        <v>2.95</v>
      </c>
      <c r="S601" s="7">
        <f t="shared" si="28"/>
        <v>0.29500000000000004</v>
      </c>
      <c r="T601">
        <f>Table1[[#This Row],[Total price]]-Table1[[#This Row],[Discount Amount]]</f>
        <v>2.6550000000000002</v>
      </c>
      <c r="U601">
        <f t="shared" si="29"/>
        <v>2.6550000000000002</v>
      </c>
    </row>
    <row r="602" spans="1:21">
      <c r="A602">
        <v>601</v>
      </c>
      <c r="B602" s="3" t="s">
        <v>2211</v>
      </c>
      <c r="C602" s="3" t="s">
        <v>2210</v>
      </c>
      <c r="D602" s="3" t="s">
        <v>2866</v>
      </c>
      <c r="E602" s="3" t="s">
        <v>3543</v>
      </c>
      <c r="F602" s="3">
        <v>214</v>
      </c>
      <c r="G602" s="4">
        <v>40878.489583333336</v>
      </c>
      <c r="H602" s="3">
        <v>4</v>
      </c>
      <c r="I602" s="5">
        <v>21</v>
      </c>
      <c r="J602" t="s">
        <v>521</v>
      </c>
      <c r="K602" t="s">
        <v>4497</v>
      </c>
      <c r="L602">
        <v>536412</v>
      </c>
      <c r="M602" s="2">
        <v>22569</v>
      </c>
      <c r="N602">
        <v>3.75</v>
      </c>
      <c r="O602" s="6">
        <v>2</v>
      </c>
      <c r="P602" s="3">
        <v>0.1</v>
      </c>
      <c r="Q602" t="s">
        <v>3</v>
      </c>
      <c r="R602" s="7">
        <f t="shared" si="27"/>
        <v>7.5</v>
      </c>
      <c r="S602" s="7">
        <f t="shared" si="28"/>
        <v>0.75</v>
      </c>
      <c r="T602">
        <f>Table1[[#This Row],[Total price]]-Table1[[#This Row],[Discount Amount]]</f>
        <v>6.75</v>
      </c>
      <c r="U602">
        <f t="shared" si="29"/>
        <v>13.5</v>
      </c>
    </row>
    <row r="603" spans="1:21">
      <c r="A603">
        <v>602</v>
      </c>
      <c r="B603" s="3" t="s">
        <v>2209</v>
      </c>
      <c r="C603" s="3" t="s">
        <v>894</v>
      </c>
      <c r="D603" s="3" t="s">
        <v>2866</v>
      </c>
      <c r="E603" s="3" t="s">
        <v>3544</v>
      </c>
      <c r="F603" s="3">
        <v>215</v>
      </c>
      <c r="G603" s="4">
        <v>40878.489583333336</v>
      </c>
      <c r="H603" s="3">
        <v>4</v>
      </c>
      <c r="I603" s="5">
        <v>19</v>
      </c>
      <c r="J603" t="s">
        <v>738</v>
      </c>
      <c r="K603" t="s">
        <v>4497</v>
      </c>
      <c r="L603">
        <v>536412</v>
      </c>
      <c r="M603" s="2">
        <v>21448</v>
      </c>
      <c r="N603">
        <v>1.65</v>
      </c>
      <c r="O603" s="6">
        <v>2</v>
      </c>
      <c r="P603" s="3">
        <v>7.0000000000000007E-2</v>
      </c>
      <c r="Q603" t="s">
        <v>3</v>
      </c>
      <c r="R603" s="7">
        <f t="shared" si="27"/>
        <v>3.3</v>
      </c>
      <c r="S603" s="7">
        <f t="shared" si="28"/>
        <v>0.23100000000000001</v>
      </c>
      <c r="T603">
        <f>Table1[[#This Row],[Total price]]-Table1[[#This Row],[Discount Amount]]</f>
        <v>3.069</v>
      </c>
      <c r="U603">
        <f t="shared" si="29"/>
        <v>6.1379999999999999</v>
      </c>
    </row>
    <row r="604" spans="1:21">
      <c r="A604">
        <v>603</v>
      </c>
      <c r="B604" s="3" t="s">
        <v>2208</v>
      </c>
      <c r="C604" s="3" t="s">
        <v>1611</v>
      </c>
      <c r="D604" s="3" t="s">
        <v>2866</v>
      </c>
      <c r="E604" s="3" t="s">
        <v>3545</v>
      </c>
      <c r="F604" s="3">
        <v>215</v>
      </c>
      <c r="G604" s="4">
        <v>40878.489583333336</v>
      </c>
      <c r="H604" s="3">
        <v>4</v>
      </c>
      <c r="I604" s="5">
        <v>12</v>
      </c>
      <c r="J604" t="s">
        <v>373</v>
      </c>
      <c r="K604" t="s">
        <v>4497</v>
      </c>
      <c r="L604">
        <v>536412</v>
      </c>
      <c r="M604" s="2">
        <v>22968</v>
      </c>
      <c r="N604">
        <v>9.9499999999999993</v>
      </c>
      <c r="O604" s="6">
        <v>4</v>
      </c>
      <c r="P604" s="3">
        <v>0.1</v>
      </c>
      <c r="Q604" t="s">
        <v>3</v>
      </c>
      <c r="R604" s="7">
        <f t="shared" si="27"/>
        <v>39.799999999999997</v>
      </c>
      <c r="S604" s="7">
        <f t="shared" si="28"/>
        <v>3.98</v>
      </c>
      <c r="T604">
        <f>Table1[[#This Row],[Total price]]-Table1[[#This Row],[Discount Amount]]</f>
        <v>35.82</v>
      </c>
      <c r="U604">
        <f t="shared" si="29"/>
        <v>143.28</v>
      </c>
    </row>
    <row r="605" spans="1:21">
      <c r="A605">
        <v>604</v>
      </c>
      <c r="B605" s="3" t="s">
        <v>2207</v>
      </c>
      <c r="C605" s="3" t="s">
        <v>2206</v>
      </c>
      <c r="D605" s="3" t="s">
        <v>2866</v>
      </c>
      <c r="E605" s="3" t="s">
        <v>3546</v>
      </c>
      <c r="F605" s="3">
        <v>216</v>
      </c>
      <c r="G605" s="4">
        <v>40878.489583333336</v>
      </c>
      <c r="H605" s="3">
        <v>4</v>
      </c>
      <c r="I605" s="5">
        <v>22</v>
      </c>
      <c r="J605" t="s">
        <v>618</v>
      </c>
      <c r="K605" t="s">
        <v>4497</v>
      </c>
      <c r="L605">
        <v>536412</v>
      </c>
      <c r="M605" s="2">
        <v>22902</v>
      </c>
      <c r="N605">
        <v>2.1</v>
      </c>
      <c r="O605" s="6">
        <v>7</v>
      </c>
      <c r="P605" s="3">
        <v>0.1</v>
      </c>
      <c r="Q605" t="s">
        <v>3</v>
      </c>
      <c r="R605" s="7">
        <f t="shared" si="27"/>
        <v>14.700000000000001</v>
      </c>
      <c r="S605" s="7">
        <f t="shared" si="28"/>
        <v>1.4700000000000002</v>
      </c>
      <c r="T605">
        <f>Table1[[#This Row],[Total price]]-Table1[[#This Row],[Discount Amount]]</f>
        <v>13.23</v>
      </c>
      <c r="U605">
        <f t="shared" si="29"/>
        <v>92.61</v>
      </c>
    </row>
    <row r="606" spans="1:21">
      <c r="A606">
        <v>605</v>
      </c>
      <c r="B606" s="3" t="s">
        <v>2205</v>
      </c>
      <c r="C606" s="3" t="s">
        <v>1504</v>
      </c>
      <c r="D606" s="3" t="s">
        <v>2866</v>
      </c>
      <c r="E606" s="3" t="s">
        <v>3547</v>
      </c>
      <c r="F606" s="3">
        <v>216</v>
      </c>
      <c r="G606" s="4">
        <v>40878.489583333336</v>
      </c>
      <c r="H606" s="3">
        <v>4</v>
      </c>
      <c r="I606" s="5">
        <v>16</v>
      </c>
      <c r="J606" t="s">
        <v>738</v>
      </c>
      <c r="K606" t="s">
        <v>4497</v>
      </c>
      <c r="L606">
        <v>536412</v>
      </c>
      <c r="M606" s="2">
        <v>21448</v>
      </c>
      <c r="N606">
        <v>1.65</v>
      </c>
      <c r="O606" s="6">
        <v>2</v>
      </c>
      <c r="P606" s="3">
        <v>0.05</v>
      </c>
      <c r="Q606" t="s">
        <v>3</v>
      </c>
      <c r="R606" s="7">
        <f t="shared" si="27"/>
        <v>3.3</v>
      </c>
      <c r="S606" s="7">
        <f t="shared" si="28"/>
        <v>0.16500000000000001</v>
      </c>
      <c r="T606">
        <f>Table1[[#This Row],[Total price]]-Table1[[#This Row],[Discount Amount]]</f>
        <v>3.1349999999999998</v>
      </c>
      <c r="U606">
        <f t="shared" si="29"/>
        <v>6.27</v>
      </c>
    </row>
    <row r="607" spans="1:21">
      <c r="A607">
        <v>606</v>
      </c>
      <c r="B607" s="3" t="s">
        <v>2204</v>
      </c>
      <c r="C607" s="3" t="s">
        <v>2203</v>
      </c>
      <c r="D607" s="3" t="s">
        <v>2866</v>
      </c>
      <c r="E607" s="3" t="s">
        <v>3548</v>
      </c>
      <c r="F607" s="3">
        <v>217</v>
      </c>
      <c r="G607" s="4">
        <v>40878.489583333336</v>
      </c>
      <c r="H607" s="3">
        <v>4</v>
      </c>
      <c r="I607" s="5">
        <v>18</v>
      </c>
      <c r="J607" t="s">
        <v>618</v>
      </c>
      <c r="K607" t="s">
        <v>4497</v>
      </c>
      <c r="L607">
        <v>536412</v>
      </c>
      <c r="M607" s="2">
        <v>22902</v>
      </c>
      <c r="N607">
        <v>2.1</v>
      </c>
      <c r="O607" s="6">
        <v>7</v>
      </c>
      <c r="P607" s="3">
        <v>0.1</v>
      </c>
      <c r="Q607" t="s">
        <v>3</v>
      </c>
      <c r="R607" s="7">
        <f t="shared" si="27"/>
        <v>14.700000000000001</v>
      </c>
      <c r="S607" s="7">
        <f t="shared" si="28"/>
        <v>1.4700000000000002</v>
      </c>
      <c r="T607">
        <f>Table1[[#This Row],[Total price]]-Table1[[#This Row],[Discount Amount]]</f>
        <v>13.23</v>
      </c>
      <c r="U607">
        <f t="shared" si="29"/>
        <v>92.61</v>
      </c>
    </row>
    <row r="608" spans="1:21">
      <c r="A608">
        <v>607</v>
      </c>
      <c r="B608" s="3" t="s">
        <v>2202</v>
      </c>
      <c r="C608" s="3" t="s">
        <v>1614</v>
      </c>
      <c r="D608" s="3" t="s">
        <v>2866</v>
      </c>
      <c r="E608" s="3" t="s">
        <v>3549</v>
      </c>
      <c r="F608" s="3">
        <v>217</v>
      </c>
      <c r="G608" s="4">
        <v>40878.489583333336</v>
      </c>
      <c r="H608" s="3">
        <v>4</v>
      </c>
      <c r="I608" s="5">
        <v>10</v>
      </c>
      <c r="J608" t="s">
        <v>656</v>
      </c>
      <c r="K608" t="s">
        <v>4497</v>
      </c>
      <c r="L608">
        <v>536412</v>
      </c>
      <c r="M608" s="2">
        <v>21710</v>
      </c>
      <c r="N608">
        <v>4.95</v>
      </c>
      <c r="O608" s="6">
        <v>1</v>
      </c>
      <c r="P608" s="3">
        <v>0.1</v>
      </c>
      <c r="Q608" t="s">
        <v>3</v>
      </c>
      <c r="R608" s="7">
        <f t="shared" si="27"/>
        <v>4.95</v>
      </c>
      <c r="S608" s="7">
        <f t="shared" si="28"/>
        <v>0.49500000000000005</v>
      </c>
      <c r="T608">
        <f>Table1[[#This Row],[Total price]]-Table1[[#This Row],[Discount Amount]]</f>
        <v>4.4550000000000001</v>
      </c>
      <c r="U608">
        <f t="shared" si="29"/>
        <v>4.4550000000000001</v>
      </c>
    </row>
    <row r="609" spans="1:21">
      <c r="A609">
        <v>608</v>
      </c>
      <c r="B609" s="3" t="s">
        <v>2201</v>
      </c>
      <c r="C609" s="3" t="s">
        <v>2200</v>
      </c>
      <c r="D609" s="3" t="s">
        <v>2866</v>
      </c>
      <c r="E609" s="3" t="s">
        <v>3550</v>
      </c>
      <c r="F609" s="3">
        <v>217</v>
      </c>
      <c r="G609" s="4">
        <v>40878.489583333336</v>
      </c>
      <c r="H609" s="3">
        <v>4</v>
      </c>
      <c r="I609" s="5">
        <v>17</v>
      </c>
      <c r="J609" t="s">
        <v>682</v>
      </c>
      <c r="K609" t="s">
        <v>4497</v>
      </c>
      <c r="L609">
        <v>536412</v>
      </c>
      <c r="M609" s="2">
        <v>21708</v>
      </c>
      <c r="N609">
        <v>4.95</v>
      </c>
      <c r="O609" s="6">
        <v>1</v>
      </c>
      <c r="P609" s="3">
        <v>7.0000000000000007E-2</v>
      </c>
      <c r="Q609" t="s">
        <v>3</v>
      </c>
      <c r="R609" s="7">
        <f t="shared" si="27"/>
        <v>4.95</v>
      </c>
      <c r="S609" s="7">
        <f t="shared" si="28"/>
        <v>0.34650000000000003</v>
      </c>
      <c r="T609">
        <f>Table1[[#This Row],[Total price]]-Table1[[#This Row],[Discount Amount]]</f>
        <v>4.6035000000000004</v>
      </c>
      <c r="U609">
        <f t="shared" si="29"/>
        <v>4.6035000000000004</v>
      </c>
    </row>
    <row r="610" spans="1:21">
      <c r="A610">
        <v>609</v>
      </c>
      <c r="B610" s="3" t="s">
        <v>2199</v>
      </c>
      <c r="C610" s="3" t="s">
        <v>1409</v>
      </c>
      <c r="D610" s="3" t="s">
        <v>2866</v>
      </c>
      <c r="E610" s="3" t="s">
        <v>3551</v>
      </c>
      <c r="F610" s="3">
        <v>218</v>
      </c>
      <c r="G610" s="4">
        <v>40878.489583333336</v>
      </c>
      <c r="H610" s="3">
        <v>4</v>
      </c>
      <c r="I610" s="5">
        <v>2</v>
      </c>
      <c r="J610" t="s">
        <v>852</v>
      </c>
      <c r="K610" t="s">
        <v>4497</v>
      </c>
      <c r="L610">
        <v>536412</v>
      </c>
      <c r="M610" s="2">
        <v>21711</v>
      </c>
      <c r="N610">
        <v>4.95</v>
      </c>
      <c r="O610" s="6">
        <v>1</v>
      </c>
      <c r="P610" s="3">
        <v>0.1</v>
      </c>
      <c r="Q610" t="s">
        <v>3</v>
      </c>
      <c r="R610" s="7">
        <f t="shared" si="27"/>
        <v>4.95</v>
      </c>
      <c r="S610" s="7">
        <f t="shared" si="28"/>
        <v>0.49500000000000005</v>
      </c>
      <c r="T610">
        <f>Table1[[#This Row],[Total price]]-Table1[[#This Row],[Discount Amount]]</f>
        <v>4.4550000000000001</v>
      </c>
      <c r="U610">
        <f t="shared" si="29"/>
        <v>4.4550000000000001</v>
      </c>
    </row>
    <row r="611" spans="1:21">
      <c r="A611">
        <v>610</v>
      </c>
      <c r="B611" s="3" t="s">
        <v>2198</v>
      </c>
      <c r="C611" s="3" t="s">
        <v>2197</v>
      </c>
      <c r="D611" s="3" t="s">
        <v>2866</v>
      </c>
      <c r="E611" s="3" t="s">
        <v>3552</v>
      </c>
      <c r="F611" s="3">
        <v>218</v>
      </c>
      <c r="G611" s="4">
        <v>40878.489583333336</v>
      </c>
      <c r="H611" s="3">
        <v>4</v>
      </c>
      <c r="I611" s="5">
        <v>13</v>
      </c>
      <c r="J611" t="s">
        <v>417</v>
      </c>
      <c r="K611" t="s">
        <v>4497</v>
      </c>
      <c r="L611">
        <v>536412</v>
      </c>
      <c r="M611" s="2">
        <v>22179</v>
      </c>
      <c r="N611">
        <v>6.75</v>
      </c>
      <c r="O611" s="6">
        <v>2</v>
      </c>
      <c r="P611" s="3">
        <v>7.0000000000000007E-2</v>
      </c>
      <c r="Q611" t="s">
        <v>3</v>
      </c>
      <c r="R611" s="7">
        <f t="shared" si="27"/>
        <v>13.5</v>
      </c>
      <c r="S611" s="7">
        <f t="shared" si="28"/>
        <v>0.94500000000000006</v>
      </c>
      <c r="T611">
        <f>Table1[[#This Row],[Total price]]-Table1[[#This Row],[Discount Amount]]</f>
        <v>12.555</v>
      </c>
      <c r="U611">
        <f t="shared" si="29"/>
        <v>25.11</v>
      </c>
    </row>
    <row r="612" spans="1:21">
      <c r="A612">
        <v>611</v>
      </c>
      <c r="B612" s="3" t="s">
        <v>1105</v>
      </c>
      <c r="C612" s="3" t="s">
        <v>1331</v>
      </c>
      <c r="D612" s="3" t="s">
        <v>2866</v>
      </c>
      <c r="E612" s="3" t="s">
        <v>3553</v>
      </c>
      <c r="F612" s="3">
        <v>218</v>
      </c>
      <c r="G612" s="4">
        <v>40878.489583333336</v>
      </c>
      <c r="H612" s="3">
        <v>4</v>
      </c>
      <c r="I612" s="5">
        <v>12</v>
      </c>
      <c r="J612" t="s">
        <v>75</v>
      </c>
      <c r="K612" t="s">
        <v>4497</v>
      </c>
      <c r="L612">
        <v>536412</v>
      </c>
      <c r="M612" s="2">
        <v>22197</v>
      </c>
      <c r="N612">
        <v>0.85</v>
      </c>
      <c r="O612" s="6">
        <v>5</v>
      </c>
      <c r="P612" s="3">
        <v>0.05</v>
      </c>
      <c r="Q612" t="s">
        <v>3</v>
      </c>
      <c r="R612" s="7">
        <f t="shared" si="27"/>
        <v>4.25</v>
      </c>
      <c r="S612" s="7">
        <f t="shared" si="28"/>
        <v>0.21250000000000002</v>
      </c>
      <c r="T612">
        <f>Table1[[#This Row],[Total price]]-Table1[[#This Row],[Discount Amount]]</f>
        <v>4.0374999999999996</v>
      </c>
      <c r="U612">
        <f t="shared" si="29"/>
        <v>20.1875</v>
      </c>
    </row>
    <row r="613" spans="1:21">
      <c r="A613">
        <v>612</v>
      </c>
      <c r="B613" s="3" t="s">
        <v>2184</v>
      </c>
      <c r="C613" s="3" t="s">
        <v>1512</v>
      </c>
      <c r="D613" s="3" t="s">
        <v>2866</v>
      </c>
      <c r="E613" s="3" t="s">
        <v>3554</v>
      </c>
      <c r="F613" s="3">
        <v>219</v>
      </c>
      <c r="G613" s="4">
        <v>40878.489583333336</v>
      </c>
      <c r="H613" s="3">
        <v>4</v>
      </c>
      <c r="I613" s="5">
        <v>26</v>
      </c>
      <c r="J613" t="s">
        <v>513</v>
      </c>
      <c r="K613" t="s">
        <v>4497</v>
      </c>
      <c r="L613">
        <v>536412</v>
      </c>
      <c r="M613" s="2">
        <v>22900</v>
      </c>
      <c r="N613">
        <v>2.95</v>
      </c>
      <c r="O613" s="6">
        <v>2</v>
      </c>
      <c r="P613" s="3">
        <v>0.05</v>
      </c>
      <c r="Q613" t="s">
        <v>3</v>
      </c>
      <c r="R613" s="7">
        <f t="shared" si="27"/>
        <v>5.9</v>
      </c>
      <c r="S613" s="7">
        <f t="shared" si="28"/>
        <v>0.29500000000000004</v>
      </c>
      <c r="T613">
        <f>Table1[[#This Row],[Total price]]-Table1[[#This Row],[Discount Amount]]</f>
        <v>5.6050000000000004</v>
      </c>
      <c r="U613">
        <f t="shared" si="29"/>
        <v>11.21</v>
      </c>
    </row>
    <row r="614" spans="1:21">
      <c r="A614">
        <v>613</v>
      </c>
      <c r="B614" s="3" t="s">
        <v>2196</v>
      </c>
      <c r="C614" s="3" t="s">
        <v>2195</v>
      </c>
      <c r="D614" s="3" t="s">
        <v>2866</v>
      </c>
      <c r="E614" s="3" t="s">
        <v>3555</v>
      </c>
      <c r="F614" s="3">
        <v>219</v>
      </c>
      <c r="G614" s="4">
        <v>40878.489583333336</v>
      </c>
      <c r="H614" s="3">
        <v>4</v>
      </c>
      <c r="I614" s="5">
        <v>5</v>
      </c>
      <c r="J614" t="s">
        <v>657</v>
      </c>
      <c r="K614" t="s">
        <v>4497</v>
      </c>
      <c r="L614">
        <v>536412</v>
      </c>
      <c r="M614" s="2">
        <v>21706</v>
      </c>
      <c r="N614">
        <v>4.95</v>
      </c>
      <c r="O614" s="6">
        <v>1</v>
      </c>
      <c r="P614" s="3">
        <v>0.2</v>
      </c>
      <c r="Q614" t="s">
        <v>3</v>
      </c>
      <c r="R614" s="7">
        <f t="shared" si="27"/>
        <v>4.95</v>
      </c>
      <c r="S614" s="7">
        <f t="shared" si="28"/>
        <v>0.9900000000000001</v>
      </c>
      <c r="T614">
        <f>Table1[[#This Row],[Total price]]-Table1[[#This Row],[Discount Amount]]</f>
        <v>3.96</v>
      </c>
      <c r="U614">
        <f t="shared" si="29"/>
        <v>3.96</v>
      </c>
    </row>
    <row r="615" spans="1:21">
      <c r="A615">
        <v>614</v>
      </c>
      <c r="B615" s="3" t="s">
        <v>2194</v>
      </c>
      <c r="C615" s="3" t="s">
        <v>1693</v>
      </c>
      <c r="D615" s="3" t="s">
        <v>2866</v>
      </c>
      <c r="E615" s="3" t="s">
        <v>3556</v>
      </c>
      <c r="F615" s="3">
        <v>220</v>
      </c>
      <c r="G615" s="4">
        <v>40878.489583333336</v>
      </c>
      <c r="H615" s="3">
        <v>4</v>
      </c>
      <c r="I615" s="5">
        <v>6</v>
      </c>
      <c r="J615" t="s">
        <v>556</v>
      </c>
      <c r="K615" t="s">
        <v>4497</v>
      </c>
      <c r="L615">
        <v>536412</v>
      </c>
      <c r="M615" s="2">
        <v>22468</v>
      </c>
      <c r="N615">
        <v>6.75</v>
      </c>
      <c r="O615" s="6">
        <v>2</v>
      </c>
      <c r="P615" s="3">
        <v>0.05</v>
      </c>
      <c r="Q615" t="s">
        <v>3</v>
      </c>
      <c r="R615" s="7">
        <f t="shared" si="27"/>
        <v>13.5</v>
      </c>
      <c r="S615" s="7">
        <f t="shared" si="28"/>
        <v>0.67500000000000004</v>
      </c>
      <c r="T615">
        <f>Table1[[#This Row],[Total price]]-Table1[[#This Row],[Discount Amount]]</f>
        <v>12.824999999999999</v>
      </c>
      <c r="U615">
        <f t="shared" si="29"/>
        <v>25.65</v>
      </c>
    </row>
    <row r="616" spans="1:21">
      <c r="A616">
        <v>615</v>
      </c>
      <c r="B616" s="3" t="s">
        <v>2193</v>
      </c>
      <c r="C616" s="3" t="s">
        <v>1392</v>
      </c>
      <c r="D616" s="3" t="s">
        <v>2866</v>
      </c>
      <c r="E616" s="3" t="s">
        <v>3557</v>
      </c>
      <c r="F616" s="3">
        <v>220</v>
      </c>
      <c r="G616" s="4">
        <v>40878.489583333336</v>
      </c>
      <c r="H616" s="3">
        <v>4</v>
      </c>
      <c r="I616" s="5">
        <v>25</v>
      </c>
      <c r="J616" t="s">
        <v>272</v>
      </c>
      <c r="K616" t="s">
        <v>4497</v>
      </c>
      <c r="L616">
        <v>536412</v>
      </c>
      <c r="M616" s="2">
        <v>20725</v>
      </c>
      <c r="N616">
        <v>1.65</v>
      </c>
      <c r="O616" s="6">
        <v>1</v>
      </c>
      <c r="P616" s="3">
        <v>7.0000000000000007E-2</v>
      </c>
      <c r="Q616" t="s">
        <v>3</v>
      </c>
      <c r="R616" s="7">
        <f t="shared" si="27"/>
        <v>1.65</v>
      </c>
      <c r="S616" s="7">
        <f t="shared" si="28"/>
        <v>0.11550000000000001</v>
      </c>
      <c r="T616">
        <f>Table1[[#This Row],[Total price]]-Table1[[#This Row],[Discount Amount]]</f>
        <v>1.5345</v>
      </c>
      <c r="U616">
        <f t="shared" si="29"/>
        <v>1.5345</v>
      </c>
    </row>
    <row r="617" spans="1:21">
      <c r="A617">
        <v>616</v>
      </c>
      <c r="B617" s="3" t="s">
        <v>2192</v>
      </c>
      <c r="C617" s="3" t="s">
        <v>1813</v>
      </c>
      <c r="D617" s="3" t="s">
        <v>2866</v>
      </c>
      <c r="E617" s="3" t="s">
        <v>3558</v>
      </c>
      <c r="F617" s="3">
        <v>220</v>
      </c>
      <c r="G617" s="4">
        <v>40878.489583333336</v>
      </c>
      <c r="H617" s="3">
        <v>4</v>
      </c>
      <c r="I617" s="5">
        <v>22</v>
      </c>
      <c r="J617" t="s">
        <v>654</v>
      </c>
      <c r="K617" t="s">
        <v>4497</v>
      </c>
      <c r="L617">
        <v>536412</v>
      </c>
      <c r="M617" s="2" t="s">
        <v>653</v>
      </c>
      <c r="N617">
        <v>2.95</v>
      </c>
      <c r="O617" s="6">
        <v>1</v>
      </c>
      <c r="P617" s="3">
        <v>0.1</v>
      </c>
      <c r="Q617" t="s">
        <v>3</v>
      </c>
      <c r="R617" s="7">
        <f t="shared" si="27"/>
        <v>2.95</v>
      </c>
      <c r="S617" s="7">
        <f t="shared" si="28"/>
        <v>0.29500000000000004</v>
      </c>
      <c r="T617">
        <f>Table1[[#This Row],[Total price]]-Table1[[#This Row],[Discount Amount]]</f>
        <v>2.6550000000000002</v>
      </c>
      <c r="U617">
        <f t="shared" si="29"/>
        <v>2.6550000000000002</v>
      </c>
    </row>
    <row r="618" spans="1:21">
      <c r="A618">
        <v>617</v>
      </c>
      <c r="B618" s="3" t="s">
        <v>2191</v>
      </c>
      <c r="C618" s="3" t="s">
        <v>1204</v>
      </c>
      <c r="D618" s="3" t="s">
        <v>2866</v>
      </c>
      <c r="E618" s="3" t="s">
        <v>3559</v>
      </c>
      <c r="F618" s="3">
        <v>220</v>
      </c>
      <c r="G618" s="4">
        <v>40878.489583333336</v>
      </c>
      <c r="H618" s="3">
        <v>4</v>
      </c>
      <c r="I618" s="5">
        <v>3</v>
      </c>
      <c r="J618" t="s">
        <v>682</v>
      </c>
      <c r="K618" t="s">
        <v>4497</v>
      </c>
      <c r="L618">
        <v>536412</v>
      </c>
      <c r="M618" s="2">
        <v>21708</v>
      </c>
      <c r="N618">
        <v>4.95</v>
      </c>
      <c r="O618" s="6">
        <v>1</v>
      </c>
      <c r="P618" s="3">
        <v>0.2</v>
      </c>
      <c r="Q618" t="s">
        <v>3</v>
      </c>
      <c r="R618" s="7">
        <f t="shared" si="27"/>
        <v>4.95</v>
      </c>
      <c r="S618" s="7">
        <f t="shared" si="28"/>
        <v>0.9900000000000001</v>
      </c>
      <c r="T618">
        <f>Table1[[#This Row],[Total price]]-Table1[[#This Row],[Discount Amount]]</f>
        <v>3.96</v>
      </c>
      <c r="U618">
        <f t="shared" si="29"/>
        <v>3.96</v>
      </c>
    </row>
    <row r="619" spans="1:21">
      <c r="A619">
        <v>618</v>
      </c>
      <c r="B619" s="3" t="s">
        <v>2190</v>
      </c>
      <c r="C619" s="3" t="s">
        <v>1090</v>
      </c>
      <c r="D619" s="3" t="s">
        <v>2866</v>
      </c>
      <c r="E619" s="3" t="s">
        <v>3560</v>
      </c>
      <c r="F619" s="3">
        <v>221</v>
      </c>
      <c r="G619" s="4">
        <v>40878.489583333336</v>
      </c>
      <c r="H619" s="3">
        <v>4</v>
      </c>
      <c r="I619" s="5">
        <v>11</v>
      </c>
      <c r="J619" t="s">
        <v>513</v>
      </c>
      <c r="K619" t="s">
        <v>4497</v>
      </c>
      <c r="L619">
        <v>536412</v>
      </c>
      <c r="M619" s="2">
        <v>22900</v>
      </c>
      <c r="N619">
        <v>2.95</v>
      </c>
      <c r="O619" s="6">
        <v>2</v>
      </c>
      <c r="P619" s="3">
        <v>7.0000000000000007E-2</v>
      </c>
      <c r="Q619" t="s">
        <v>3</v>
      </c>
      <c r="R619" s="7">
        <f t="shared" si="27"/>
        <v>5.9</v>
      </c>
      <c r="S619" s="7">
        <f t="shared" si="28"/>
        <v>0.41300000000000009</v>
      </c>
      <c r="T619">
        <f>Table1[[#This Row],[Total price]]-Table1[[#This Row],[Discount Amount]]</f>
        <v>5.4870000000000001</v>
      </c>
      <c r="U619">
        <f t="shared" si="29"/>
        <v>10.974</v>
      </c>
    </row>
    <row r="620" spans="1:21">
      <c r="A620">
        <v>619</v>
      </c>
      <c r="B620" s="3" t="s">
        <v>2189</v>
      </c>
      <c r="C620" s="3" t="s">
        <v>2188</v>
      </c>
      <c r="D620" s="3" t="s">
        <v>3561</v>
      </c>
      <c r="E620" s="3" t="s">
        <v>3562</v>
      </c>
      <c r="F620" s="3">
        <v>222</v>
      </c>
      <c r="G620" s="4">
        <v>40878.489583333336</v>
      </c>
      <c r="H620" s="3">
        <v>4</v>
      </c>
      <c r="I620" s="5">
        <v>10</v>
      </c>
      <c r="J620" t="s">
        <v>657</v>
      </c>
      <c r="K620" t="s">
        <v>4497</v>
      </c>
      <c r="L620">
        <v>536412</v>
      </c>
      <c r="M620" s="2">
        <v>21706</v>
      </c>
      <c r="N620">
        <v>4.95</v>
      </c>
      <c r="O620" s="6">
        <v>1</v>
      </c>
      <c r="P620" s="3">
        <v>0.1</v>
      </c>
      <c r="Q620" t="s">
        <v>3</v>
      </c>
      <c r="R620" s="7">
        <f t="shared" si="27"/>
        <v>4.95</v>
      </c>
      <c r="S620" s="7">
        <f t="shared" si="28"/>
        <v>0.49500000000000005</v>
      </c>
      <c r="T620">
        <f>Table1[[#This Row],[Total price]]-Table1[[#This Row],[Discount Amount]]</f>
        <v>4.4550000000000001</v>
      </c>
      <c r="U620">
        <f t="shared" si="29"/>
        <v>4.4550000000000001</v>
      </c>
    </row>
    <row r="621" spans="1:21">
      <c r="A621">
        <v>620</v>
      </c>
      <c r="B621" s="3" t="s">
        <v>2187</v>
      </c>
      <c r="C621" s="3" t="s">
        <v>1268</v>
      </c>
      <c r="D621" s="3" t="s">
        <v>2866</v>
      </c>
      <c r="E621" s="3" t="s">
        <v>3563</v>
      </c>
      <c r="F621" s="3">
        <v>222</v>
      </c>
      <c r="G621" s="4">
        <v>40878.489583333336</v>
      </c>
      <c r="H621" s="3">
        <v>4</v>
      </c>
      <c r="I621" s="5">
        <v>2</v>
      </c>
      <c r="J621" t="s">
        <v>871</v>
      </c>
      <c r="K621" t="s">
        <v>4497</v>
      </c>
      <c r="L621">
        <v>536412</v>
      </c>
      <c r="M621" s="2">
        <v>22988</v>
      </c>
      <c r="N621">
        <v>1.25</v>
      </c>
      <c r="O621" s="6">
        <v>6</v>
      </c>
      <c r="P621" s="3">
        <v>0.1</v>
      </c>
      <c r="Q621" t="s">
        <v>3</v>
      </c>
      <c r="R621" s="7">
        <f t="shared" si="27"/>
        <v>7.5</v>
      </c>
      <c r="S621" s="7">
        <f t="shared" si="28"/>
        <v>0.75</v>
      </c>
      <c r="T621">
        <f>Table1[[#This Row],[Total price]]-Table1[[#This Row],[Discount Amount]]</f>
        <v>6.75</v>
      </c>
      <c r="U621">
        <f t="shared" si="29"/>
        <v>40.5</v>
      </c>
    </row>
    <row r="622" spans="1:21">
      <c r="A622">
        <v>621</v>
      </c>
      <c r="B622" s="3" t="s">
        <v>2186</v>
      </c>
      <c r="C622" s="3" t="s">
        <v>2185</v>
      </c>
      <c r="D622" s="3" t="s">
        <v>2866</v>
      </c>
      <c r="E622" s="3" t="s">
        <v>3564</v>
      </c>
      <c r="F622" s="3">
        <v>223</v>
      </c>
      <c r="G622" s="4">
        <v>40878.489583333336</v>
      </c>
      <c r="H622" s="3">
        <v>4</v>
      </c>
      <c r="I622" s="5">
        <v>7</v>
      </c>
      <c r="J622" t="s">
        <v>654</v>
      </c>
      <c r="K622" t="s">
        <v>4497</v>
      </c>
      <c r="L622">
        <v>536412</v>
      </c>
      <c r="M622" s="2" t="s">
        <v>653</v>
      </c>
      <c r="N622">
        <v>2.95</v>
      </c>
      <c r="O622" s="6">
        <v>1</v>
      </c>
      <c r="P622" s="3">
        <v>0.05</v>
      </c>
      <c r="Q622" t="s">
        <v>3</v>
      </c>
      <c r="R622" s="7">
        <f t="shared" si="27"/>
        <v>2.95</v>
      </c>
      <c r="S622" s="7">
        <f t="shared" si="28"/>
        <v>0.14750000000000002</v>
      </c>
      <c r="T622">
        <f>Table1[[#This Row],[Total price]]-Table1[[#This Row],[Discount Amount]]</f>
        <v>2.8025000000000002</v>
      </c>
      <c r="U622">
        <f t="shared" si="29"/>
        <v>2.8025000000000002</v>
      </c>
    </row>
    <row r="623" spans="1:21">
      <c r="A623">
        <v>622</v>
      </c>
      <c r="B623" s="3" t="s">
        <v>2184</v>
      </c>
      <c r="C623" s="3" t="s">
        <v>1772</v>
      </c>
      <c r="D623" s="3" t="s">
        <v>2866</v>
      </c>
      <c r="E623" s="3" t="s">
        <v>3565</v>
      </c>
      <c r="F623" s="3">
        <v>223</v>
      </c>
      <c r="G623" s="4">
        <v>40878.489583333336</v>
      </c>
      <c r="H623" s="3">
        <v>4</v>
      </c>
      <c r="I623" s="5">
        <v>5</v>
      </c>
      <c r="J623" t="s">
        <v>364</v>
      </c>
      <c r="K623" t="s">
        <v>4497</v>
      </c>
      <c r="L623">
        <v>536412</v>
      </c>
      <c r="M623" s="2">
        <v>20750</v>
      </c>
      <c r="N623">
        <v>7.95</v>
      </c>
      <c r="O623" s="6">
        <v>1</v>
      </c>
      <c r="P623" s="3">
        <v>0.2</v>
      </c>
      <c r="Q623" t="s">
        <v>3</v>
      </c>
      <c r="R623" s="7">
        <f t="shared" si="27"/>
        <v>7.95</v>
      </c>
      <c r="S623" s="7">
        <f t="shared" si="28"/>
        <v>1.59</v>
      </c>
      <c r="T623">
        <f>Table1[[#This Row],[Total price]]-Table1[[#This Row],[Discount Amount]]</f>
        <v>6.36</v>
      </c>
      <c r="U623">
        <f t="shared" si="29"/>
        <v>6.36</v>
      </c>
    </row>
    <row r="624" spans="1:21">
      <c r="A624">
        <v>623</v>
      </c>
      <c r="B624" s="3" t="s">
        <v>2183</v>
      </c>
      <c r="C624" s="3" t="s">
        <v>1928</v>
      </c>
      <c r="D624" s="3" t="s">
        <v>2866</v>
      </c>
      <c r="E624" s="3" t="s">
        <v>3566</v>
      </c>
      <c r="F624" s="3">
        <v>223</v>
      </c>
      <c r="G624" s="4">
        <v>40878.489583333336</v>
      </c>
      <c r="H624" s="3">
        <v>4</v>
      </c>
      <c r="I624" s="5">
        <v>21</v>
      </c>
      <c r="K624" t="s">
        <v>4497</v>
      </c>
      <c r="L624">
        <v>536414</v>
      </c>
      <c r="M624" s="2">
        <v>22139</v>
      </c>
      <c r="N624">
        <v>0</v>
      </c>
      <c r="O624" s="6">
        <v>56</v>
      </c>
      <c r="P624" s="3">
        <v>0.1</v>
      </c>
      <c r="Q624" t="s">
        <v>3</v>
      </c>
      <c r="R624" s="7">
        <f t="shared" si="27"/>
        <v>0</v>
      </c>
      <c r="S624" s="7">
        <f t="shared" si="28"/>
        <v>0</v>
      </c>
      <c r="T624">
        <f>Table1[[#This Row],[Total price]]-Table1[[#This Row],[Discount Amount]]</f>
        <v>0</v>
      </c>
      <c r="U624">
        <f t="shared" si="29"/>
        <v>0</v>
      </c>
    </row>
    <row r="625" spans="1:21">
      <c r="A625">
        <v>624</v>
      </c>
      <c r="B625" s="3" t="s">
        <v>2182</v>
      </c>
      <c r="C625" s="3" t="s">
        <v>1202</v>
      </c>
      <c r="D625" s="3" t="s">
        <v>3567</v>
      </c>
      <c r="E625" s="3" t="s">
        <v>3568</v>
      </c>
      <c r="F625" s="3">
        <v>223</v>
      </c>
      <c r="G625" s="4">
        <v>40878.489583333336</v>
      </c>
      <c r="H625" s="3">
        <v>4</v>
      </c>
      <c r="I625" s="5">
        <v>20</v>
      </c>
      <c r="J625" t="s">
        <v>117</v>
      </c>
      <c r="K625" t="s">
        <v>4497</v>
      </c>
      <c r="L625">
        <v>536415</v>
      </c>
      <c r="M625" s="2">
        <v>22952</v>
      </c>
      <c r="N625">
        <v>0.55000000000000004</v>
      </c>
      <c r="O625" s="6">
        <v>10</v>
      </c>
      <c r="P625" s="3">
        <v>0.05</v>
      </c>
      <c r="Q625" t="s">
        <v>3</v>
      </c>
      <c r="R625" s="7">
        <f t="shared" si="27"/>
        <v>5.5</v>
      </c>
      <c r="S625" s="7">
        <f t="shared" si="28"/>
        <v>0.27500000000000002</v>
      </c>
      <c r="T625">
        <f>Table1[[#This Row],[Total price]]-Table1[[#This Row],[Discount Amount]]</f>
        <v>5.2249999999999996</v>
      </c>
      <c r="U625">
        <f t="shared" si="29"/>
        <v>52.25</v>
      </c>
    </row>
    <row r="626" spans="1:21">
      <c r="A626">
        <v>625</v>
      </c>
      <c r="B626" s="3" t="s">
        <v>2181</v>
      </c>
      <c r="C626" s="3" t="s">
        <v>2180</v>
      </c>
      <c r="D626" s="3" t="s">
        <v>2866</v>
      </c>
      <c r="E626" s="3" t="s">
        <v>3569</v>
      </c>
      <c r="F626" s="3">
        <v>223</v>
      </c>
      <c r="G626" s="4">
        <v>40878.489583333336</v>
      </c>
      <c r="H626" s="3">
        <v>4</v>
      </c>
      <c r="I626" s="5">
        <v>15</v>
      </c>
      <c r="J626" t="s">
        <v>63</v>
      </c>
      <c r="K626" t="s">
        <v>4497</v>
      </c>
      <c r="L626">
        <v>536415</v>
      </c>
      <c r="M626" s="2">
        <v>22910</v>
      </c>
      <c r="N626">
        <v>2.95</v>
      </c>
      <c r="O626" s="6">
        <v>5</v>
      </c>
      <c r="P626" s="3">
        <v>0.05</v>
      </c>
      <c r="Q626" t="s">
        <v>3</v>
      </c>
      <c r="R626" s="7">
        <f t="shared" si="27"/>
        <v>14.75</v>
      </c>
      <c r="S626" s="7">
        <f t="shared" si="28"/>
        <v>0.73750000000000004</v>
      </c>
      <c r="T626">
        <f>Table1[[#This Row],[Total price]]-Table1[[#This Row],[Discount Amount]]</f>
        <v>14.012499999999999</v>
      </c>
      <c r="U626">
        <f t="shared" si="29"/>
        <v>70.0625</v>
      </c>
    </row>
    <row r="627" spans="1:21">
      <c r="A627">
        <v>626</v>
      </c>
      <c r="B627" s="3" t="s">
        <v>2179</v>
      </c>
      <c r="C627" s="3" t="s">
        <v>2178</v>
      </c>
      <c r="D627" s="3" t="s">
        <v>2866</v>
      </c>
      <c r="E627" s="3" t="s">
        <v>3570</v>
      </c>
      <c r="F627" s="3">
        <v>224</v>
      </c>
      <c r="G627" s="4">
        <v>40878.489583333336</v>
      </c>
      <c r="H627" s="3">
        <v>4</v>
      </c>
      <c r="I627" s="5">
        <v>6</v>
      </c>
      <c r="J627" t="s">
        <v>169</v>
      </c>
      <c r="K627" t="s">
        <v>4497</v>
      </c>
      <c r="L627">
        <v>536415</v>
      </c>
      <c r="M627" s="2">
        <v>22739</v>
      </c>
      <c r="N627">
        <v>1.65</v>
      </c>
      <c r="O627" s="6">
        <v>3</v>
      </c>
      <c r="P627" s="3">
        <v>7.0000000000000007E-2</v>
      </c>
      <c r="Q627" t="s">
        <v>3</v>
      </c>
      <c r="R627" s="7">
        <f t="shared" si="27"/>
        <v>4.9499999999999993</v>
      </c>
      <c r="S627" s="7">
        <f t="shared" si="28"/>
        <v>0.34649999999999997</v>
      </c>
      <c r="T627">
        <f>Table1[[#This Row],[Total price]]-Table1[[#This Row],[Discount Amount]]</f>
        <v>4.6034999999999995</v>
      </c>
      <c r="U627">
        <f t="shared" si="29"/>
        <v>13.810499999999998</v>
      </c>
    </row>
    <row r="628" spans="1:21">
      <c r="A628">
        <v>627</v>
      </c>
      <c r="B628" s="3" t="s">
        <v>2177</v>
      </c>
      <c r="C628" s="3" t="s">
        <v>1418</v>
      </c>
      <c r="D628" s="3" t="s">
        <v>2866</v>
      </c>
      <c r="E628" s="3" t="s">
        <v>3571</v>
      </c>
      <c r="F628" s="3">
        <v>224</v>
      </c>
      <c r="G628" s="4">
        <v>40878.489583333336</v>
      </c>
      <c r="H628" s="3">
        <v>4</v>
      </c>
      <c r="I628" s="5">
        <v>11</v>
      </c>
      <c r="J628" t="s">
        <v>161</v>
      </c>
      <c r="K628" t="s">
        <v>4497</v>
      </c>
      <c r="L628">
        <v>536415</v>
      </c>
      <c r="M628" s="2">
        <v>22738</v>
      </c>
      <c r="N628">
        <v>1.65</v>
      </c>
      <c r="O628" s="6">
        <v>3</v>
      </c>
      <c r="P628" s="3">
        <v>0.1</v>
      </c>
      <c r="Q628" t="s">
        <v>3</v>
      </c>
      <c r="R628" s="7">
        <f t="shared" si="27"/>
        <v>4.9499999999999993</v>
      </c>
      <c r="S628" s="7">
        <f t="shared" si="28"/>
        <v>0.49499999999999994</v>
      </c>
      <c r="T628">
        <f>Table1[[#This Row],[Total price]]-Table1[[#This Row],[Discount Amount]]</f>
        <v>4.4549999999999992</v>
      </c>
      <c r="U628">
        <f t="shared" si="29"/>
        <v>13.364999999999998</v>
      </c>
    </row>
    <row r="629" spans="1:21">
      <c r="A629">
        <v>628</v>
      </c>
      <c r="B629" s="3" t="s">
        <v>2176</v>
      </c>
      <c r="C629" s="3" t="s">
        <v>1818</v>
      </c>
      <c r="D629" s="3" t="s">
        <v>2866</v>
      </c>
      <c r="E629" s="3" t="s">
        <v>3572</v>
      </c>
      <c r="F629" s="3">
        <v>224</v>
      </c>
      <c r="G629" s="4">
        <v>40878.489583333336</v>
      </c>
      <c r="H629" s="3">
        <v>4</v>
      </c>
      <c r="I629" s="5">
        <v>10</v>
      </c>
      <c r="J629" t="s">
        <v>167</v>
      </c>
      <c r="K629" t="s">
        <v>4497</v>
      </c>
      <c r="L629">
        <v>536415</v>
      </c>
      <c r="M629" s="2">
        <v>22736</v>
      </c>
      <c r="N629">
        <v>1.65</v>
      </c>
      <c r="O629" s="6">
        <v>3</v>
      </c>
      <c r="P629" s="3">
        <v>0.2</v>
      </c>
      <c r="Q629" t="s">
        <v>3</v>
      </c>
      <c r="R629" s="7">
        <f t="shared" si="27"/>
        <v>4.9499999999999993</v>
      </c>
      <c r="S629" s="7">
        <f t="shared" si="28"/>
        <v>0.98999999999999988</v>
      </c>
      <c r="T629">
        <f>Table1[[#This Row],[Total price]]-Table1[[#This Row],[Discount Amount]]</f>
        <v>3.9599999999999995</v>
      </c>
      <c r="U629">
        <f t="shared" si="29"/>
        <v>11.879999999999999</v>
      </c>
    </row>
    <row r="630" spans="1:21">
      <c r="A630">
        <v>629</v>
      </c>
      <c r="B630" s="3" t="s">
        <v>2027</v>
      </c>
      <c r="C630" s="3" t="s">
        <v>1917</v>
      </c>
      <c r="D630" s="3" t="s">
        <v>3573</v>
      </c>
      <c r="E630" s="3" t="s">
        <v>3574</v>
      </c>
      <c r="F630" s="3">
        <v>224</v>
      </c>
      <c r="G630" s="4">
        <v>40878.489583333336</v>
      </c>
      <c r="H630" s="3">
        <v>4</v>
      </c>
      <c r="I630" s="5">
        <v>25</v>
      </c>
      <c r="J630" t="s">
        <v>129</v>
      </c>
      <c r="K630" t="s">
        <v>4497</v>
      </c>
      <c r="L630">
        <v>536415</v>
      </c>
      <c r="M630" s="2">
        <v>22909</v>
      </c>
      <c r="N630">
        <v>0.85</v>
      </c>
      <c r="O630" s="6">
        <v>5</v>
      </c>
      <c r="P630" s="3">
        <v>0.05</v>
      </c>
      <c r="Q630" t="s">
        <v>3</v>
      </c>
      <c r="R630" s="7">
        <f t="shared" si="27"/>
        <v>4.25</v>
      </c>
      <c r="S630" s="7">
        <f t="shared" si="28"/>
        <v>0.21250000000000002</v>
      </c>
      <c r="T630">
        <f>Table1[[#This Row],[Total price]]-Table1[[#This Row],[Discount Amount]]</f>
        <v>4.0374999999999996</v>
      </c>
      <c r="U630">
        <f t="shared" si="29"/>
        <v>20.1875</v>
      </c>
    </row>
    <row r="631" spans="1:21">
      <c r="A631">
        <v>630</v>
      </c>
      <c r="B631" s="3" t="s">
        <v>1297</v>
      </c>
      <c r="C631" s="3" t="s">
        <v>1882</v>
      </c>
      <c r="D631" s="3" t="s">
        <v>2866</v>
      </c>
      <c r="E631" s="3" t="s">
        <v>3575</v>
      </c>
      <c r="F631" s="3">
        <v>225</v>
      </c>
      <c r="G631" s="4">
        <v>40878.489583333336</v>
      </c>
      <c r="H631" s="3">
        <v>4</v>
      </c>
      <c r="I631" s="5">
        <v>21</v>
      </c>
      <c r="J631" t="s">
        <v>835</v>
      </c>
      <c r="K631" t="s">
        <v>4497</v>
      </c>
      <c r="L631">
        <v>536415</v>
      </c>
      <c r="M631" s="2" t="s">
        <v>834</v>
      </c>
      <c r="N631">
        <v>1.25</v>
      </c>
      <c r="O631" s="6">
        <v>2</v>
      </c>
      <c r="P631" s="3">
        <v>0.1</v>
      </c>
      <c r="Q631" t="s">
        <v>3</v>
      </c>
      <c r="R631" s="7">
        <f t="shared" si="27"/>
        <v>2.5</v>
      </c>
      <c r="S631" s="7">
        <f t="shared" si="28"/>
        <v>0.25</v>
      </c>
      <c r="T631">
        <f>Table1[[#This Row],[Total price]]-Table1[[#This Row],[Discount Amount]]</f>
        <v>2.25</v>
      </c>
      <c r="U631">
        <f t="shared" si="29"/>
        <v>4.5</v>
      </c>
    </row>
    <row r="632" spans="1:21">
      <c r="A632">
        <v>631</v>
      </c>
      <c r="B632" s="3" t="s">
        <v>2175</v>
      </c>
      <c r="C632" s="3" t="s">
        <v>2174</v>
      </c>
      <c r="D632" s="3" t="s">
        <v>2866</v>
      </c>
      <c r="E632" s="3" t="s">
        <v>3576</v>
      </c>
      <c r="F632" s="3">
        <v>225</v>
      </c>
      <c r="G632" s="4">
        <v>40878.489583333336</v>
      </c>
      <c r="H632" s="3">
        <v>4</v>
      </c>
      <c r="I632" s="5">
        <v>9</v>
      </c>
      <c r="J632" t="s">
        <v>105</v>
      </c>
      <c r="K632" t="s">
        <v>4497</v>
      </c>
      <c r="L632">
        <v>536415</v>
      </c>
      <c r="M632" s="2">
        <v>22186</v>
      </c>
      <c r="N632">
        <v>2.95</v>
      </c>
      <c r="O632" s="6">
        <v>5</v>
      </c>
      <c r="P632" s="3">
        <v>0.1</v>
      </c>
      <c r="Q632" t="s">
        <v>3</v>
      </c>
      <c r="R632" s="7">
        <f t="shared" si="27"/>
        <v>14.75</v>
      </c>
      <c r="S632" s="7">
        <f t="shared" si="28"/>
        <v>1.4750000000000001</v>
      </c>
      <c r="T632">
        <f>Table1[[#This Row],[Total price]]-Table1[[#This Row],[Discount Amount]]</f>
        <v>13.275</v>
      </c>
      <c r="U632">
        <f t="shared" si="29"/>
        <v>66.375</v>
      </c>
    </row>
    <row r="633" spans="1:21">
      <c r="A633">
        <v>632</v>
      </c>
      <c r="B633" s="3" t="s">
        <v>2173</v>
      </c>
      <c r="C633" s="3" t="s">
        <v>1046</v>
      </c>
      <c r="D633" s="3" t="s">
        <v>2866</v>
      </c>
      <c r="E633" s="3" t="s">
        <v>3577</v>
      </c>
      <c r="F633" s="3">
        <v>226</v>
      </c>
      <c r="G633" s="4">
        <v>40878.489583333336</v>
      </c>
      <c r="H633" s="3">
        <v>4</v>
      </c>
      <c r="I633" s="5">
        <v>2</v>
      </c>
      <c r="J633" t="s">
        <v>490</v>
      </c>
      <c r="K633" t="s">
        <v>4497</v>
      </c>
      <c r="L633">
        <v>536415</v>
      </c>
      <c r="M633" s="2">
        <v>22695</v>
      </c>
      <c r="N633">
        <v>1.45</v>
      </c>
      <c r="O633" s="6">
        <v>3</v>
      </c>
      <c r="P633" s="3">
        <v>0.05</v>
      </c>
      <c r="Q633" t="s">
        <v>3</v>
      </c>
      <c r="R633" s="7">
        <f t="shared" si="27"/>
        <v>4.3499999999999996</v>
      </c>
      <c r="S633" s="7">
        <f t="shared" si="28"/>
        <v>0.2175</v>
      </c>
      <c r="T633">
        <f>Table1[[#This Row],[Total price]]-Table1[[#This Row],[Discount Amount]]</f>
        <v>4.1324999999999994</v>
      </c>
      <c r="U633">
        <f t="shared" si="29"/>
        <v>12.397499999999997</v>
      </c>
    </row>
    <row r="634" spans="1:21">
      <c r="A634">
        <v>633</v>
      </c>
      <c r="B634" s="3" t="s">
        <v>2172</v>
      </c>
      <c r="C634" s="3" t="s">
        <v>994</v>
      </c>
      <c r="D634" s="3" t="s">
        <v>3578</v>
      </c>
      <c r="E634" s="3" t="s">
        <v>3579</v>
      </c>
      <c r="F634" s="3">
        <v>227</v>
      </c>
      <c r="G634" s="4">
        <v>40878.489583333336</v>
      </c>
      <c r="H634" s="3">
        <v>4</v>
      </c>
      <c r="I634" s="5">
        <v>3</v>
      </c>
      <c r="J634" t="s">
        <v>20</v>
      </c>
      <c r="K634" t="s">
        <v>4497</v>
      </c>
      <c r="L634">
        <v>536415</v>
      </c>
      <c r="M634" s="2">
        <v>22470</v>
      </c>
      <c r="N634">
        <v>2.95</v>
      </c>
      <c r="O634" s="6">
        <v>1</v>
      </c>
      <c r="P634" s="3">
        <v>0.05</v>
      </c>
      <c r="Q634" t="s">
        <v>3</v>
      </c>
      <c r="R634" s="7">
        <f t="shared" si="27"/>
        <v>2.95</v>
      </c>
      <c r="S634" s="7">
        <f t="shared" si="28"/>
        <v>0.14750000000000002</v>
      </c>
      <c r="T634">
        <f>Table1[[#This Row],[Total price]]-Table1[[#This Row],[Discount Amount]]</f>
        <v>2.8025000000000002</v>
      </c>
      <c r="U634">
        <f t="shared" si="29"/>
        <v>2.8025000000000002</v>
      </c>
    </row>
    <row r="635" spans="1:21">
      <c r="A635">
        <v>634</v>
      </c>
      <c r="B635" s="3" t="s">
        <v>2171</v>
      </c>
      <c r="C635" s="3" t="s">
        <v>934</v>
      </c>
      <c r="D635" s="3" t="s">
        <v>2866</v>
      </c>
      <c r="E635" s="3" t="s">
        <v>3580</v>
      </c>
      <c r="F635" s="3">
        <v>227</v>
      </c>
      <c r="G635" s="4">
        <v>40878.489583333336</v>
      </c>
      <c r="H635" s="3">
        <v>4</v>
      </c>
      <c r="I635" s="5">
        <v>15</v>
      </c>
      <c r="J635" t="s">
        <v>103</v>
      </c>
      <c r="K635" t="s">
        <v>4497</v>
      </c>
      <c r="L635">
        <v>536415</v>
      </c>
      <c r="M635" s="2">
        <v>22580</v>
      </c>
      <c r="N635">
        <v>5.95</v>
      </c>
      <c r="O635" s="6">
        <v>1</v>
      </c>
      <c r="P635" s="3">
        <v>0.1</v>
      </c>
      <c r="Q635" t="s">
        <v>3</v>
      </c>
      <c r="R635" s="7">
        <f t="shared" si="27"/>
        <v>5.95</v>
      </c>
      <c r="S635" s="7">
        <f t="shared" si="28"/>
        <v>0.59500000000000008</v>
      </c>
      <c r="T635">
        <f>Table1[[#This Row],[Total price]]-Table1[[#This Row],[Discount Amount]]</f>
        <v>5.3550000000000004</v>
      </c>
      <c r="U635">
        <f t="shared" si="29"/>
        <v>5.3550000000000004</v>
      </c>
    </row>
    <row r="636" spans="1:21">
      <c r="A636">
        <v>635</v>
      </c>
      <c r="B636" s="3" t="s">
        <v>2170</v>
      </c>
      <c r="C636" s="3" t="s">
        <v>1776</v>
      </c>
      <c r="D636" s="3" t="s">
        <v>2866</v>
      </c>
      <c r="E636" s="3" t="s">
        <v>3581</v>
      </c>
      <c r="F636" s="3">
        <v>228</v>
      </c>
      <c r="G636" s="4">
        <v>40878.489583333336</v>
      </c>
      <c r="H636" s="3">
        <v>4</v>
      </c>
      <c r="I636" s="5">
        <v>25</v>
      </c>
      <c r="J636" t="s">
        <v>498</v>
      </c>
      <c r="K636" t="s">
        <v>4497</v>
      </c>
      <c r="L636">
        <v>536415</v>
      </c>
      <c r="M636" s="2">
        <v>22469</v>
      </c>
      <c r="N636">
        <v>1.65</v>
      </c>
      <c r="O636" s="6">
        <v>5</v>
      </c>
      <c r="P636" s="3">
        <v>0.2</v>
      </c>
      <c r="Q636" t="s">
        <v>3</v>
      </c>
      <c r="R636" s="7">
        <f t="shared" si="27"/>
        <v>8.25</v>
      </c>
      <c r="S636" s="7">
        <f t="shared" si="28"/>
        <v>1.6500000000000001</v>
      </c>
      <c r="T636">
        <f>Table1[[#This Row],[Total price]]-Table1[[#This Row],[Discount Amount]]</f>
        <v>6.6</v>
      </c>
      <c r="U636">
        <f t="shared" si="29"/>
        <v>33</v>
      </c>
    </row>
    <row r="637" spans="1:21">
      <c r="A637">
        <v>636</v>
      </c>
      <c r="B637" s="3" t="s">
        <v>2169</v>
      </c>
      <c r="C637" s="3" t="s">
        <v>2168</v>
      </c>
      <c r="D637" s="3" t="s">
        <v>2866</v>
      </c>
      <c r="E637" s="3" t="s">
        <v>3582</v>
      </c>
      <c r="F637" s="3">
        <v>228</v>
      </c>
      <c r="G637" s="4">
        <v>40878.489583333336</v>
      </c>
      <c r="H637" s="3">
        <v>4</v>
      </c>
      <c r="I637" s="5">
        <v>2</v>
      </c>
      <c r="J637" t="s">
        <v>138</v>
      </c>
      <c r="K637" t="s">
        <v>4497</v>
      </c>
      <c r="L637">
        <v>536415</v>
      </c>
      <c r="M637" s="2">
        <v>22147</v>
      </c>
      <c r="N637">
        <v>1.45</v>
      </c>
      <c r="O637" s="6">
        <v>4</v>
      </c>
      <c r="P637" s="3">
        <v>7.0000000000000007E-2</v>
      </c>
      <c r="Q637" t="s">
        <v>3</v>
      </c>
      <c r="R637" s="7">
        <f t="shared" si="27"/>
        <v>5.8</v>
      </c>
      <c r="S637" s="7">
        <f t="shared" si="28"/>
        <v>0.40600000000000003</v>
      </c>
      <c r="T637">
        <f>Table1[[#This Row],[Total price]]-Table1[[#This Row],[Discount Amount]]</f>
        <v>5.3940000000000001</v>
      </c>
      <c r="U637">
        <f t="shared" si="29"/>
        <v>21.576000000000001</v>
      </c>
    </row>
    <row r="638" spans="1:21">
      <c r="A638">
        <v>637</v>
      </c>
      <c r="B638" s="3" t="s">
        <v>2167</v>
      </c>
      <c r="C638" s="3" t="s">
        <v>1343</v>
      </c>
      <c r="D638" s="3" t="s">
        <v>2866</v>
      </c>
      <c r="E638" s="3" t="s">
        <v>3583</v>
      </c>
      <c r="F638" s="3">
        <v>228</v>
      </c>
      <c r="G638" s="4">
        <v>40878.489583333336</v>
      </c>
      <c r="H638" s="3">
        <v>4</v>
      </c>
      <c r="I638" s="5">
        <v>23</v>
      </c>
      <c r="J638" t="s">
        <v>277</v>
      </c>
      <c r="K638" t="s">
        <v>4497</v>
      </c>
      <c r="L638">
        <v>536415</v>
      </c>
      <c r="M638" s="2">
        <v>22130</v>
      </c>
      <c r="N638">
        <v>0.85</v>
      </c>
      <c r="O638" s="6">
        <v>6</v>
      </c>
      <c r="P638" s="3">
        <v>0.1</v>
      </c>
      <c r="Q638" t="s">
        <v>3</v>
      </c>
      <c r="R638" s="7">
        <f t="shared" si="27"/>
        <v>5.0999999999999996</v>
      </c>
      <c r="S638" s="7">
        <f t="shared" si="28"/>
        <v>0.51</v>
      </c>
      <c r="T638">
        <f>Table1[[#This Row],[Total price]]-Table1[[#This Row],[Discount Amount]]</f>
        <v>4.59</v>
      </c>
      <c r="U638">
        <f t="shared" si="29"/>
        <v>27.54</v>
      </c>
    </row>
    <row r="639" spans="1:21">
      <c r="A639">
        <v>638</v>
      </c>
      <c r="B639" s="3" t="s">
        <v>2166</v>
      </c>
      <c r="C639" s="3" t="s">
        <v>1343</v>
      </c>
      <c r="D639" s="3" t="s">
        <v>2866</v>
      </c>
      <c r="E639" s="3" t="s">
        <v>3584</v>
      </c>
      <c r="F639" s="3">
        <v>228</v>
      </c>
      <c r="G639" s="4">
        <v>40878.489583333336</v>
      </c>
      <c r="H639" s="3">
        <v>4</v>
      </c>
      <c r="I639" s="5">
        <v>4</v>
      </c>
      <c r="J639" t="s">
        <v>83</v>
      </c>
      <c r="K639" t="s">
        <v>4497</v>
      </c>
      <c r="L639">
        <v>536415</v>
      </c>
      <c r="M639" s="2">
        <v>21791</v>
      </c>
      <c r="N639">
        <v>1.25</v>
      </c>
      <c r="O639" s="6">
        <v>3</v>
      </c>
      <c r="P639" s="3">
        <v>0.2</v>
      </c>
      <c r="Q639" t="s">
        <v>3</v>
      </c>
      <c r="R639" s="7">
        <f t="shared" si="27"/>
        <v>3.75</v>
      </c>
      <c r="S639" s="7">
        <f t="shared" si="28"/>
        <v>0.75</v>
      </c>
      <c r="T639">
        <f>Table1[[#This Row],[Total price]]-Table1[[#This Row],[Discount Amount]]</f>
        <v>3</v>
      </c>
      <c r="U639">
        <f t="shared" si="29"/>
        <v>9</v>
      </c>
    </row>
    <row r="640" spans="1:21">
      <c r="A640">
        <v>639</v>
      </c>
      <c r="B640" s="3" t="s">
        <v>2165</v>
      </c>
      <c r="C640" s="3" t="s">
        <v>2164</v>
      </c>
      <c r="D640" s="3" t="s">
        <v>2866</v>
      </c>
      <c r="E640" s="3" t="s">
        <v>3585</v>
      </c>
      <c r="F640" s="3">
        <v>228</v>
      </c>
      <c r="G640" s="4">
        <v>40878.489583333336</v>
      </c>
      <c r="H640" s="3">
        <v>4</v>
      </c>
      <c r="I640" s="5">
        <v>22</v>
      </c>
      <c r="J640" t="s">
        <v>67</v>
      </c>
      <c r="K640" t="s">
        <v>4497</v>
      </c>
      <c r="L640">
        <v>536415</v>
      </c>
      <c r="M640" s="2">
        <v>22694</v>
      </c>
      <c r="N640">
        <v>2.1</v>
      </c>
      <c r="O640" s="6">
        <v>5</v>
      </c>
      <c r="P640" s="3">
        <v>0.05</v>
      </c>
      <c r="Q640" t="s">
        <v>3</v>
      </c>
      <c r="R640" s="7">
        <f t="shared" si="27"/>
        <v>10.5</v>
      </c>
      <c r="S640" s="7">
        <f t="shared" si="28"/>
        <v>0.52500000000000002</v>
      </c>
      <c r="T640">
        <f>Table1[[#This Row],[Total price]]-Table1[[#This Row],[Discount Amount]]</f>
        <v>9.9749999999999996</v>
      </c>
      <c r="U640">
        <f t="shared" si="29"/>
        <v>49.875</v>
      </c>
    </row>
    <row r="641" spans="1:21">
      <c r="A641">
        <v>640</v>
      </c>
      <c r="B641" s="3" t="s">
        <v>2163</v>
      </c>
      <c r="C641" s="3" t="s">
        <v>1963</v>
      </c>
      <c r="D641" s="3" t="s">
        <v>3586</v>
      </c>
      <c r="E641" s="3" t="s">
        <v>3587</v>
      </c>
      <c r="F641" s="3">
        <v>229</v>
      </c>
      <c r="G641" s="4">
        <v>40878.489583333336</v>
      </c>
      <c r="H641" s="3">
        <v>4</v>
      </c>
      <c r="I641" s="5">
        <v>25</v>
      </c>
      <c r="J641" t="s">
        <v>60</v>
      </c>
      <c r="K641" t="s">
        <v>4497</v>
      </c>
      <c r="L641">
        <v>536415</v>
      </c>
      <c r="M641" s="2">
        <v>21790</v>
      </c>
      <c r="N641">
        <v>0.85</v>
      </c>
      <c r="O641" s="6">
        <v>3</v>
      </c>
      <c r="P641" s="3">
        <v>0.2</v>
      </c>
      <c r="Q641" t="s">
        <v>3</v>
      </c>
      <c r="R641" s="7">
        <f t="shared" si="27"/>
        <v>2.5499999999999998</v>
      </c>
      <c r="S641" s="7">
        <f t="shared" si="28"/>
        <v>0.51</v>
      </c>
      <c r="T641">
        <f>Table1[[#This Row],[Total price]]-Table1[[#This Row],[Discount Amount]]</f>
        <v>2.04</v>
      </c>
      <c r="U641">
        <f t="shared" si="29"/>
        <v>6.12</v>
      </c>
    </row>
    <row r="642" spans="1:21">
      <c r="A642">
        <v>641</v>
      </c>
      <c r="B642" s="3" t="s">
        <v>2162</v>
      </c>
      <c r="C642" s="3" t="s">
        <v>1641</v>
      </c>
      <c r="D642" s="3" t="s">
        <v>2866</v>
      </c>
      <c r="E642" s="3" t="s">
        <v>3588</v>
      </c>
      <c r="F642" s="3">
        <v>229</v>
      </c>
      <c r="G642" s="4">
        <v>40878.489583333336</v>
      </c>
      <c r="H642" s="3">
        <v>4</v>
      </c>
      <c r="I642" s="5">
        <v>5</v>
      </c>
      <c r="J642" t="s">
        <v>139</v>
      </c>
      <c r="K642" t="s">
        <v>4497</v>
      </c>
      <c r="L642">
        <v>536415</v>
      </c>
      <c r="M642" s="2">
        <v>22149</v>
      </c>
      <c r="N642">
        <v>2.1</v>
      </c>
      <c r="O642" s="6">
        <v>4</v>
      </c>
      <c r="P642" s="3">
        <v>0.1</v>
      </c>
      <c r="Q642" t="s">
        <v>3</v>
      </c>
      <c r="R642" s="7">
        <f t="shared" si="27"/>
        <v>8.4</v>
      </c>
      <c r="S642" s="7">
        <f t="shared" si="28"/>
        <v>0.84000000000000008</v>
      </c>
      <c r="T642">
        <f>Table1[[#This Row],[Total price]]-Table1[[#This Row],[Discount Amount]]</f>
        <v>7.5600000000000005</v>
      </c>
      <c r="U642">
        <f t="shared" si="29"/>
        <v>30.240000000000002</v>
      </c>
    </row>
    <row r="643" spans="1:21">
      <c r="A643">
        <v>642</v>
      </c>
      <c r="B643" s="3" t="s">
        <v>1326</v>
      </c>
      <c r="C643" s="3" t="s">
        <v>2008</v>
      </c>
      <c r="D643" s="3" t="s">
        <v>2866</v>
      </c>
      <c r="E643" s="3" t="s">
        <v>3589</v>
      </c>
      <c r="F643" s="3">
        <v>229</v>
      </c>
      <c r="G643" s="4">
        <v>40878.489583333336</v>
      </c>
      <c r="H643" s="3">
        <v>4</v>
      </c>
      <c r="I643" s="5">
        <v>8</v>
      </c>
      <c r="J643" t="s">
        <v>513</v>
      </c>
      <c r="K643" t="s">
        <v>4497</v>
      </c>
      <c r="L643">
        <v>536415</v>
      </c>
      <c r="M643" s="2">
        <v>22900</v>
      </c>
      <c r="N643">
        <v>2.95</v>
      </c>
      <c r="O643" s="6">
        <v>3</v>
      </c>
      <c r="P643" s="3">
        <v>0.2</v>
      </c>
      <c r="Q643" t="s">
        <v>3</v>
      </c>
      <c r="R643" s="7">
        <f t="shared" ref="R643:R706" si="30">N643*O643</f>
        <v>8.8500000000000014</v>
      </c>
      <c r="S643" s="7">
        <f t="shared" ref="S643:S706" si="31">R643*P643</f>
        <v>1.7700000000000005</v>
      </c>
      <c r="T643">
        <f>Table1[[#This Row],[Total price]]-Table1[[#This Row],[Discount Amount]]</f>
        <v>7.080000000000001</v>
      </c>
      <c r="U643">
        <f t="shared" ref="U643:U706" si="32">T643*O643</f>
        <v>21.240000000000002</v>
      </c>
    </row>
    <row r="644" spans="1:21">
      <c r="A644">
        <v>643</v>
      </c>
      <c r="B644" s="3" t="s">
        <v>2161</v>
      </c>
      <c r="C644" s="3" t="s">
        <v>2119</v>
      </c>
      <c r="D644" s="3" t="s">
        <v>2866</v>
      </c>
      <c r="E644" s="3" t="s">
        <v>3590</v>
      </c>
      <c r="F644" s="3">
        <v>230</v>
      </c>
      <c r="G644" s="4">
        <v>40878.489583333336</v>
      </c>
      <c r="H644" s="3">
        <v>4</v>
      </c>
      <c r="I644" s="5">
        <v>11</v>
      </c>
      <c r="J644" t="s">
        <v>876</v>
      </c>
      <c r="K644" t="s">
        <v>4497</v>
      </c>
      <c r="L644">
        <v>536415</v>
      </c>
      <c r="M644" s="2">
        <v>22961</v>
      </c>
      <c r="N644">
        <v>1.45</v>
      </c>
      <c r="O644" s="6">
        <v>3</v>
      </c>
      <c r="P644" s="3">
        <v>7.0000000000000007E-2</v>
      </c>
      <c r="Q644" t="s">
        <v>3</v>
      </c>
      <c r="R644" s="7">
        <f t="shared" si="30"/>
        <v>4.3499999999999996</v>
      </c>
      <c r="S644" s="7">
        <f t="shared" si="31"/>
        <v>0.30449999999999999</v>
      </c>
      <c r="T644">
        <f>Table1[[#This Row],[Total price]]-Table1[[#This Row],[Discount Amount]]</f>
        <v>4.0454999999999997</v>
      </c>
      <c r="U644">
        <f t="shared" si="32"/>
        <v>12.136499999999998</v>
      </c>
    </row>
    <row r="645" spans="1:21">
      <c r="A645">
        <v>644</v>
      </c>
      <c r="B645" s="3" t="s">
        <v>2160</v>
      </c>
      <c r="C645" s="3" t="s">
        <v>2159</v>
      </c>
      <c r="D645" s="3" t="s">
        <v>2866</v>
      </c>
      <c r="E645" s="3" t="s">
        <v>3591</v>
      </c>
      <c r="F645" s="3">
        <v>231</v>
      </c>
      <c r="G645" s="4">
        <v>40878.489583333336</v>
      </c>
      <c r="H645" s="3">
        <v>4</v>
      </c>
      <c r="I645" s="5">
        <v>8</v>
      </c>
      <c r="J645" t="s">
        <v>668</v>
      </c>
      <c r="K645" t="s">
        <v>4497</v>
      </c>
      <c r="L645">
        <v>536415</v>
      </c>
      <c r="M645" s="2">
        <v>22321</v>
      </c>
      <c r="N645">
        <v>0.85</v>
      </c>
      <c r="O645" s="6">
        <v>12</v>
      </c>
      <c r="P645" s="3">
        <v>7.0000000000000007E-2</v>
      </c>
      <c r="Q645" t="s">
        <v>3</v>
      </c>
      <c r="R645" s="7">
        <f t="shared" si="30"/>
        <v>10.199999999999999</v>
      </c>
      <c r="S645" s="7">
        <f t="shared" si="31"/>
        <v>0.71399999999999997</v>
      </c>
      <c r="T645">
        <f>Table1[[#This Row],[Total price]]-Table1[[#This Row],[Discount Amount]]</f>
        <v>9.4859999999999989</v>
      </c>
      <c r="U645">
        <f t="shared" si="32"/>
        <v>113.83199999999999</v>
      </c>
    </row>
    <row r="646" spans="1:21">
      <c r="A646">
        <v>645</v>
      </c>
      <c r="B646" s="3" t="s">
        <v>2158</v>
      </c>
      <c r="C646" s="3" t="s">
        <v>2157</v>
      </c>
      <c r="D646" s="3" t="s">
        <v>3592</v>
      </c>
      <c r="E646" s="3" t="s">
        <v>3593</v>
      </c>
      <c r="F646" s="3">
        <v>231</v>
      </c>
      <c r="G646" s="4">
        <v>40878.489583333336</v>
      </c>
      <c r="H646" s="3">
        <v>4</v>
      </c>
      <c r="I646" s="5">
        <v>14</v>
      </c>
      <c r="J646" t="s">
        <v>173</v>
      </c>
      <c r="K646" t="s">
        <v>4497</v>
      </c>
      <c r="L646">
        <v>536415</v>
      </c>
      <c r="M646" s="2">
        <v>22594</v>
      </c>
      <c r="N646">
        <v>0.85</v>
      </c>
      <c r="O646" s="6">
        <v>5</v>
      </c>
      <c r="P646" s="3">
        <v>0.2</v>
      </c>
      <c r="Q646" t="s">
        <v>3</v>
      </c>
      <c r="R646" s="7">
        <f t="shared" si="30"/>
        <v>4.25</v>
      </c>
      <c r="S646" s="7">
        <f t="shared" si="31"/>
        <v>0.85000000000000009</v>
      </c>
      <c r="T646">
        <f>Table1[[#This Row],[Total price]]-Table1[[#This Row],[Discount Amount]]</f>
        <v>3.4</v>
      </c>
      <c r="U646">
        <f t="shared" si="32"/>
        <v>17</v>
      </c>
    </row>
    <row r="647" spans="1:21">
      <c r="A647">
        <v>646</v>
      </c>
      <c r="B647" s="3" t="s">
        <v>2156</v>
      </c>
      <c r="C647" s="3" t="s">
        <v>2155</v>
      </c>
      <c r="D647" s="3" t="s">
        <v>2866</v>
      </c>
      <c r="E647" s="3" t="s">
        <v>3594</v>
      </c>
      <c r="F647" s="3">
        <v>231</v>
      </c>
      <c r="G647" s="4">
        <v>40878.489583333336</v>
      </c>
      <c r="H647" s="3">
        <v>4</v>
      </c>
      <c r="I647" s="5">
        <v>5</v>
      </c>
      <c r="J647" t="s">
        <v>172</v>
      </c>
      <c r="K647" t="s">
        <v>4497</v>
      </c>
      <c r="L647">
        <v>536415</v>
      </c>
      <c r="M647" s="2">
        <v>22593</v>
      </c>
      <c r="N647">
        <v>0.85</v>
      </c>
      <c r="O647" s="6">
        <v>4</v>
      </c>
      <c r="P647" s="3">
        <v>0.2</v>
      </c>
      <c r="Q647" t="s">
        <v>3</v>
      </c>
      <c r="R647" s="7">
        <f t="shared" si="30"/>
        <v>3.4</v>
      </c>
      <c r="S647" s="7">
        <f t="shared" si="31"/>
        <v>0.68</v>
      </c>
      <c r="T647">
        <f>Table1[[#This Row],[Total price]]-Table1[[#This Row],[Discount Amount]]</f>
        <v>2.7199999999999998</v>
      </c>
      <c r="U647">
        <f t="shared" si="32"/>
        <v>10.879999999999999</v>
      </c>
    </row>
    <row r="648" spans="1:21">
      <c r="A648">
        <v>647</v>
      </c>
      <c r="B648" s="3" t="s">
        <v>2154</v>
      </c>
      <c r="C648" s="3" t="s">
        <v>2153</v>
      </c>
      <c r="D648" s="3" t="s">
        <v>2866</v>
      </c>
      <c r="E648" s="3" t="s">
        <v>3595</v>
      </c>
      <c r="F648" s="3">
        <v>232</v>
      </c>
      <c r="G648" s="4">
        <v>40878.489583333336</v>
      </c>
      <c r="H648" s="3">
        <v>4</v>
      </c>
      <c r="I648" s="5">
        <v>18</v>
      </c>
      <c r="J648" t="s">
        <v>142</v>
      </c>
      <c r="K648" t="s">
        <v>4497</v>
      </c>
      <c r="L648">
        <v>536415</v>
      </c>
      <c r="M648" s="2">
        <v>22595</v>
      </c>
      <c r="N648">
        <v>0.85</v>
      </c>
      <c r="O648" s="6">
        <v>6</v>
      </c>
      <c r="P648" s="3">
        <v>7.0000000000000007E-2</v>
      </c>
      <c r="Q648" t="s">
        <v>3</v>
      </c>
      <c r="R648" s="7">
        <f t="shared" si="30"/>
        <v>5.0999999999999996</v>
      </c>
      <c r="S648" s="7">
        <f t="shared" si="31"/>
        <v>0.35699999999999998</v>
      </c>
      <c r="T648">
        <f>Table1[[#This Row],[Total price]]-Table1[[#This Row],[Discount Amount]]</f>
        <v>4.7429999999999994</v>
      </c>
      <c r="U648">
        <f t="shared" si="32"/>
        <v>28.457999999999998</v>
      </c>
    </row>
    <row r="649" spans="1:21">
      <c r="A649">
        <v>648</v>
      </c>
      <c r="B649" s="3" t="s">
        <v>2152</v>
      </c>
      <c r="C649" s="3" t="s">
        <v>2151</v>
      </c>
      <c r="D649" s="3" t="s">
        <v>2866</v>
      </c>
      <c r="E649" s="3" t="s">
        <v>3596</v>
      </c>
      <c r="F649" s="3">
        <v>232</v>
      </c>
      <c r="G649" s="4">
        <v>40878.489583333336</v>
      </c>
      <c r="H649" s="3">
        <v>4</v>
      </c>
      <c r="I649" s="5">
        <v>11</v>
      </c>
      <c r="J649" t="s">
        <v>160</v>
      </c>
      <c r="K649" t="s">
        <v>4497</v>
      </c>
      <c r="L649">
        <v>536415</v>
      </c>
      <c r="M649" s="2">
        <v>21986</v>
      </c>
      <c r="N649">
        <v>0.28999999999999998</v>
      </c>
      <c r="O649" s="6">
        <v>12</v>
      </c>
      <c r="P649" s="3">
        <v>0.05</v>
      </c>
      <c r="Q649" t="s">
        <v>3</v>
      </c>
      <c r="R649" s="7">
        <f t="shared" si="30"/>
        <v>3.4799999999999995</v>
      </c>
      <c r="S649" s="7">
        <f t="shared" si="31"/>
        <v>0.17399999999999999</v>
      </c>
      <c r="T649">
        <f>Table1[[#This Row],[Total price]]-Table1[[#This Row],[Discount Amount]]</f>
        <v>3.3059999999999996</v>
      </c>
      <c r="U649">
        <f t="shared" si="32"/>
        <v>39.671999999999997</v>
      </c>
    </row>
    <row r="650" spans="1:21">
      <c r="A650">
        <v>649</v>
      </c>
      <c r="B650" s="3" t="s">
        <v>2150</v>
      </c>
      <c r="C650" s="3" t="s">
        <v>2149</v>
      </c>
      <c r="D650" s="3" t="s">
        <v>2866</v>
      </c>
      <c r="E650" s="3" t="s">
        <v>3597</v>
      </c>
      <c r="F650" s="3">
        <v>232</v>
      </c>
      <c r="G650" s="4">
        <v>40878.489583333336</v>
      </c>
      <c r="H650" s="3">
        <v>4</v>
      </c>
      <c r="I650" s="5">
        <v>26</v>
      </c>
      <c r="J650" t="s">
        <v>375</v>
      </c>
      <c r="K650" t="s">
        <v>4497</v>
      </c>
      <c r="L650">
        <v>536415</v>
      </c>
      <c r="M650" s="2">
        <v>22750</v>
      </c>
      <c r="N650">
        <v>3.75</v>
      </c>
      <c r="O650" s="6">
        <v>2</v>
      </c>
      <c r="P650" s="3">
        <v>7.0000000000000007E-2</v>
      </c>
      <c r="Q650" t="s">
        <v>3</v>
      </c>
      <c r="R650" s="7">
        <f t="shared" si="30"/>
        <v>7.5</v>
      </c>
      <c r="S650" s="7">
        <f t="shared" si="31"/>
        <v>0.52500000000000002</v>
      </c>
      <c r="T650">
        <f>Table1[[#This Row],[Total price]]-Table1[[#This Row],[Discount Amount]]</f>
        <v>6.9749999999999996</v>
      </c>
      <c r="U650">
        <f t="shared" si="32"/>
        <v>13.95</v>
      </c>
    </row>
    <row r="651" spans="1:21">
      <c r="A651">
        <v>650</v>
      </c>
      <c r="B651" s="3" t="s">
        <v>2148</v>
      </c>
      <c r="C651" s="3" t="s">
        <v>989</v>
      </c>
      <c r="D651" s="3" t="s">
        <v>2866</v>
      </c>
      <c r="E651" s="3" t="s">
        <v>3598</v>
      </c>
      <c r="F651" s="3">
        <v>232</v>
      </c>
      <c r="G651" s="4">
        <v>40878.489583333336</v>
      </c>
      <c r="H651" s="3">
        <v>4</v>
      </c>
      <c r="I651" s="5">
        <v>8</v>
      </c>
      <c r="J651" t="s">
        <v>225</v>
      </c>
      <c r="K651" t="s">
        <v>4497</v>
      </c>
      <c r="L651">
        <v>536415</v>
      </c>
      <c r="M651" s="2">
        <v>22616</v>
      </c>
      <c r="N651">
        <v>0.28999999999999998</v>
      </c>
      <c r="O651" s="6">
        <v>12</v>
      </c>
      <c r="P651" s="3">
        <v>0.1</v>
      </c>
      <c r="Q651" t="s">
        <v>3</v>
      </c>
      <c r="R651" s="7">
        <f t="shared" si="30"/>
        <v>3.4799999999999995</v>
      </c>
      <c r="S651" s="7">
        <f t="shared" si="31"/>
        <v>0.34799999999999998</v>
      </c>
      <c r="T651">
        <f>Table1[[#This Row],[Total price]]-Table1[[#This Row],[Discount Amount]]</f>
        <v>3.1319999999999997</v>
      </c>
      <c r="U651">
        <f t="shared" si="32"/>
        <v>37.583999999999996</v>
      </c>
    </row>
    <row r="652" spans="1:21">
      <c r="A652">
        <v>651</v>
      </c>
      <c r="B652" s="3" t="s">
        <v>2147</v>
      </c>
      <c r="C652" s="3" t="s">
        <v>1400</v>
      </c>
      <c r="D652" s="3" t="s">
        <v>2866</v>
      </c>
      <c r="E652" s="3" t="s">
        <v>3599</v>
      </c>
      <c r="F652" s="3">
        <v>233</v>
      </c>
      <c r="G652" s="4">
        <v>40878.489583333336</v>
      </c>
      <c r="H652" s="3">
        <v>4</v>
      </c>
      <c r="I652" s="5">
        <v>14</v>
      </c>
      <c r="J652" t="s">
        <v>99</v>
      </c>
      <c r="K652" t="s">
        <v>4497</v>
      </c>
      <c r="L652">
        <v>536415</v>
      </c>
      <c r="M652" s="2">
        <v>22775</v>
      </c>
      <c r="N652">
        <v>1.25</v>
      </c>
      <c r="O652" s="6">
        <v>1</v>
      </c>
      <c r="P652" s="3">
        <v>0.1</v>
      </c>
      <c r="Q652" t="s">
        <v>3</v>
      </c>
      <c r="R652" s="7">
        <f t="shared" si="30"/>
        <v>1.25</v>
      </c>
      <c r="S652" s="7">
        <f t="shared" si="31"/>
        <v>0.125</v>
      </c>
      <c r="T652">
        <f>Table1[[#This Row],[Total price]]-Table1[[#This Row],[Discount Amount]]</f>
        <v>1.125</v>
      </c>
      <c r="U652">
        <f t="shared" si="32"/>
        <v>1.125</v>
      </c>
    </row>
    <row r="653" spans="1:21">
      <c r="A653">
        <v>652</v>
      </c>
      <c r="B653" s="3" t="s">
        <v>2146</v>
      </c>
      <c r="C653" s="3" t="s">
        <v>1102</v>
      </c>
      <c r="D653" s="3" t="s">
        <v>3600</v>
      </c>
      <c r="E653" s="3" t="s">
        <v>3601</v>
      </c>
      <c r="F653" s="3">
        <v>233</v>
      </c>
      <c r="G653" s="4">
        <v>40878.489583333336</v>
      </c>
      <c r="H653" s="3">
        <v>4</v>
      </c>
      <c r="I653" s="5">
        <v>16</v>
      </c>
      <c r="J653" t="s">
        <v>459</v>
      </c>
      <c r="K653" t="s">
        <v>4497</v>
      </c>
      <c r="L653">
        <v>536415</v>
      </c>
      <c r="M653" s="2">
        <v>22899</v>
      </c>
      <c r="N653">
        <v>2.1</v>
      </c>
      <c r="O653" s="6">
        <v>2</v>
      </c>
      <c r="P653" s="3">
        <v>0.1</v>
      </c>
      <c r="Q653" t="s">
        <v>3</v>
      </c>
      <c r="R653" s="7">
        <f t="shared" si="30"/>
        <v>4.2</v>
      </c>
      <c r="S653" s="7">
        <f t="shared" si="31"/>
        <v>0.42000000000000004</v>
      </c>
      <c r="T653">
        <f>Table1[[#This Row],[Total price]]-Table1[[#This Row],[Discount Amount]]</f>
        <v>3.7800000000000002</v>
      </c>
      <c r="U653">
        <f t="shared" si="32"/>
        <v>7.5600000000000005</v>
      </c>
    </row>
    <row r="654" spans="1:21">
      <c r="A654">
        <v>653</v>
      </c>
      <c r="B654" s="3" t="s">
        <v>2145</v>
      </c>
      <c r="C654" s="3" t="s">
        <v>1175</v>
      </c>
      <c r="D654" s="3" t="s">
        <v>2866</v>
      </c>
      <c r="E654" s="3" t="s">
        <v>3602</v>
      </c>
      <c r="F654" s="3">
        <v>233</v>
      </c>
      <c r="G654" s="4">
        <v>40878.489583333336</v>
      </c>
      <c r="H654" s="3">
        <v>4</v>
      </c>
      <c r="I654" s="5">
        <v>12</v>
      </c>
      <c r="J654" t="s">
        <v>65</v>
      </c>
      <c r="K654" t="s">
        <v>4497</v>
      </c>
      <c r="L654">
        <v>536415</v>
      </c>
      <c r="M654" s="2">
        <v>22367</v>
      </c>
      <c r="N654">
        <v>1.95</v>
      </c>
      <c r="O654" s="6">
        <v>3</v>
      </c>
      <c r="P654" s="3">
        <v>0.2</v>
      </c>
      <c r="Q654" t="s">
        <v>3</v>
      </c>
      <c r="R654" s="7">
        <f t="shared" si="30"/>
        <v>5.85</v>
      </c>
      <c r="S654" s="7">
        <f t="shared" si="31"/>
        <v>1.17</v>
      </c>
      <c r="T654">
        <f>Table1[[#This Row],[Total price]]-Table1[[#This Row],[Discount Amount]]</f>
        <v>4.68</v>
      </c>
      <c r="U654">
        <f t="shared" si="32"/>
        <v>14.04</v>
      </c>
    </row>
    <row r="655" spans="1:21">
      <c r="A655">
        <v>654</v>
      </c>
      <c r="B655" s="3" t="s">
        <v>2144</v>
      </c>
      <c r="C655" s="3" t="s">
        <v>1004</v>
      </c>
      <c r="D655" s="3" t="s">
        <v>3603</v>
      </c>
      <c r="E655" s="3" t="s">
        <v>3604</v>
      </c>
      <c r="F655" s="3">
        <v>233</v>
      </c>
      <c r="G655" s="4">
        <v>40878.489583333336</v>
      </c>
      <c r="H655" s="3">
        <v>4</v>
      </c>
      <c r="I655" s="5">
        <v>15</v>
      </c>
      <c r="J655" t="s">
        <v>104</v>
      </c>
      <c r="K655" t="s">
        <v>4497</v>
      </c>
      <c r="L655">
        <v>536415</v>
      </c>
      <c r="M655" s="2">
        <v>22942</v>
      </c>
      <c r="N655">
        <v>8.5</v>
      </c>
      <c r="O655" s="6">
        <v>3</v>
      </c>
      <c r="P655" s="3">
        <v>7.0000000000000007E-2</v>
      </c>
      <c r="Q655" t="s">
        <v>3</v>
      </c>
      <c r="R655" s="7">
        <f t="shared" si="30"/>
        <v>25.5</v>
      </c>
      <c r="S655" s="7">
        <f t="shared" si="31"/>
        <v>1.7850000000000001</v>
      </c>
      <c r="T655">
        <f>Table1[[#This Row],[Total price]]-Table1[[#This Row],[Discount Amount]]</f>
        <v>23.715</v>
      </c>
      <c r="U655">
        <f t="shared" si="32"/>
        <v>71.144999999999996</v>
      </c>
    </row>
    <row r="656" spans="1:21">
      <c r="A656">
        <v>655</v>
      </c>
      <c r="B656" s="3" t="s">
        <v>2143</v>
      </c>
      <c r="C656" s="3" t="s">
        <v>1882</v>
      </c>
      <c r="D656" s="3" t="s">
        <v>2866</v>
      </c>
      <c r="E656" s="3" t="s">
        <v>3605</v>
      </c>
      <c r="F656" s="3">
        <v>234</v>
      </c>
      <c r="G656" s="4">
        <v>40878.489583333336</v>
      </c>
      <c r="H656" s="3">
        <v>4</v>
      </c>
      <c r="I656" s="5">
        <v>11</v>
      </c>
      <c r="J656" t="s">
        <v>93</v>
      </c>
      <c r="K656" t="s">
        <v>4497</v>
      </c>
      <c r="L656">
        <v>536415</v>
      </c>
      <c r="M656" s="2">
        <v>22941</v>
      </c>
      <c r="N656">
        <v>8.5</v>
      </c>
      <c r="O656" s="6">
        <v>3</v>
      </c>
      <c r="P656" s="3">
        <v>0.2</v>
      </c>
      <c r="Q656" t="s">
        <v>3</v>
      </c>
      <c r="R656" s="7">
        <f t="shared" si="30"/>
        <v>25.5</v>
      </c>
      <c r="S656" s="7">
        <f t="shared" si="31"/>
        <v>5.1000000000000005</v>
      </c>
      <c r="T656">
        <f>Table1[[#This Row],[Total price]]-Table1[[#This Row],[Discount Amount]]</f>
        <v>20.399999999999999</v>
      </c>
      <c r="U656">
        <f t="shared" si="32"/>
        <v>61.199999999999996</v>
      </c>
    </row>
    <row r="657" spans="1:21">
      <c r="A657">
        <v>656</v>
      </c>
      <c r="B657" s="3" t="s">
        <v>2142</v>
      </c>
      <c r="C657" s="3" t="s">
        <v>2141</v>
      </c>
      <c r="D657" s="3" t="s">
        <v>2866</v>
      </c>
      <c r="E657" s="3" t="s">
        <v>3606</v>
      </c>
      <c r="F657" s="3">
        <v>234</v>
      </c>
      <c r="G657" s="4">
        <v>40878.489583333336</v>
      </c>
      <c r="H657" s="3">
        <v>4</v>
      </c>
      <c r="I657" s="5">
        <v>17</v>
      </c>
      <c r="J657" t="s">
        <v>411</v>
      </c>
      <c r="K657" t="s">
        <v>4497</v>
      </c>
      <c r="L657">
        <v>536415</v>
      </c>
      <c r="M657" s="2">
        <v>22086</v>
      </c>
      <c r="N657">
        <v>2.95</v>
      </c>
      <c r="O657" s="6">
        <v>6</v>
      </c>
      <c r="P657" s="3">
        <v>0.05</v>
      </c>
      <c r="Q657" t="s">
        <v>3</v>
      </c>
      <c r="R657" s="7">
        <f t="shared" si="30"/>
        <v>17.700000000000003</v>
      </c>
      <c r="S657" s="7">
        <f t="shared" si="31"/>
        <v>0.88500000000000023</v>
      </c>
      <c r="T657">
        <f>Table1[[#This Row],[Total price]]-Table1[[#This Row],[Discount Amount]]</f>
        <v>16.815000000000001</v>
      </c>
      <c r="U657">
        <f t="shared" si="32"/>
        <v>100.89000000000001</v>
      </c>
    </row>
    <row r="658" spans="1:21">
      <c r="A658">
        <v>657</v>
      </c>
      <c r="B658" s="3" t="s">
        <v>2140</v>
      </c>
      <c r="C658" s="3" t="s">
        <v>1614</v>
      </c>
      <c r="D658" s="3" t="s">
        <v>2866</v>
      </c>
      <c r="E658" s="3" t="s">
        <v>3607</v>
      </c>
      <c r="F658" s="3">
        <v>234</v>
      </c>
      <c r="G658" s="4">
        <v>40878.489583333336</v>
      </c>
      <c r="H658" s="3">
        <v>4</v>
      </c>
      <c r="I658" s="5">
        <v>12</v>
      </c>
      <c r="J658" t="s">
        <v>232</v>
      </c>
      <c r="K658" t="s">
        <v>4497</v>
      </c>
      <c r="L658">
        <v>536415</v>
      </c>
      <c r="M658" s="2">
        <v>22940</v>
      </c>
      <c r="N658">
        <v>4.25</v>
      </c>
      <c r="O658" s="6">
        <v>2</v>
      </c>
      <c r="P658" s="3">
        <v>0.1</v>
      </c>
      <c r="Q658" t="s">
        <v>3</v>
      </c>
      <c r="R658" s="7">
        <f t="shared" si="30"/>
        <v>8.5</v>
      </c>
      <c r="S658" s="7">
        <f t="shared" si="31"/>
        <v>0.85000000000000009</v>
      </c>
      <c r="T658">
        <f>Table1[[#This Row],[Total price]]-Table1[[#This Row],[Discount Amount]]</f>
        <v>7.65</v>
      </c>
      <c r="U658">
        <f t="shared" si="32"/>
        <v>15.3</v>
      </c>
    </row>
    <row r="659" spans="1:21">
      <c r="A659">
        <v>658</v>
      </c>
      <c r="B659" s="3" t="s">
        <v>2057</v>
      </c>
      <c r="C659" s="3" t="s">
        <v>1418</v>
      </c>
      <c r="D659" s="3" t="s">
        <v>2866</v>
      </c>
      <c r="E659" s="3" t="s">
        <v>3608</v>
      </c>
      <c r="F659" s="3">
        <v>234</v>
      </c>
      <c r="G659" s="4">
        <v>40878.489583333336</v>
      </c>
      <c r="H659" s="3">
        <v>4</v>
      </c>
      <c r="I659" s="5">
        <v>7</v>
      </c>
      <c r="J659" t="s">
        <v>363</v>
      </c>
      <c r="K659" t="s">
        <v>4497</v>
      </c>
      <c r="L659">
        <v>536415</v>
      </c>
      <c r="M659" s="2">
        <v>21212</v>
      </c>
      <c r="N659">
        <v>0.55000000000000004</v>
      </c>
      <c r="O659" s="6">
        <v>2</v>
      </c>
      <c r="P659" s="3">
        <v>0.05</v>
      </c>
      <c r="Q659" t="s">
        <v>3</v>
      </c>
      <c r="R659" s="7">
        <f t="shared" si="30"/>
        <v>1.1000000000000001</v>
      </c>
      <c r="S659" s="7">
        <f t="shared" si="31"/>
        <v>5.5000000000000007E-2</v>
      </c>
      <c r="T659">
        <f>Table1[[#This Row],[Total price]]-Table1[[#This Row],[Discount Amount]]</f>
        <v>1.0450000000000002</v>
      </c>
      <c r="U659">
        <f t="shared" si="32"/>
        <v>2.0900000000000003</v>
      </c>
    </row>
    <row r="660" spans="1:21">
      <c r="A660">
        <v>659</v>
      </c>
      <c r="B660" s="3" t="s">
        <v>2139</v>
      </c>
      <c r="C660" s="3" t="s">
        <v>1151</v>
      </c>
      <c r="D660" s="3" t="s">
        <v>2866</v>
      </c>
      <c r="E660" s="3" t="s">
        <v>3609</v>
      </c>
      <c r="F660" s="3">
        <v>234</v>
      </c>
      <c r="G660" s="4">
        <v>40878.489583333336</v>
      </c>
      <c r="H660" s="3">
        <v>4</v>
      </c>
      <c r="I660" s="5">
        <v>23</v>
      </c>
      <c r="J660" t="s">
        <v>583</v>
      </c>
      <c r="K660" t="s">
        <v>4497</v>
      </c>
      <c r="L660">
        <v>536415</v>
      </c>
      <c r="M660" s="2">
        <v>21976</v>
      </c>
      <c r="N660">
        <v>0.55000000000000004</v>
      </c>
      <c r="O660" s="6">
        <v>2</v>
      </c>
      <c r="P660" s="3">
        <v>0.1</v>
      </c>
      <c r="Q660" t="s">
        <v>3</v>
      </c>
      <c r="R660" s="7">
        <f t="shared" si="30"/>
        <v>1.1000000000000001</v>
      </c>
      <c r="S660" s="7">
        <f t="shared" si="31"/>
        <v>0.11000000000000001</v>
      </c>
      <c r="T660">
        <f>Table1[[#This Row],[Total price]]-Table1[[#This Row],[Discount Amount]]</f>
        <v>0.9900000000000001</v>
      </c>
      <c r="U660">
        <f t="shared" si="32"/>
        <v>1.9800000000000002</v>
      </c>
    </row>
    <row r="661" spans="1:21">
      <c r="A661">
        <v>660</v>
      </c>
      <c r="B661" s="3" t="s">
        <v>2138</v>
      </c>
      <c r="C661" s="3" t="s">
        <v>1090</v>
      </c>
      <c r="D661" s="3" t="s">
        <v>2866</v>
      </c>
      <c r="E661" s="3" t="s">
        <v>3610</v>
      </c>
      <c r="F661" s="3">
        <v>235</v>
      </c>
      <c r="G661" s="4">
        <v>40878.489583333336</v>
      </c>
      <c r="H661" s="3">
        <v>4</v>
      </c>
      <c r="I661" s="5">
        <v>6</v>
      </c>
      <c r="J661" t="s">
        <v>127</v>
      </c>
      <c r="K661" t="s">
        <v>4497</v>
      </c>
      <c r="L661">
        <v>536415</v>
      </c>
      <c r="M661" s="2">
        <v>22951</v>
      </c>
      <c r="N661">
        <v>0.55000000000000004</v>
      </c>
      <c r="O661" s="6">
        <v>2</v>
      </c>
      <c r="P661" s="3">
        <v>7.0000000000000007E-2</v>
      </c>
      <c r="Q661" t="s">
        <v>3</v>
      </c>
      <c r="R661" s="7">
        <f t="shared" si="30"/>
        <v>1.1000000000000001</v>
      </c>
      <c r="S661" s="7">
        <f t="shared" si="31"/>
        <v>7.7000000000000013E-2</v>
      </c>
      <c r="T661">
        <f>Table1[[#This Row],[Total price]]-Table1[[#This Row],[Discount Amount]]</f>
        <v>1.0230000000000001</v>
      </c>
      <c r="U661">
        <f t="shared" si="32"/>
        <v>2.0460000000000003</v>
      </c>
    </row>
    <row r="662" spans="1:21">
      <c r="A662">
        <v>661</v>
      </c>
      <c r="B662" s="3" t="s">
        <v>1047</v>
      </c>
      <c r="C662" s="3" t="s">
        <v>2137</v>
      </c>
      <c r="D662" s="3" t="s">
        <v>2866</v>
      </c>
      <c r="E662" s="3" t="s">
        <v>3611</v>
      </c>
      <c r="F662" s="3">
        <v>235</v>
      </c>
      <c r="G662" s="4">
        <v>40878.489583333336</v>
      </c>
      <c r="H662" s="3">
        <v>4</v>
      </c>
      <c r="I662" s="5">
        <v>13</v>
      </c>
      <c r="J662" t="s">
        <v>420</v>
      </c>
      <c r="K662" t="s">
        <v>4497</v>
      </c>
      <c r="L662">
        <v>536415</v>
      </c>
      <c r="M662" s="2">
        <v>21977</v>
      </c>
      <c r="N662">
        <v>0.55000000000000004</v>
      </c>
      <c r="O662" s="6">
        <v>3</v>
      </c>
      <c r="P662" s="3">
        <v>0.05</v>
      </c>
      <c r="Q662" t="s">
        <v>3</v>
      </c>
      <c r="R662" s="7">
        <f t="shared" si="30"/>
        <v>1.6500000000000001</v>
      </c>
      <c r="S662" s="7">
        <f t="shared" si="31"/>
        <v>8.2500000000000018E-2</v>
      </c>
      <c r="T662">
        <f>Table1[[#This Row],[Total price]]-Table1[[#This Row],[Discount Amount]]</f>
        <v>1.5675000000000001</v>
      </c>
      <c r="U662">
        <f t="shared" si="32"/>
        <v>4.7025000000000006</v>
      </c>
    </row>
    <row r="663" spans="1:21">
      <c r="A663">
        <v>662</v>
      </c>
      <c r="B663" s="3" t="s">
        <v>2136</v>
      </c>
      <c r="C663" s="3" t="s">
        <v>1860</v>
      </c>
      <c r="D663" s="3" t="s">
        <v>2866</v>
      </c>
      <c r="E663" s="3" t="s">
        <v>3612</v>
      </c>
      <c r="F663" s="3">
        <v>235</v>
      </c>
      <c r="G663" s="4">
        <v>40878.489583333336</v>
      </c>
      <c r="H663" s="3">
        <v>4</v>
      </c>
      <c r="I663" s="5">
        <v>7</v>
      </c>
      <c r="J663" t="s">
        <v>157</v>
      </c>
      <c r="K663" t="s">
        <v>4497</v>
      </c>
      <c r="L663">
        <v>536415</v>
      </c>
      <c r="M663" s="2">
        <v>22834</v>
      </c>
      <c r="N663">
        <v>2.1</v>
      </c>
      <c r="O663" s="6">
        <v>3</v>
      </c>
      <c r="P663" s="3">
        <v>0.05</v>
      </c>
      <c r="Q663" t="s">
        <v>3</v>
      </c>
      <c r="R663" s="7">
        <f t="shared" si="30"/>
        <v>6.3000000000000007</v>
      </c>
      <c r="S663" s="7">
        <f t="shared" si="31"/>
        <v>0.31500000000000006</v>
      </c>
      <c r="T663">
        <f>Table1[[#This Row],[Total price]]-Table1[[#This Row],[Discount Amount]]</f>
        <v>5.9850000000000003</v>
      </c>
      <c r="U663">
        <f t="shared" si="32"/>
        <v>17.955000000000002</v>
      </c>
    </row>
    <row r="664" spans="1:21">
      <c r="A664">
        <v>663</v>
      </c>
      <c r="B664" s="3" t="s">
        <v>1820</v>
      </c>
      <c r="C664" s="3" t="s">
        <v>985</v>
      </c>
      <c r="D664" s="3" t="s">
        <v>2866</v>
      </c>
      <c r="E664" s="3" t="s">
        <v>3613</v>
      </c>
      <c r="F664" s="3">
        <v>236</v>
      </c>
      <c r="G664" s="4">
        <v>40878.489583333336</v>
      </c>
      <c r="H664" s="3">
        <v>4</v>
      </c>
      <c r="I664" s="5">
        <v>3</v>
      </c>
      <c r="J664" t="s">
        <v>237</v>
      </c>
      <c r="K664" t="s">
        <v>4497</v>
      </c>
      <c r="L664">
        <v>536415</v>
      </c>
      <c r="M664" s="2">
        <v>22867</v>
      </c>
      <c r="N664">
        <v>2.1</v>
      </c>
      <c r="O664" s="6">
        <v>3</v>
      </c>
      <c r="P664" s="3">
        <v>7.0000000000000007E-2</v>
      </c>
      <c r="Q664" t="s">
        <v>3</v>
      </c>
      <c r="R664" s="7">
        <f t="shared" si="30"/>
        <v>6.3000000000000007</v>
      </c>
      <c r="S664" s="7">
        <f t="shared" si="31"/>
        <v>0.44100000000000011</v>
      </c>
      <c r="T664">
        <f>Table1[[#This Row],[Total price]]-Table1[[#This Row],[Discount Amount]]</f>
        <v>5.8590000000000009</v>
      </c>
      <c r="U664">
        <f t="shared" si="32"/>
        <v>17.577000000000002</v>
      </c>
    </row>
    <row r="665" spans="1:21">
      <c r="A665">
        <v>664</v>
      </c>
      <c r="B665" s="3" t="s">
        <v>2135</v>
      </c>
      <c r="C665" s="3" t="s">
        <v>2134</v>
      </c>
      <c r="D665" s="3" t="s">
        <v>2866</v>
      </c>
      <c r="E665" s="3" t="s">
        <v>3614</v>
      </c>
      <c r="F665" s="3">
        <v>236</v>
      </c>
      <c r="G665" s="4">
        <v>40878.489583333336</v>
      </c>
      <c r="H665" s="3">
        <v>4</v>
      </c>
      <c r="I665" s="5">
        <v>2</v>
      </c>
      <c r="J665" t="s">
        <v>27</v>
      </c>
      <c r="K665" t="s">
        <v>4497</v>
      </c>
      <c r="L665">
        <v>536415</v>
      </c>
      <c r="M665" s="2">
        <v>22865</v>
      </c>
      <c r="N665">
        <v>2.1</v>
      </c>
      <c r="O665" s="6">
        <v>3</v>
      </c>
      <c r="P665" s="3">
        <v>0.1</v>
      </c>
      <c r="Q665" t="s">
        <v>3</v>
      </c>
      <c r="R665" s="7">
        <f t="shared" si="30"/>
        <v>6.3000000000000007</v>
      </c>
      <c r="S665" s="7">
        <f t="shared" si="31"/>
        <v>0.63000000000000012</v>
      </c>
      <c r="T665">
        <f>Table1[[#This Row],[Total price]]-Table1[[#This Row],[Discount Amount]]</f>
        <v>5.6700000000000008</v>
      </c>
      <c r="U665">
        <f t="shared" si="32"/>
        <v>17.010000000000002</v>
      </c>
    </row>
    <row r="666" spans="1:21">
      <c r="A666">
        <v>665</v>
      </c>
      <c r="B666" s="3" t="s">
        <v>2133</v>
      </c>
      <c r="C666" s="3" t="s">
        <v>1989</v>
      </c>
      <c r="D666" s="3" t="s">
        <v>3615</v>
      </c>
      <c r="E666" s="3" t="s">
        <v>3616</v>
      </c>
      <c r="F666" s="3">
        <v>236</v>
      </c>
      <c r="G666" s="4">
        <v>40878.489583333336</v>
      </c>
      <c r="H666" s="3">
        <v>4</v>
      </c>
      <c r="I666" s="5">
        <v>4</v>
      </c>
      <c r="J666" t="s">
        <v>26</v>
      </c>
      <c r="K666" t="s">
        <v>4497</v>
      </c>
      <c r="L666">
        <v>536415</v>
      </c>
      <c r="M666" s="2">
        <v>22632</v>
      </c>
      <c r="N666">
        <v>2.1</v>
      </c>
      <c r="O666" s="6">
        <v>3</v>
      </c>
      <c r="P666" s="3">
        <v>0.1</v>
      </c>
      <c r="Q666" t="s">
        <v>3</v>
      </c>
      <c r="R666" s="7">
        <f t="shared" si="30"/>
        <v>6.3000000000000007</v>
      </c>
      <c r="S666" s="7">
        <f t="shared" si="31"/>
        <v>0.63000000000000012</v>
      </c>
      <c r="T666">
        <f>Table1[[#This Row],[Total price]]-Table1[[#This Row],[Discount Amount]]</f>
        <v>5.6700000000000008</v>
      </c>
      <c r="U666">
        <f t="shared" si="32"/>
        <v>17.010000000000002</v>
      </c>
    </row>
    <row r="667" spans="1:21">
      <c r="A667">
        <v>666</v>
      </c>
      <c r="B667" s="3" t="s">
        <v>2132</v>
      </c>
      <c r="C667" s="3" t="s">
        <v>2131</v>
      </c>
      <c r="D667" s="3" t="s">
        <v>2866</v>
      </c>
      <c r="E667" s="3" t="s">
        <v>3617</v>
      </c>
      <c r="F667" s="3">
        <v>237</v>
      </c>
      <c r="G667" s="4">
        <v>40878.489583333336</v>
      </c>
      <c r="H667" s="3">
        <v>4</v>
      </c>
      <c r="I667" s="5">
        <v>15</v>
      </c>
      <c r="J667" t="s">
        <v>544</v>
      </c>
      <c r="K667" t="s">
        <v>4497</v>
      </c>
      <c r="L667">
        <v>536415</v>
      </c>
      <c r="M667" s="2">
        <v>21916</v>
      </c>
      <c r="N667">
        <v>0.42</v>
      </c>
      <c r="O667" s="6">
        <v>2</v>
      </c>
      <c r="P667" s="3">
        <v>0.2</v>
      </c>
      <c r="Q667" t="s">
        <v>3</v>
      </c>
      <c r="R667" s="7">
        <f t="shared" si="30"/>
        <v>0.84</v>
      </c>
      <c r="S667" s="7">
        <f t="shared" si="31"/>
        <v>0.16800000000000001</v>
      </c>
      <c r="T667">
        <f>Table1[[#This Row],[Total price]]-Table1[[#This Row],[Discount Amount]]</f>
        <v>0.67199999999999993</v>
      </c>
      <c r="U667">
        <f t="shared" si="32"/>
        <v>1.3439999999999999</v>
      </c>
    </row>
    <row r="668" spans="1:21">
      <c r="A668">
        <v>667</v>
      </c>
      <c r="B668" s="3" t="s">
        <v>2130</v>
      </c>
      <c r="C668" s="3" t="s">
        <v>1138</v>
      </c>
      <c r="D668" s="3" t="s">
        <v>2866</v>
      </c>
      <c r="E668" s="3" t="s">
        <v>3618</v>
      </c>
      <c r="F668" s="3">
        <v>237</v>
      </c>
      <c r="G668" s="4">
        <v>40878.489583333336</v>
      </c>
      <c r="H668" s="3">
        <v>4</v>
      </c>
      <c r="I668" s="5">
        <v>24</v>
      </c>
      <c r="J668" t="s">
        <v>257</v>
      </c>
      <c r="K668" t="s">
        <v>4497</v>
      </c>
      <c r="L668">
        <v>536415</v>
      </c>
      <c r="M668" s="2">
        <v>22587</v>
      </c>
      <c r="N668">
        <v>0.85</v>
      </c>
      <c r="O668" s="6">
        <v>4</v>
      </c>
      <c r="P668" s="3">
        <v>7.0000000000000007E-2</v>
      </c>
      <c r="Q668" t="s">
        <v>3</v>
      </c>
      <c r="R668" s="7">
        <f t="shared" si="30"/>
        <v>3.4</v>
      </c>
      <c r="S668" s="7">
        <f t="shared" si="31"/>
        <v>0.23800000000000002</v>
      </c>
      <c r="T668">
        <f>Table1[[#This Row],[Total price]]-Table1[[#This Row],[Discount Amount]]</f>
        <v>3.1619999999999999</v>
      </c>
      <c r="U668">
        <f t="shared" si="32"/>
        <v>12.648</v>
      </c>
    </row>
    <row r="669" spans="1:21">
      <c r="A669">
        <v>668</v>
      </c>
      <c r="B669" s="3" t="s">
        <v>2129</v>
      </c>
      <c r="C669" s="3" t="s">
        <v>2128</v>
      </c>
      <c r="D669" s="3" t="s">
        <v>2866</v>
      </c>
      <c r="E669" s="3" t="s">
        <v>3619</v>
      </c>
      <c r="F669" s="3">
        <v>237</v>
      </c>
      <c r="G669" s="4">
        <v>40878.489583333336</v>
      </c>
      <c r="H669" s="3">
        <v>4</v>
      </c>
      <c r="I669" s="5">
        <v>20</v>
      </c>
      <c r="J669" t="s">
        <v>256</v>
      </c>
      <c r="K669" t="s">
        <v>4497</v>
      </c>
      <c r="L669">
        <v>536415</v>
      </c>
      <c r="M669" s="2">
        <v>22566</v>
      </c>
      <c r="N669">
        <v>0.85</v>
      </c>
      <c r="O669" s="6">
        <v>3</v>
      </c>
      <c r="P669" s="3">
        <v>0.2</v>
      </c>
      <c r="Q669" t="s">
        <v>3</v>
      </c>
      <c r="R669" s="7">
        <f t="shared" si="30"/>
        <v>2.5499999999999998</v>
      </c>
      <c r="S669" s="7">
        <f t="shared" si="31"/>
        <v>0.51</v>
      </c>
      <c r="T669">
        <f>Table1[[#This Row],[Total price]]-Table1[[#This Row],[Discount Amount]]</f>
        <v>2.04</v>
      </c>
      <c r="U669">
        <f t="shared" si="32"/>
        <v>6.12</v>
      </c>
    </row>
    <row r="670" spans="1:21">
      <c r="A670">
        <v>669</v>
      </c>
      <c r="B670" s="3" t="s">
        <v>1632</v>
      </c>
      <c r="C670" s="3" t="s">
        <v>2127</v>
      </c>
      <c r="D670" s="3" t="s">
        <v>2866</v>
      </c>
      <c r="E670" s="3" t="s">
        <v>3620</v>
      </c>
      <c r="F670" s="3">
        <v>237</v>
      </c>
      <c r="G670" s="4">
        <v>40878.489583333336</v>
      </c>
      <c r="H670" s="3">
        <v>4</v>
      </c>
      <c r="I670" s="5">
        <v>26</v>
      </c>
      <c r="J670" t="s">
        <v>255</v>
      </c>
      <c r="K670" t="s">
        <v>4497</v>
      </c>
      <c r="L670">
        <v>536415</v>
      </c>
      <c r="M670" s="2">
        <v>22565</v>
      </c>
      <c r="N670">
        <v>0.85</v>
      </c>
      <c r="O670" s="6">
        <v>3</v>
      </c>
      <c r="P670" s="3">
        <v>0.05</v>
      </c>
      <c r="Q670" t="s">
        <v>3</v>
      </c>
      <c r="R670" s="7">
        <f t="shared" si="30"/>
        <v>2.5499999999999998</v>
      </c>
      <c r="S670" s="7">
        <f t="shared" si="31"/>
        <v>0.1275</v>
      </c>
      <c r="T670">
        <f>Table1[[#This Row],[Total price]]-Table1[[#This Row],[Discount Amount]]</f>
        <v>2.4224999999999999</v>
      </c>
      <c r="U670">
        <f t="shared" si="32"/>
        <v>7.2675000000000001</v>
      </c>
    </row>
    <row r="671" spans="1:21">
      <c r="A671">
        <v>670</v>
      </c>
      <c r="B671" s="3" t="s">
        <v>2126</v>
      </c>
      <c r="C671" s="3" t="s">
        <v>1062</v>
      </c>
      <c r="D671" s="3" t="s">
        <v>2866</v>
      </c>
      <c r="E671" s="3" t="s">
        <v>3621</v>
      </c>
      <c r="F671" s="3">
        <v>238</v>
      </c>
      <c r="G671" s="4">
        <v>40878.489583333336</v>
      </c>
      <c r="H671" s="3">
        <v>4</v>
      </c>
      <c r="I671" s="5">
        <v>20</v>
      </c>
      <c r="J671" t="s">
        <v>280</v>
      </c>
      <c r="K671" t="s">
        <v>4497</v>
      </c>
      <c r="L671">
        <v>536415</v>
      </c>
      <c r="M671" s="2">
        <v>22472</v>
      </c>
      <c r="N671">
        <v>4.95</v>
      </c>
      <c r="O671" s="6">
        <v>2</v>
      </c>
      <c r="P671" s="3">
        <v>0.2</v>
      </c>
      <c r="Q671" t="s">
        <v>3</v>
      </c>
      <c r="R671" s="7">
        <f t="shared" si="30"/>
        <v>9.9</v>
      </c>
      <c r="S671" s="7">
        <f t="shared" si="31"/>
        <v>1.9800000000000002</v>
      </c>
      <c r="T671">
        <f>Table1[[#This Row],[Total price]]-Table1[[#This Row],[Discount Amount]]</f>
        <v>7.92</v>
      </c>
      <c r="U671">
        <f t="shared" si="32"/>
        <v>15.84</v>
      </c>
    </row>
    <row r="672" spans="1:21">
      <c r="A672">
        <v>671</v>
      </c>
      <c r="B672" s="3" t="s">
        <v>2125</v>
      </c>
      <c r="C672" s="3" t="s">
        <v>1598</v>
      </c>
      <c r="D672" s="3" t="s">
        <v>2866</v>
      </c>
      <c r="E672" s="3" t="s">
        <v>3622</v>
      </c>
      <c r="F672" s="3">
        <v>238</v>
      </c>
      <c r="G672" s="4">
        <v>40878.489583333336</v>
      </c>
      <c r="H672" s="3">
        <v>4</v>
      </c>
      <c r="I672" s="5">
        <v>25</v>
      </c>
      <c r="J672" t="s">
        <v>325</v>
      </c>
      <c r="K672" t="s">
        <v>4497</v>
      </c>
      <c r="L672">
        <v>536415</v>
      </c>
      <c r="M672" s="2">
        <v>22557</v>
      </c>
      <c r="N672">
        <v>1.65</v>
      </c>
      <c r="O672" s="6">
        <v>3</v>
      </c>
      <c r="P672" s="3">
        <v>7.0000000000000007E-2</v>
      </c>
      <c r="Q672" t="s">
        <v>3</v>
      </c>
      <c r="R672" s="7">
        <f t="shared" si="30"/>
        <v>4.9499999999999993</v>
      </c>
      <c r="S672" s="7">
        <f t="shared" si="31"/>
        <v>0.34649999999999997</v>
      </c>
      <c r="T672">
        <f>Table1[[#This Row],[Total price]]-Table1[[#This Row],[Discount Amount]]</f>
        <v>4.6034999999999995</v>
      </c>
      <c r="U672">
        <f t="shared" si="32"/>
        <v>13.810499999999998</v>
      </c>
    </row>
    <row r="673" spans="1:21">
      <c r="A673">
        <v>672</v>
      </c>
      <c r="B673" s="3" t="s">
        <v>2124</v>
      </c>
      <c r="C673" s="3" t="s">
        <v>2123</v>
      </c>
      <c r="D673" s="3" t="s">
        <v>2866</v>
      </c>
      <c r="E673" s="3" t="s">
        <v>3623</v>
      </c>
      <c r="F673" s="3">
        <v>238</v>
      </c>
      <c r="G673" s="4">
        <v>40878.489583333336</v>
      </c>
      <c r="H673" s="3">
        <v>4</v>
      </c>
      <c r="I673" s="5">
        <v>13</v>
      </c>
      <c r="J673" t="s">
        <v>191</v>
      </c>
      <c r="K673" t="s">
        <v>4497</v>
      </c>
      <c r="L673">
        <v>536415</v>
      </c>
      <c r="M673" s="2">
        <v>22551</v>
      </c>
      <c r="N673">
        <v>1.65</v>
      </c>
      <c r="O673" s="6">
        <v>3</v>
      </c>
      <c r="P673" s="3">
        <v>0.2</v>
      </c>
      <c r="Q673" t="s">
        <v>3</v>
      </c>
      <c r="R673" s="7">
        <f t="shared" si="30"/>
        <v>4.9499999999999993</v>
      </c>
      <c r="S673" s="7">
        <f t="shared" si="31"/>
        <v>0.98999999999999988</v>
      </c>
      <c r="T673">
        <f>Table1[[#This Row],[Total price]]-Table1[[#This Row],[Discount Amount]]</f>
        <v>3.9599999999999995</v>
      </c>
      <c r="U673">
        <f t="shared" si="32"/>
        <v>11.879999999999999</v>
      </c>
    </row>
    <row r="674" spans="1:21">
      <c r="A674">
        <v>673</v>
      </c>
      <c r="B674" s="3" t="s">
        <v>1538</v>
      </c>
      <c r="C674" s="3" t="s">
        <v>1533</v>
      </c>
      <c r="D674" s="3" t="s">
        <v>2866</v>
      </c>
      <c r="E674" s="3" t="s">
        <v>3624</v>
      </c>
      <c r="F674" s="3">
        <v>238</v>
      </c>
      <c r="G674" s="4">
        <v>40878.489583333336</v>
      </c>
      <c r="H674" s="3">
        <v>4</v>
      </c>
      <c r="I674" s="5">
        <v>22</v>
      </c>
      <c r="J674" t="s">
        <v>508</v>
      </c>
      <c r="K674" t="s">
        <v>4497</v>
      </c>
      <c r="L674">
        <v>536415</v>
      </c>
      <c r="M674" s="2">
        <v>22554</v>
      </c>
      <c r="N674">
        <v>1.65</v>
      </c>
      <c r="O674" s="6">
        <v>3</v>
      </c>
      <c r="P674" s="3">
        <v>0.05</v>
      </c>
      <c r="Q674" t="s">
        <v>3</v>
      </c>
      <c r="R674" s="7">
        <f t="shared" si="30"/>
        <v>4.9499999999999993</v>
      </c>
      <c r="S674" s="7">
        <f t="shared" si="31"/>
        <v>0.24749999999999997</v>
      </c>
      <c r="T674">
        <f>Table1[[#This Row],[Total price]]-Table1[[#This Row],[Discount Amount]]</f>
        <v>4.7024999999999997</v>
      </c>
      <c r="U674">
        <f t="shared" si="32"/>
        <v>14.107499999999998</v>
      </c>
    </row>
    <row r="675" spans="1:21">
      <c r="A675">
        <v>674</v>
      </c>
      <c r="B675" s="3" t="s">
        <v>1530</v>
      </c>
      <c r="C675" s="3" t="s">
        <v>2122</v>
      </c>
      <c r="D675" s="3" t="s">
        <v>2866</v>
      </c>
      <c r="E675" s="3" t="s">
        <v>3625</v>
      </c>
      <c r="F675" s="3">
        <v>238</v>
      </c>
      <c r="G675" s="4">
        <v>40878.489583333336</v>
      </c>
      <c r="H675" s="3">
        <v>4</v>
      </c>
      <c r="I675" s="5">
        <v>7</v>
      </c>
      <c r="J675" t="s">
        <v>374</v>
      </c>
      <c r="K675" t="s">
        <v>4497</v>
      </c>
      <c r="L675">
        <v>536415</v>
      </c>
      <c r="M675" s="2">
        <v>22534</v>
      </c>
      <c r="N675">
        <v>0.42</v>
      </c>
      <c r="O675" s="6">
        <v>3</v>
      </c>
      <c r="P675" s="3">
        <v>7.0000000000000007E-2</v>
      </c>
      <c r="Q675" t="s">
        <v>3</v>
      </c>
      <c r="R675" s="7">
        <f t="shared" si="30"/>
        <v>1.26</v>
      </c>
      <c r="S675" s="7">
        <f t="shared" si="31"/>
        <v>8.8200000000000014E-2</v>
      </c>
      <c r="T675">
        <f>Table1[[#This Row],[Total price]]-Table1[[#This Row],[Discount Amount]]</f>
        <v>1.1718</v>
      </c>
      <c r="U675">
        <f t="shared" si="32"/>
        <v>3.5153999999999996</v>
      </c>
    </row>
    <row r="676" spans="1:21">
      <c r="A676">
        <v>675</v>
      </c>
      <c r="B676" s="3" t="s">
        <v>1983</v>
      </c>
      <c r="C676" s="3" t="s">
        <v>2121</v>
      </c>
      <c r="D676" s="3" t="s">
        <v>3626</v>
      </c>
      <c r="E676" s="3" t="s">
        <v>3627</v>
      </c>
      <c r="F676" s="3">
        <v>239</v>
      </c>
      <c r="G676" s="4">
        <v>40878.489583333336</v>
      </c>
      <c r="H676" s="3">
        <v>4</v>
      </c>
      <c r="I676" s="5">
        <v>16</v>
      </c>
      <c r="J676" t="s">
        <v>319</v>
      </c>
      <c r="K676" t="s">
        <v>4497</v>
      </c>
      <c r="L676">
        <v>536415</v>
      </c>
      <c r="M676" s="2">
        <v>22531</v>
      </c>
      <c r="N676">
        <v>0.42</v>
      </c>
      <c r="O676" s="6">
        <v>3</v>
      </c>
      <c r="P676" s="3">
        <v>0.1</v>
      </c>
      <c r="Q676" t="s">
        <v>3</v>
      </c>
      <c r="R676" s="7">
        <f t="shared" si="30"/>
        <v>1.26</v>
      </c>
      <c r="S676" s="7">
        <f t="shared" si="31"/>
        <v>0.126</v>
      </c>
      <c r="T676">
        <f>Table1[[#This Row],[Total price]]-Table1[[#This Row],[Discount Amount]]</f>
        <v>1.1339999999999999</v>
      </c>
      <c r="U676">
        <f t="shared" si="32"/>
        <v>3.4019999999999997</v>
      </c>
    </row>
    <row r="677" spans="1:21">
      <c r="A677">
        <v>676</v>
      </c>
      <c r="B677" s="3" t="s">
        <v>2120</v>
      </c>
      <c r="C677" s="3" t="s">
        <v>2119</v>
      </c>
      <c r="D677" s="3" t="s">
        <v>2866</v>
      </c>
      <c r="E677" s="3" t="s">
        <v>3628</v>
      </c>
      <c r="F677" s="3">
        <v>239</v>
      </c>
      <c r="G677" s="4">
        <v>40878.489583333336</v>
      </c>
      <c r="H677" s="3">
        <v>4</v>
      </c>
      <c r="I677" s="5">
        <v>21</v>
      </c>
      <c r="J677" t="s">
        <v>321</v>
      </c>
      <c r="K677" t="s">
        <v>4497</v>
      </c>
      <c r="L677">
        <v>536415</v>
      </c>
      <c r="M677" s="2">
        <v>22529</v>
      </c>
      <c r="N677">
        <v>0.42</v>
      </c>
      <c r="O677" s="6">
        <v>3</v>
      </c>
      <c r="P677" s="3">
        <v>0.05</v>
      </c>
      <c r="Q677" t="s">
        <v>3</v>
      </c>
      <c r="R677" s="7">
        <f t="shared" si="30"/>
        <v>1.26</v>
      </c>
      <c r="S677" s="7">
        <f t="shared" si="31"/>
        <v>6.3E-2</v>
      </c>
      <c r="T677">
        <f>Table1[[#This Row],[Total price]]-Table1[[#This Row],[Discount Amount]]</f>
        <v>1.1970000000000001</v>
      </c>
      <c r="U677">
        <f t="shared" si="32"/>
        <v>3.5910000000000002</v>
      </c>
    </row>
    <row r="678" spans="1:21">
      <c r="A678">
        <v>677</v>
      </c>
      <c r="B678" s="3" t="s">
        <v>2118</v>
      </c>
      <c r="C678" s="3" t="s">
        <v>2117</v>
      </c>
      <c r="D678" s="3" t="s">
        <v>2866</v>
      </c>
      <c r="E678" s="3" t="s">
        <v>3629</v>
      </c>
      <c r="F678" s="3">
        <v>239</v>
      </c>
      <c r="G678" s="4">
        <v>40878.489583333336</v>
      </c>
      <c r="H678" s="3">
        <v>4</v>
      </c>
      <c r="I678" s="5">
        <v>18</v>
      </c>
      <c r="J678" t="s">
        <v>318</v>
      </c>
      <c r="K678" t="s">
        <v>4497</v>
      </c>
      <c r="L678">
        <v>536415</v>
      </c>
      <c r="M678" s="2">
        <v>22530</v>
      </c>
      <c r="N678">
        <v>0.42</v>
      </c>
      <c r="O678" s="6">
        <v>3</v>
      </c>
      <c r="P678" s="3">
        <v>7.0000000000000007E-2</v>
      </c>
      <c r="Q678" t="s">
        <v>3</v>
      </c>
      <c r="R678" s="7">
        <f t="shared" si="30"/>
        <v>1.26</v>
      </c>
      <c r="S678" s="7">
        <f t="shared" si="31"/>
        <v>8.8200000000000014E-2</v>
      </c>
      <c r="T678">
        <f>Table1[[#This Row],[Total price]]-Table1[[#This Row],[Discount Amount]]</f>
        <v>1.1718</v>
      </c>
      <c r="U678">
        <f t="shared" si="32"/>
        <v>3.5153999999999996</v>
      </c>
    </row>
    <row r="679" spans="1:21">
      <c r="A679">
        <v>678</v>
      </c>
      <c r="B679" s="3" t="s">
        <v>2116</v>
      </c>
      <c r="C679" s="3" t="s">
        <v>926</v>
      </c>
      <c r="D679" s="3" t="s">
        <v>2866</v>
      </c>
      <c r="E679" s="3" t="s">
        <v>3630</v>
      </c>
      <c r="F679" s="3">
        <v>239</v>
      </c>
      <c r="G679" s="4">
        <v>40878.489583333336</v>
      </c>
      <c r="H679" s="3">
        <v>4</v>
      </c>
      <c r="I679" s="5">
        <v>4</v>
      </c>
      <c r="J679" t="s">
        <v>41</v>
      </c>
      <c r="K679" t="s">
        <v>4497</v>
      </c>
      <c r="L679">
        <v>536415</v>
      </c>
      <c r="M679" s="2" t="s">
        <v>40</v>
      </c>
      <c r="N679">
        <v>2.95</v>
      </c>
      <c r="O679" s="6">
        <v>3</v>
      </c>
      <c r="P679" s="3">
        <v>7.0000000000000007E-2</v>
      </c>
      <c r="Q679" t="s">
        <v>3</v>
      </c>
      <c r="R679" s="7">
        <f t="shared" si="30"/>
        <v>8.8500000000000014</v>
      </c>
      <c r="S679" s="7">
        <f t="shared" si="31"/>
        <v>0.61950000000000016</v>
      </c>
      <c r="T679">
        <f>Table1[[#This Row],[Total price]]-Table1[[#This Row],[Discount Amount]]</f>
        <v>8.230500000000001</v>
      </c>
      <c r="U679">
        <f t="shared" si="32"/>
        <v>24.691500000000005</v>
      </c>
    </row>
    <row r="680" spans="1:21">
      <c r="A680">
        <v>679</v>
      </c>
      <c r="B680" s="3" t="s">
        <v>2115</v>
      </c>
      <c r="C680" s="3" t="s">
        <v>2114</v>
      </c>
      <c r="D680" s="3" t="s">
        <v>2866</v>
      </c>
      <c r="E680" s="3" t="s">
        <v>3631</v>
      </c>
      <c r="F680" s="3">
        <v>240</v>
      </c>
      <c r="G680" s="4">
        <v>40878.489583333336</v>
      </c>
      <c r="H680" s="3">
        <v>4</v>
      </c>
      <c r="I680" s="5">
        <v>9</v>
      </c>
      <c r="J680" t="s">
        <v>11</v>
      </c>
      <c r="K680" t="s">
        <v>4497</v>
      </c>
      <c r="L680">
        <v>536415</v>
      </c>
      <c r="M680" s="2">
        <v>22837</v>
      </c>
      <c r="N680">
        <v>4.6500000000000004</v>
      </c>
      <c r="O680" s="6">
        <v>3</v>
      </c>
      <c r="P680" s="3">
        <v>7.0000000000000007E-2</v>
      </c>
      <c r="Q680" t="s">
        <v>3</v>
      </c>
      <c r="R680" s="7">
        <f t="shared" si="30"/>
        <v>13.950000000000001</v>
      </c>
      <c r="S680" s="7">
        <f t="shared" si="31"/>
        <v>0.97650000000000015</v>
      </c>
      <c r="T680">
        <f>Table1[[#This Row],[Total price]]-Table1[[#This Row],[Discount Amount]]</f>
        <v>12.973500000000001</v>
      </c>
      <c r="U680">
        <f t="shared" si="32"/>
        <v>38.920500000000004</v>
      </c>
    </row>
    <row r="681" spans="1:21">
      <c r="A681">
        <v>680</v>
      </c>
      <c r="B681" s="3" t="s">
        <v>2113</v>
      </c>
      <c r="C681" s="3" t="s">
        <v>2112</v>
      </c>
      <c r="D681" s="3" t="s">
        <v>3632</v>
      </c>
      <c r="E681" s="3" t="s">
        <v>3633</v>
      </c>
      <c r="F681" s="3">
        <v>240</v>
      </c>
      <c r="G681" s="4">
        <v>40878.489583333336</v>
      </c>
      <c r="H681" s="3">
        <v>4</v>
      </c>
      <c r="I681" s="5">
        <v>8</v>
      </c>
      <c r="J681" t="s">
        <v>492</v>
      </c>
      <c r="K681" t="s">
        <v>4497</v>
      </c>
      <c r="L681">
        <v>536415</v>
      </c>
      <c r="M681" s="2" t="s">
        <v>491</v>
      </c>
      <c r="N681">
        <v>1.25</v>
      </c>
      <c r="O681" s="6">
        <v>2</v>
      </c>
      <c r="P681" s="3">
        <v>7.0000000000000007E-2</v>
      </c>
      <c r="Q681" t="s">
        <v>3</v>
      </c>
      <c r="R681" s="7">
        <f t="shared" si="30"/>
        <v>2.5</v>
      </c>
      <c r="S681" s="7">
        <f t="shared" si="31"/>
        <v>0.17500000000000002</v>
      </c>
      <c r="T681">
        <f>Table1[[#This Row],[Total price]]-Table1[[#This Row],[Discount Amount]]</f>
        <v>2.3250000000000002</v>
      </c>
      <c r="U681">
        <f t="shared" si="32"/>
        <v>4.6500000000000004</v>
      </c>
    </row>
    <row r="682" spans="1:21">
      <c r="A682">
        <v>681</v>
      </c>
      <c r="B682" s="3" t="s">
        <v>2111</v>
      </c>
      <c r="C682" s="3" t="s">
        <v>1275</v>
      </c>
      <c r="D682" s="3" t="s">
        <v>2866</v>
      </c>
      <c r="E682" s="3" t="s">
        <v>3634</v>
      </c>
      <c r="F682" s="3">
        <v>240</v>
      </c>
      <c r="G682" s="4">
        <v>40878.489583333336</v>
      </c>
      <c r="H682" s="3">
        <v>4</v>
      </c>
      <c r="I682" s="5">
        <v>5</v>
      </c>
      <c r="J682" t="s">
        <v>228</v>
      </c>
      <c r="K682" t="s">
        <v>4497</v>
      </c>
      <c r="L682">
        <v>536415</v>
      </c>
      <c r="M682" s="2">
        <v>22749</v>
      </c>
      <c r="N682">
        <v>3.75</v>
      </c>
      <c r="O682" s="6">
        <v>2</v>
      </c>
      <c r="P682" s="3">
        <v>7.0000000000000007E-2</v>
      </c>
      <c r="Q682" t="s">
        <v>3</v>
      </c>
      <c r="R682" s="7">
        <f t="shared" si="30"/>
        <v>7.5</v>
      </c>
      <c r="S682" s="7">
        <f t="shared" si="31"/>
        <v>0.52500000000000002</v>
      </c>
      <c r="T682">
        <f>Table1[[#This Row],[Total price]]-Table1[[#This Row],[Discount Amount]]</f>
        <v>6.9749999999999996</v>
      </c>
      <c r="U682">
        <f t="shared" si="32"/>
        <v>13.95</v>
      </c>
    </row>
    <row r="683" spans="1:21">
      <c r="A683">
        <v>682</v>
      </c>
      <c r="B683" s="3" t="s">
        <v>2110</v>
      </c>
      <c r="C683" s="3" t="s">
        <v>1802</v>
      </c>
      <c r="D683" s="3" t="s">
        <v>2866</v>
      </c>
      <c r="E683" s="3" t="s">
        <v>3635</v>
      </c>
      <c r="F683" s="3">
        <v>240</v>
      </c>
      <c r="G683" s="4">
        <v>40878.489583333336</v>
      </c>
      <c r="H683" s="3">
        <v>4</v>
      </c>
      <c r="I683" s="5">
        <v>18</v>
      </c>
      <c r="J683" t="s">
        <v>524</v>
      </c>
      <c r="K683" t="s">
        <v>4497</v>
      </c>
      <c r="L683">
        <v>536415</v>
      </c>
      <c r="M683" s="2">
        <v>22807</v>
      </c>
      <c r="N683">
        <v>2.95</v>
      </c>
      <c r="O683" s="6">
        <v>12</v>
      </c>
      <c r="P683" s="3">
        <v>7.0000000000000007E-2</v>
      </c>
      <c r="Q683" t="s">
        <v>3</v>
      </c>
      <c r="R683" s="7">
        <f t="shared" si="30"/>
        <v>35.400000000000006</v>
      </c>
      <c r="S683" s="7">
        <f t="shared" si="31"/>
        <v>2.4780000000000006</v>
      </c>
      <c r="T683">
        <f>Table1[[#This Row],[Total price]]-Table1[[#This Row],[Discount Amount]]</f>
        <v>32.922000000000004</v>
      </c>
      <c r="U683">
        <f t="shared" si="32"/>
        <v>395.06400000000008</v>
      </c>
    </row>
    <row r="684" spans="1:21">
      <c r="A684">
        <v>683</v>
      </c>
      <c r="B684" s="3" t="s">
        <v>2109</v>
      </c>
      <c r="C684" s="3" t="s">
        <v>2108</v>
      </c>
      <c r="D684" s="3" t="s">
        <v>2866</v>
      </c>
      <c r="E684" s="3" t="s">
        <v>3636</v>
      </c>
      <c r="F684" s="3">
        <v>241</v>
      </c>
      <c r="G684" s="4">
        <v>40878.489583333336</v>
      </c>
      <c r="H684" s="3">
        <v>4</v>
      </c>
      <c r="I684" s="5">
        <v>7</v>
      </c>
      <c r="J684" t="s">
        <v>353</v>
      </c>
      <c r="K684" t="s">
        <v>4497</v>
      </c>
      <c r="L684">
        <v>536416</v>
      </c>
      <c r="M684" s="2">
        <v>21494</v>
      </c>
      <c r="N684">
        <v>1.25</v>
      </c>
      <c r="O684" s="6">
        <v>12</v>
      </c>
      <c r="P684" s="3">
        <v>0.2</v>
      </c>
      <c r="Q684" t="s">
        <v>3</v>
      </c>
      <c r="R684" s="7">
        <f t="shared" si="30"/>
        <v>15</v>
      </c>
      <c r="S684" s="7">
        <f t="shared" si="31"/>
        <v>3</v>
      </c>
      <c r="T684">
        <f>Table1[[#This Row],[Total price]]-Table1[[#This Row],[Discount Amount]]</f>
        <v>12</v>
      </c>
      <c r="U684">
        <f t="shared" si="32"/>
        <v>144</v>
      </c>
    </row>
    <row r="685" spans="1:21">
      <c r="A685">
        <v>684</v>
      </c>
      <c r="B685" s="3" t="s">
        <v>2107</v>
      </c>
      <c r="C685" s="3" t="s">
        <v>2106</v>
      </c>
      <c r="D685" s="3" t="s">
        <v>2866</v>
      </c>
      <c r="E685" s="3" t="s">
        <v>3637</v>
      </c>
      <c r="F685" s="3">
        <v>242</v>
      </c>
      <c r="G685" s="4">
        <v>40878.489583333336</v>
      </c>
      <c r="H685" s="3">
        <v>4</v>
      </c>
      <c r="I685" s="5">
        <v>3</v>
      </c>
      <c r="J685" t="s">
        <v>330</v>
      </c>
      <c r="K685" t="s">
        <v>4497</v>
      </c>
      <c r="L685">
        <v>536416</v>
      </c>
      <c r="M685" s="2">
        <v>21915</v>
      </c>
      <c r="N685">
        <v>1.25</v>
      </c>
      <c r="O685" s="6">
        <v>72</v>
      </c>
      <c r="P685" s="3">
        <v>0.2</v>
      </c>
      <c r="Q685" t="s">
        <v>3</v>
      </c>
      <c r="R685" s="7">
        <f t="shared" si="30"/>
        <v>90</v>
      </c>
      <c r="S685" s="7">
        <f t="shared" si="31"/>
        <v>18</v>
      </c>
      <c r="T685">
        <f>Table1[[#This Row],[Total price]]-Table1[[#This Row],[Discount Amount]]</f>
        <v>72</v>
      </c>
      <c r="U685">
        <f t="shared" si="32"/>
        <v>5184</v>
      </c>
    </row>
    <row r="686" spans="1:21">
      <c r="A686">
        <v>685</v>
      </c>
      <c r="B686" s="3" t="s">
        <v>2105</v>
      </c>
      <c r="C686" s="3" t="s">
        <v>967</v>
      </c>
      <c r="D686" s="3" t="s">
        <v>2866</v>
      </c>
      <c r="E686" s="3" t="s">
        <v>3638</v>
      </c>
      <c r="F686" s="3">
        <v>243</v>
      </c>
      <c r="G686" s="4">
        <v>40878.489583333336</v>
      </c>
      <c r="H686" s="3">
        <v>4</v>
      </c>
      <c r="I686" s="5">
        <v>25</v>
      </c>
      <c r="J686" t="s">
        <v>25</v>
      </c>
      <c r="K686" t="s">
        <v>4497</v>
      </c>
      <c r="L686">
        <v>536416</v>
      </c>
      <c r="M686" s="2">
        <v>22938</v>
      </c>
      <c r="N686">
        <v>1.95</v>
      </c>
      <c r="O686" s="6">
        <v>12</v>
      </c>
      <c r="P686" s="3">
        <v>0.05</v>
      </c>
      <c r="Q686" t="s">
        <v>3</v>
      </c>
      <c r="R686" s="7">
        <f t="shared" si="30"/>
        <v>23.4</v>
      </c>
      <c r="S686" s="7">
        <f t="shared" si="31"/>
        <v>1.17</v>
      </c>
      <c r="T686">
        <f>Table1[[#This Row],[Total price]]-Table1[[#This Row],[Discount Amount]]</f>
        <v>22.229999999999997</v>
      </c>
      <c r="U686">
        <f t="shared" si="32"/>
        <v>266.76</v>
      </c>
    </row>
    <row r="687" spans="1:21">
      <c r="A687">
        <v>686</v>
      </c>
      <c r="B687" s="3" t="s">
        <v>2104</v>
      </c>
      <c r="C687" s="3" t="s">
        <v>2103</v>
      </c>
      <c r="D687" s="3" t="s">
        <v>2866</v>
      </c>
      <c r="E687" s="3" t="s">
        <v>3639</v>
      </c>
      <c r="F687" s="3">
        <v>243</v>
      </c>
      <c r="G687" s="4">
        <v>40878.489583333336</v>
      </c>
      <c r="H687" s="3">
        <v>4</v>
      </c>
      <c r="I687" s="5">
        <v>19</v>
      </c>
      <c r="J687" t="s">
        <v>205</v>
      </c>
      <c r="K687" t="s">
        <v>4497</v>
      </c>
      <c r="L687">
        <v>536416</v>
      </c>
      <c r="M687" s="2">
        <v>22768</v>
      </c>
      <c r="N687">
        <v>9.9499999999999993</v>
      </c>
      <c r="O687" s="6">
        <v>4</v>
      </c>
      <c r="P687" s="3">
        <v>7.0000000000000007E-2</v>
      </c>
      <c r="Q687" t="s">
        <v>3</v>
      </c>
      <c r="R687" s="7">
        <f t="shared" si="30"/>
        <v>39.799999999999997</v>
      </c>
      <c r="S687" s="7">
        <f t="shared" si="31"/>
        <v>2.786</v>
      </c>
      <c r="T687">
        <f>Table1[[#This Row],[Total price]]-Table1[[#This Row],[Discount Amount]]</f>
        <v>37.013999999999996</v>
      </c>
      <c r="U687">
        <f t="shared" si="32"/>
        <v>148.05599999999998</v>
      </c>
    </row>
    <row r="688" spans="1:21">
      <c r="A688">
        <v>687</v>
      </c>
      <c r="B688" s="3" t="s">
        <v>2102</v>
      </c>
      <c r="C688" s="3" t="s">
        <v>2101</v>
      </c>
      <c r="D688" s="3" t="s">
        <v>2866</v>
      </c>
      <c r="E688" s="3" t="s">
        <v>3640</v>
      </c>
      <c r="F688" s="3">
        <v>243</v>
      </c>
      <c r="G688" s="4">
        <v>40878.489583333336</v>
      </c>
      <c r="H688" s="3">
        <v>4</v>
      </c>
      <c r="I688" s="5">
        <v>7</v>
      </c>
      <c r="J688" t="s">
        <v>479</v>
      </c>
      <c r="K688" t="s">
        <v>4497</v>
      </c>
      <c r="L688">
        <v>536416</v>
      </c>
      <c r="M688" s="2">
        <v>22767</v>
      </c>
      <c r="N688">
        <v>9.9499999999999993</v>
      </c>
      <c r="O688" s="6">
        <v>4</v>
      </c>
      <c r="P688" s="3">
        <v>0.05</v>
      </c>
      <c r="Q688" t="s">
        <v>3</v>
      </c>
      <c r="R688" s="7">
        <f t="shared" si="30"/>
        <v>39.799999999999997</v>
      </c>
      <c r="S688" s="7">
        <f t="shared" si="31"/>
        <v>1.99</v>
      </c>
      <c r="T688">
        <f>Table1[[#This Row],[Total price]]-Table1[[#This Row],[Discount Amount]]</f>
        <v>37.809999999999995</v>
      </c>
      <c r="U688">
        <f t="shared" si="32"/>
        <v>151.23999999999998</v>
      </c>
    </row>
    <row r="689" spans="1:21">
      <c r="A689">
        <v>688</v>
      </c>
      <c r="B689" s="3" t="s">
        <v>2100</v>
      </c>
      <c r="C689" s="3" t="s">
        <v>2099</v>
      </c>
      <c r="D689" s="3" t="s">
        <v>2866</v>
      </c>
      <c r="E689" s="3" t="s">
        <v>3641</v>
      </c>
      <c r="F689" s="3">
        <v>244</v>
      </c>
      <c r="G689" s="4">
        <v>40878.489583333336</v>
      </c>
      <c r="H689" s="3">
        <v>4</v>
      </c>
      <c r="I689" s="5">
        <v>19</v>
      </c>
      <c r="J689" t="s">
        <v>245</v>
      </c>
      <c r="K689" t="s">
        <v>4497</v>
      </c>
      <c r="L689">
        <v>536416</v>
      </c>
      <c r="M689" s="2" t="s">
        <v>244</v>
      </c>
      <c r="N689">
        <v>2.95</v>
      </c>
      <c r="O689" s="6">
        <v>6</v>
      </c>
      <c r="P689" s="3">
        <v>7.0000000000000007E-2</v>
      </c>
      <c r="Q689" t="s">
        <v>3</v>
      </c>
      <c r="R689" s="7">
        <f t="shared" si="30"/>
        <v>17.700000000000003</v>
      </c>
      <c r="S689" s="7">
        <f t="shared" si="31"/>
        <v>1.2390000000000003</v>
      </c>
      <c r="T689">
        <f>Table1[[#This Row],[Total price]]-Table1[[#This Row],[Discount Amount]]</f>
        <v>16.461000000000002</v>
      </c>
      <c r="U689">
        <f t="shared" si="32"/>
        <v>98.76600000000002</v>
      </c>
    </row>
    <row r="690" spans="1:21">
      <c r="A690">
        <v>689</v>
      </c>
      <c r="B690" s="3" t="s">
        <v>2098</v>
      </c>
      <c r="C690" s="3" t="s">
        <v>1408</v>
      </c>
      <c r="D690" s="3" t="s">
        <v>2866</v>
      </c>
      <c r="E690" s="3" t="s">
        <v>3642</v>
      </c>
      <c r="F690" s="3">
        <v>244</v>
      </c>
      <c r="G690" s="4">
        <v>40878.489583333336</v>
      </c>
      <c r="H690" s="3">
        <v>4</v>
      </c>
      <c r="I690" s="5">
        <v>25</v>
      </c>
      <c r="J690" t="s">
        <v>62</v>
      </c>
      <c r="K690" t="s">
        <v>4497</v>
      </c>
      <c r="L690">
        <v>536420</v>
      </c>
      <c r="M690" s="2">
        <v>21889</v>
      </c>
      <c r="N690">
        <v>1.25</v>
      </c>
      <c r="O690" s="6">
        <v>12</v>
      </c>
      <c r="P690" s="3">
        <v>0.2</v>
      </c>
      <c r="Q690" t="s">
        <v>3</v>
      </c>
      <c r="R690" s="7">
        <f t="shared" si="30"/>
        <v>15</v>
      </c>
      <c r="S690" s="7">
        <f t="shared" si="31"/>
        <v>3</v>
      </c>
      <c r="T690">
        <f>Table1[[#This Row],[Total price]]-Table1[[#This Row],[Discount Amount]]</f>
        <v>12</v>
      </c>
      <c r="U690">
        <f t="shared" si="32"/>
        <v>144</v>
      </c>
    </row>
    <row r="691" spans="1:21">
      <c r="A691">
        <v>690</v>
      </c>
      <c r="B691" s="3" t="s">
        <v>2097</v>
      </c>
      <c r="C691" s="3" t="s">
        <v>1781</v>
      </c>
      <c r="D691" s="3" t="s">
        <v>2866</v>
      </c>
      <c r="E691" s="3" t="s">
        <v>3643</v>
      </c>
      <c r="F691" s="3">
        <v>244</v>
      </c>
      <c r="G691" s="4">
        <v>40878.489583333336</v>
      </c>
      <c r="H691" s="3">
        <v>4</v>
      </c>
      <c r="I691" s="5">
        <v>22</v>
      </c>
      <c r="J691" t="s">
        <v>42</v>
      </c>
      <c r="K691" t="s">
        <v>4497</v>
      </c>
      <c r="L691">
        <v>536420</v>
      </c>
      <c r="M691" s="2">
        <v>21892</v>
      </c>
      <c r="N691">
        <v>1.25</v>
      </c>
      <c r="O691" s="6">
        <v>12</v>
      </c>
      <c r="P691" s="3">
        <v>0.1</v>
      </c>
      <c r="Q691" t="s">
        <v>3</v>
      </c>
      <c r="R691" s="7">
        <f t="shared" si="30"/>
        <v>15</v>
      </c>
      <c r="S691" s="7">
        <f t="shared" si="31"/>
        <v>1.5</v>
      </c>
      <c r="T691">
        <f>Table1[[#This Row],[Total price]]-Table1[[#This Row],[Discount Amount]]</f>
        <v>13.5</v>
      </c>
      <c r="U691">
        <f t="shared" si="32"/>
        <v>162</v>
      </c>
    </row>
    <row r="692" spans="1:21">
      <c r="A692">
        <v>691</v>
      </c>
      <c r="B692" s="3" t="s">
        <v>2096</v>
      </c>
      <c r="C692" s="3" t="s">
        <v>2003</v>
      </c>
      <c r="D692" s="3" t="s">
        <v>3644</v>
      </c>
      <c r="E692" s="3" t="s">
        <v>3645</v>
      </c>
      <c r="F692" s="3">
        <v>245</v>
      </c>
      <c r="G692" s="4">
        <v>40878.489583333336</v>
      </c>
      <c r="H692" s="3">
        <v>4</v>
      </c>
      <c r="I692" s="5">
        <v>10</v>
      </c>
      <c r="J692" t="s">
        <v>329</v>
      </c>
      <c r="K692" t="s">
        <v>4497</v>
      </c>
      <c r="L692">
        <v>536420</v>
      </c>
      <c r="M692" s="2">
        <v>21891</v>
      </c>
      <c r="N692">
        <v>1.25</v>
      </c>
      <c r="O692" s="6">
        <v>12</v>
      </c>
      <c r="P692" s="3">
        <v>0.05</v>
      </c>
      <c r="Q692" t="s">
        <v>3</v>
      </c>
      <c r="R692" s="7">
        <f t="shared" si="30"/>
        <v>15</v>
      </c>
      <c r="S692" s="7">
        <f t="shared" si="31"/>
        <v>0.75</v>
      </c>
      <c r="T692">
        <f>Table1[[#This Row],[Total price]]-Table1[[#This Row],[Discount Amount]]</f>
        <v>14.25</v>
      </c>
      <c r="U692">
        <f t="shared" si="32"/>
        <v>171</v>
      </c>
    </row>
    <row r="693" spans="1:21">
      <c r="A693">
        <v>692</v>
      </c>
      <c r="B693" s="3" t="s">
        <v>1072</v>
      </c>
      <c r="C693" s="3" t="s">
        <v>2095</v>
      </c>
      <c r="D693" s="3" t="s">
        <v>2866</v>
      </c>
      <c r="E693" s="3" t="s">
        <v>3646</v>
      </c>
      <c r="F693" s="3">
        <v>245</v>
      </c>
      <c r="G693" s="4">
        <v>40878.489583333336</v>
      </c>
      <c r="H693" s="3">
        <v>3</v>
      </c>
      <c r="I693" s="5">
        <v>8</v>
      </c>
      <c r="J693" t="s">
        <v>284</v>
      </c>
      <c r="K693" t="s">
        <v>4497</v>
      </c>
      <c r="L693">
        <v>536420</v>
      </c>
      <c r="M693" s="2">
        <v>21890</v>
      </c>
      <c r="N693">
        <v>2.95</v>
      </c>
      <c r="O693" s="6">
        <v>6</v>
      </c>
      <c r="P693" s="3">
        <v>0.1</v>
      </c>
      <c r="Q693" t="s">
        <v>3</v>
      </c>
      <c r="R693" s="7">
        <f t="shared" si="30"/>
        <v>17.700000000000003</v>
      </c>
      <c r="S693" s="7">
        <f t="shared" si="31"/>
        <v>1.7700000000000005</v>
      </c>
      <c r="T693">
        <f>Table1[[#This Row],[Total price]]-Table1[[#This Row],[Discount Amount]]</f>
        <v>15.930000000000003</v>
      </c>
      <c r="U693">
        <f t="shared" si="32"/>
        <v>95.580000000000013</v>
      </c>
    </row>
    <row r="694" spans="1:21">
      <c r="A694">
        <v>693</v>
      </c>
      <c r="B694" s="3" t="s">
        <v>2094</v>
      </c>
      <c r="C694" s="3" t="s">
        <v>2093</v>
      </c>
      <c r="D694" s="3" t="s">
        <v>3647</v>
      </c>
      <c r="E694" s="3" t="s">
        <v>3648</v>
      </c>
      <c r="F694" s="3">
        <v>246</v>
      </c>
      <c r="G694" s="4">
        <v>40878.489583333336</v>
      </c>
      <c r="H694" s="3">
        <v>4</v>
      </c>
      <c r="I694" s="5">
        <v>17</v>
      </c>
      <c r="J694" t="s">
        <v>571</v>
      </c>
      <c r="K694" t="s">
        <v>4497</v>
      </c>
      <c r="L694">
        <v>536420</v>
      </c>
      <c r="M694" s="2">
        <v>21718</v>
      </c>
      <c r="N694">
        <v>1.25</v>
      </c>
      <c r="O694" s="6">
        <v>12</v>
      </c>
      <c r="P694" s="3">
        <v>0.2</v>
      </c>
      <c r="Q694" t="s">
        <v>3</v>
      </c>
      <c r="R694" s="7">
        <f t="shared" si="30"/>
        <v>15</v>
      </c>
      <c r="S694" s="7">
        <f t="shared" si="31"/>
        <v>3</v>
      </c>
      <c r="T694">
        <f>Table1[[#This Row],[Total price]]-Table1[[#This Row],[Discount Amount]]</f>
        <v>12</v>
      </c>
      <c r="U694">
        <f t="shared" si="32"/>
        <v>144</v>
      </c>
    </row>
    <row r="695" spans="1:21">
      <c r="A695">
        <v>694</v>
      </c>
      <c r="B695" s="3" t="s">
        <v>2092</v>
      </c>
      <c r="C695" s="3" t="s">
        <v>906</v>
      </c>
      <c r="D695" s="3" t="s">
        <v>2866</v>
      </c>
      <c r="E695" s="3" t="s">
        <v>3649</v>
      </c>
      <c r="F695" s="3">
        <v>247</v>
      </c>
      <c r="G695" s="4">
        <v>40878.489583333336</v>
      </c>
      <c r="H695" s="3">
        <v>4</v>
      </c>
      <c r="I695" s="5">
        <v>25</v>
      </c>
      <c r="J695" t="s">
        <v>570</v>
      </c>
      <c r="K695" t="s">
        <v>4497</v>
      </c>
      <c r="L695">
        <v>536420</v>
      </c>
      <c r="M695" s="2">
        <v>21716</v>
      </c>
      <c r="N695">
        <v>2.5499999999999998</v>
      </c>
      <c r="O695" s="6">
        <v>8</v>
      </c>
      <c r="P695" s="3">
        <v>7.0000000000000007E-2</v>
      </c>
      <c r="Q695" t="s">
        <v>3</v>
      </c>
      <c r="R695" s="7">
        <f t="shared" si="30"/>
        <v>20.399999999999999</v>
      </c>
      <c r="S695" s="7">
        <f t="shared" si="31"/>
        <v>1.4279999999999999</v>
      </c>
      <c r="T695">
        <f>Table1[[#This Row],[Total price]]-Table1[[#This Row],[Discount Amount]]</f>
        <v>18.971999999999998</v>
      </c>
      <c r="U695">
        <f t="shared" si="32"/>
        <v>151.77599999999998</v>
      </c>
    </row>
    <row r="696" spans="1:21">
      <c r="A696">
        <v>695</v>
      </c>
      <c r="B696" s="3" t="s">
        <v>2091</v>
      </c>
      <c r="C696" s="3" t="s">
        <v>930</v>
      </c>
      <c r="D696" s="3" t="s">
        <v>2866</v>
      </c>
      <c r="E696" s="3" t="s">
        <v>3650</v>
      </c>
      <c r="F696" s="3">
        <v>247</v>
      </c>
      <c r="G696" s="4">
        <v>40878.489583333336</v>
      </c>
      <c r="H696" s="3">
        <v>4</v>
      </c>
      <c r="I696" s="5">
        <v>3</v>
      </c>
      <c r="J696" t="s">
        <v>282</v>
      </c>
      <c r="K696" t="s">
        <v>4497</v>
      </c>
      <c r="L696">
        <v>536420</v>
      </c>
      <c r="M696" s="2">
        <v>21715</v>
      </c>
      <c r="N696">
        <v>2.5499999999999998</v>
      </c>
      <c r="O696" s="6">
        <v>8</v>
      </c>
      <c r="P696" s="3">
        <v>0.2</v>
      </c>
      <c r="Q696" t="s">
        <v>3</v>
      </c>
      <c r="R696" s="7">
        <f t="shared" si="30"/>
        <v>20.399999999999999</v>
      </c>
      <c r="S696" s="7">
        <f t="shared" si="31"/>
        <v>4.08</v>
      </c>
      <c r="T696">
        <f>Table1[[#This Row],[Total price]]-Table1[[#This Row],[Discount Amount]]</f>
        <v>16.32</v>
      </c>
      <c r="U696">
        <f t="shared" si="32"/>
        <v>130.56</v>
      </c>
    </row>
    <row r="697" spans="1:21">
      <c r="A697">
        <v>696</v>
      </c>
      <c r="B697" s="3" t="s">
        <v>2090</v>
      </c>
      <c r="C697" s="3" t="s">
        <v>2089</v>
      </c>
      <c r="D697" s="3" t="s">
        <v>2866</v>
      </c>
      <c r="E697" s="3" t="s">
        <v>3651</v>
      </c>
      <c r="F697" s="3">
        <v>248</v>
      </c>
      <c r="G697" s="4">
        <v>40878.489583333336</v>
      </c>
      <c r="H697" s="3">
        <v>4</v>
      </c>
      <c r="I697" s="5">
        <v>13</v>
      </c>
      <c r="J697" t="s">
        <v>14</v>
      </c>
      <c r="K697" t="s">
        <v>4497</v>
      </c>
      <c r="L697">
        <v>536420</v>
      </c>
      <c r="M697" s="2">
        <v>22113</v>
      </c>
      <c r="N697">
        <v>3.75</v>
      </c>
      <c r="O697" s="6">
        <v>4</v>
      </c>
      <c r="P697" s="3">
        <v>0.1</v>
      </c>
      <c r="Q697" t="s">
        <v>3</v>
      </c>
      <c r="R697" s="7">
        <f t="shared" si="30"/>
        <v>15</v>
      </c>
      <c r="S697" s="7">
        <f t="shared" si="31"/>
        <v>1.5</v>
      </c>
      <c r="T697">
        <f>Table1[[#This Row],[Total price]]-Table1[[#This Row],[Discount Amount]]</f>
        <v>13.5</v>
      </c>
      <c r="U697">
        <f t="shared" si="32"/>
        <v>54</v>
      </c>
    </row>
    <row r="698" spans="1:21">
      <c r="A698">
        <v>697</v>
      </c>
      <c r="B698" s="3" t="s">
        <v>2088</v>
      </c>
      <c r="C698" s="3" t="s">
        <v>2087</v>
      </c>
      <c r="D698" s="3" t="s">
        <v>3652</v>
      </c>
      <c r="E698" s="3" t="s">
        <v>3653</v>
      </c>
      <c r="F698" s="3">
        <v>248</v>
      </c>
      <c r="G698" s="4">
        <v>40878.489583333336</v>
      </c>
      <c r="H698" s="3">
        <v>4</v>
      </c>
      <c r="I698" s="5">
        <v>26</v>
      </c>
      <c r="J698" t="s">
        <v>15</v>
      </c>
      <c r="K698" t="s">
        <v>4497</v>
      </c>
      <c r="L698">
        <v>536420</v>
      </c>
      <c r="M698" s="2">
        <v>22111</v>
      </c>
      <c r="N698">
        <v>4.95</v>
      </c>
      <c r="O698" s="6">
        <v>3</v>
      </c>
      <c r="P698" s="3">
        <v>0.1</v>
      </c>
      <c r="Q698" t="s">
        <v>3</v>
      </c>
      <c r="R698" s="7">
        <f t="shared" si="30"/>
        <v>14.850000000000001</v>
      </c>
      <c r="S698" s="7">
        <f t="shared" si="31"/>
        <v>1.4850000000000003</v>
      </c>
      <c r="T698">
        <f>Table1[[#This Row],[Total price]]-Table1[[#This Row],[Discount Amount]]</f>
        <v>13.365000000000002</v>
      </c>
      <c r="U698">
        <f t="shared" si="32"/>
        <v>40.095000000000006</v>
      </c>
    </row>
    <row r="699" spans="1:21">
      <c r="A699">
        <v>698</v>
      </c>
      <c r="B699" s="3" t="s">
        <v>2086</v>
      </c>
      <c r="C699" s="3" t="s">
        <v>1403</v>
      </c>
      <c r="D699" s="3" t="s">
        <v>2866</v>
      </c>
      <c r="E699" s="3" t="s">
        <v>3654</v>
      </c>
      <c r="F699" s="3">
        <v>248</v>
      </c>
      <c r="G699" s="4">
        <v>40878.489583333336</v>
      </c>
      <c r="H699" s="3">
        <v>4</v>
      </c>
      <c r="I699" s="5">
        <v>17</v>
      </c>
      <c r="J699" t="s">
        <v>79</v>
      </c>
      <c r="K699" t="s">
        <v>4497</v>
      </c>
      <c r="L699">
        <v>536420</v>
      </c>
      <c r="M699" s="2">
        <v>22110</v>
      </c>
      <c r="N699">
        <v>2.5499999999999998</v>
      </c>
      <c r="O699" s="6">
        <v>6</v>
      </c>
      <c r="P699" s="3">
        <v>0.1</v>
      </c>
      <c r="Q699" t="s">
        <v>3</v>
      </c>
      <c r="R699" s="7">
        <f t="shared" si="30"/>
        <v>15.299999999999999</v>
      </c>
      <c r="S699" s="7">
        <f t="shared" si="31"/>
        <v>1.53</v>
      </c>
      <c r="T699">
        <f>Table1[[#This Row],[Total price]]-Table1[[#This Row],[Discount Amount]]</f>
        <v>13.77</v>
      </c>
      <c r="U699">
        <f t="shared" si="32"/>
        <v>82.62</v>
      </c>
    </row>
    <row r="700" spans="1:21">
      <c r="A700">
        <v>699</v>
      </c>
      <c r="B700" s="3" t="s">
        <v>2085</v>
      </c>
      <c r="C700" s="3" t="s">
        <v>2084</v>
      </c>
      <c r="D700" s="3" t="s">
        <v>2866</v>
      </c>
      <c r="E700" s="3" t="s">
        <v>3655</v>
      </c>
      <c r="F700" s="3">
        <v>248</v>
      </c>
      <c r="G700" s="4">
        <v>40878.489583333336</v>
      </c>
      <c r="H700" s="3">
        <v>4</v>
      </c>
      <c r="I700" s="5">
        <v>9</v>
      </c>
      <c r="J700" t="s">
        <v>334</v>
      </c>
      <c r="K700" t="s">
        <v>4497</v>
      </c>
      <c r="L700">
        <v>536420</v>
      </c>
      <c r="M700" s="2">
        <v>22358</v>
      </c>
      <c r="N700">
        <v>2.95</v>
      </c>
      <c r="O700" s="6">
        <v>6</v>
      </c>
      <c r="P700" s="3">
        <v>0.2</v>
      </c>
      <c r="Q700" t="s">
        <v>3</v>
      </c>
      <c r="R700" s="7">
        <f t="shared" si="30"/>
        <v>17.700000000000003</v>
      </c>
      <c r="S700" s="7">
        <f t="shared" si="31"/>
        <v>3.5400000000000009</v>
      </c>
      <c r="T700">
        <f>Table1[[#This Row],[Total price]]-Table1[[#This Row],[Discount Amount]]</f>
        <v>14.160000000000002</v>
      </c>
      <c r="U700">
        <f t="shared" si="32"/>
        <v>84.960000000000008</v>
      </c>
    </row>
    <row r="701" spans="1:21">
      <c r="A701">
        <v>700</v>
      </c>
      <c r="B701" s="3" t="s">
        <v>2083</v>
      </c>
      <c r="C701" s="3" t="s">
        <v>2082</v>
      </c>
      <c r="D701" s="3" t="s">
        <v>3656</v>
      </c>
      <c r="E701" s="3" t="s">
        <v>3657</v>
      </c>
      <c r="F701" s="3">
        <v>249</v>
      </c>
      <c r="G701" s="4">
        <v>40878.489583333336</v>
      </c>
      <c r="H701" s="3">
        <v>4</v>
      </c>
      <c r="I701" s="5">
        <v>7</v>
      </c>
      <c r="J701" t="s">
        <v>68</v>
      </c>
      <c r="K701" t="s">
        <v>4497</v>
      </c>
      <c r="L701">
        <v>536420</v>
      </c>
      <c r="M701" s="2">
        <v>22357</v>
      </c>
      <c r="N701">
        <v>4.25</v>
      </c>
      <c r="O701" s="6">
        <v>4</v>
      </c>
      <c r="P701" s="3">
        <v>0.05</v>
      </c>
      <c r="Q701" t="s">
        <v>3</v>
      </c>
      <c r="R701" s="7">
        <f t="shared" si="30"/>
        <v>17</v>
      </c>
      <c r="S701" s="7">
        <f t="shared" si="31"/>
        <v>0.85000000000000009</v>
      </c>
      <c r="T701">
        <f>Table1[[#This Row],[Total price]]-Table1[[#This Row],[Discount Amount]]</f>
        <v>16.149999999999999</v>
      </c>
      <c r="U701">
        <f t="shared" si="32"/>
        <v>64.599999999999994</v>
      </c>
    </row>
    <row r="702" spans="1:21">
      <c r="A702">
        <v>701</v>
      </c>
      <c r="B702" s="3" t="s">
        <v>2081</v>
      </c>
      <c r="C702" s="3" t="s">
        <v>2080</v>
      </c>
      <c r="D702" s="3" t="s">
        <v>3658</v>
      </c>
      <c r="E702" s="3" t="s">
        <v>3659</v>
      </c>
      <c r="F702" s="3">
        <v>249</v>
      </c>
      <c r="G702" s="4">
        <v>40878.489583333336</v>
      </c>
      <c r="H702" s="3">
        <v>4</v>
      </c>
      <c r="I702" s="5">
        <v>18</v>
      </c>
      <c r="J702" t="s">
        <v>665</v>
      </c>
      <c r="K702" t="s">
        <v>4497</v>
      </c>
      <c r="L702">
        <v>536420</v>
      </c>
      <c r="M702" s="2">
        <v>22115</v>
      </c>
      <c r="N702">
        <v>2.95</v>
      </c>
      <c r="O702" s="6">
        <v>6</v>
      </c>
      <c r="P702" s="3">
        <v>0.05</v>
      </c>
      <c r="Q702" t="s">
        <v>3</v>
      </c>
      <c r="R702" s="7">
        <f t="shared" si="30"/>
        <v>17.700000000000003</v>
      </c>
      <c r="S702" s="7">
        <f t="shared" si="31"/>
        <v>0.88500000000000023</v>
      </c>
      <c r="T702">
        <f>Table1[[#This Row],[Total price]]-Table1[[#This Row],[Discount Amount]]</f>
        <v>16.815000000000001</v>
      </c>
      <c r="U702">
        <f t="shared" si="32"/>
        <v>100.89000000000001</v>
      </c>
    </row>
    <row r="703" spans="1:21">
      <c r="A703">
        <v>702</v>
      </c>
      <c r="B703" s="3" t="s">
        <v>2079</v>
      </c>
      <c r="C703" s="3" t="s">
        <v>1329</v>
      </c>
      <c r="D703" s="3" t="s">
        <v>2866</v>
      </c>
      <c r="E703" s="3" t="s">
        <v>3660</v>
      </c>
      <c r="F703" s="3">
        <v>249</v>
      </c>
      <c r="G703" s="4">
        <v>40878.489583333336</v>
      </c>
      <c r="H703" s="3">
        <v>4</v>
      </c>
      <c r="I703" s="5">
        <v>22</v>
      </c>
      <c r="J703" t="s">
        <v>861</v>
      </c>
      <c r="K703" t="s">
        <v>4497</v>
      </c>
      <c r="L703">
        <v>536420</v>
      </c>
      <c r="M703" s="2">
        <v>22969</v>
      </c>
      <c r="N703">
        <v>1.45</v>
      </c>
      <c r="O703" s="6">
        <v>12</v>
      </c>
      <c r="P703" s="3">
        <v>0.1</v>
      </c>
      <c r="Q703" t="s">
        <v>3</v>
      </c>
      <c r="R703" s="7">
        <f t="shared" si="30"/>
        <v>17.399999999999999</v>
      </c>
      <c r="S703" s="7">
        <f t="shared" si="31"/>
        <v>1.74</v>
      </c>
      <c r="T703">
        <f>Table1[[#This Row],[Total price]]-Table1[[#This Row],[Discount Amount]]</f>
        <v>15.659999999999998</v>
      </c>
      <c r="U703">
        <f t="shared" si="32"/>
        <v>187.92</v>
      </c>
    </row>
    <row r="704" spans="1:21">
      <c r="A704">
        <v>703</v>
      </c>
      <c r="B704" s="3" t="s">
        <v>1698</v>
      </c>
      <c r="C704" s="3" t="s">
        <v>1818</v>
      </c>
      <c r="D704" s="3" t="s">
        <v>2866</v>
      </c>
      <c r="E704" s="3" t="s">
        <v>3661</v>
      </c>
      <c r="F704" s="3">
        <v>250</v>
      </c>
      <c r="G704" s="4">
        <v>40878.489583333336</v>
      </c>
      <c r="H704" s="3">
        <v>4</v>
      </c>
      <c r="I704" s="5">
        <v>17</v>
      </c>
      <c r="J704" t="s">
        <v>170</v>
      </c>
      <c r="K704" t="s">
        <v>4497</v>
      </c>
      <c r="L704">
        <v>536423</v>
      </c>
      <c r="M704" s="2">
        <v>22619</v>
      </c>
      <c r="N704">
        <v>3.75</v>
      </c>
      <c r="O704" s="6">
        <v>4</v>
      </c>
      <c r="P704" s="3">
        <v>0.05</v>
      </c>
      <c r="Q704" t="s">
        <v>3</v>
      </c>
      <c r="R704" s="7">
        <f t="shared" si="30"/>
        <v>15</v>
      </c>
      <c r="S704" s="7">
        <f t="shared" si="31"/>
        <v>0.75</v>
      </c>
      <c r="T704">
        <f>Table1[[#This Row],[Total price]]-Table1[[#This Row],[Discount Amount]]</f>
        <v>14.25</v>
      </c>
      <c r="U704">
        <f t="shared" si="32"/>
        <v>57</v>
      </c>
    </row>
    <row r="705" spans="1:21">
      <c r="A705">
        <v>704</v>
      </c>
      <c r="B705" s="3" t="s">
        <v>1913</v>
      </c>
      <c r="C705" s="3" t="s">
        <v>1548</v>
      </c>
      <c r="D705" s="3" t="s">
        <v>3662</v>
      </c>
      <c r="E705" s="3" t="s">
        <v>3663</v>
      </c>
      <c r="F705" s="3">
        <v>250</v>
      </c>
      <c r="G705" s="4">
        <v>40878.489583333336</v>
      </c>
      <c r="H705" s="3">
        <v>4</v>
      </c>
      <c r="I705" s="5">
        <v>11</v>
      </c>
      <c r="J705" t="s">
        <v>144</v>
      </c>
      <c r="K705" t="s">
        <v>4497</v>
      </c>
      <c r="L705">
        <v>536423</v>
      </c>
      <c r="M705" s="2">
        <v>21481</v>
      </c>
      <c r="N705">
        <v>2.95</v>
      </c>
      <c r="O705" s="6">
        <v>6</v>
      </c>
      <c r="P705" s="3">
        <v>0.1</v>
      </c>
      <c r="Q705" t="s">
        <v>3</v>
      </c>
      <c r="R705" s="7">
        <f t="shared" si="30"/>
        <v>17.700000000000003</v>
      </c>
      <c r="S705" s="7">
        <f t="shared" si="31"/>
        <v>1.7700000000000005</v>
      </c>
      <c r="T705">
        <f>Table1[[#This Row],[Total price]]-Table1[[#This Row],[Discount Amount]]</f>
        <v>15.930000000000003</v>
      </c>
      <c r="U705">
        <f t="shared" si="32"/>
        <v>95.580000000000013</v>
      </c>
    </row>
    <row r="706" spans="1:21">
      <c r="A706">
        <v>705</v>
      </c>
      <c r="B706" s="3" t="s">
        <v>2078</v>
      </c>
      <c r="C706" s="3" t="s">
        <v>1578</v>
      </c>
      <c r="D706" s="3" t="s">
        <v>2866</v>
      </c>
      <c r="E706" s="3" t="s">
        <v>3664</v>
      </c>
      <c r="F706" s="3">
        <v>251</v>
      </c>
      <c r="G706" s="4">
        <v>40878.489583333336</v>
      </c>
      <c r="H706" s="3">
        <v>4</v>
      </c>
      <c r="I706" s="5">
        <v>23</v>
      </c>
      <c r="J706" t="s">
        <v>26</v>
      </c>
      <c r="K706" t="s">
        <v>4497</v>
      </c>
      <c r="L706">
        <v>536423</v>
      </c>
      <c r="M706" s="2">
        <v>22632</v>
      </c>
      <c r="N706">
        <v>2.1</v>
      </c>
      <c r="O706" s="6">
        <v>12</v>
      </c>
      <c r="P706" s="3">
        <v>0.2</v>
      </c>
      <c r="Q706" t="s">
        <v>3</v>
      </c>
      <c r="R706" s="7">
        <f t="shared" si="30"/>
        <v>25.200000000000003</v>
      </c>
      <c r="S706" s="7">
        <f t="shared" si="31"/>
        <v>5.0400000000000009</v>
      </c>
      <c r="T706">
        <f>Table1[[#This Row],[Total price]]-Table1[[#This Row],[Discount Amount]]</f>
        <v>20.160000000000004</v>
      </c>
      <c r="U706">
        <f t="shared" si="32"/>
        <v>241.92000000000004</v>
      </c>
    </row>
    <row r="707" spans="1:21">
      <c r="A707">
        <v>706</v>
      </c>
      <c r="B707" s="3" t="s">
        <v>2077</v>
      </c>
      <c r="C707" s="3" t="s">
        <v>2076</v>
      </c>
      <c r="D707" s="3" t="s">
        <v>2866</v>
      </c>
      <c r="E707" s="3" t="s">
        <v>3665</v>
      </c>
      <c r="F707" s="3">
        <v>251</v>
      </c>
      <c r="G707" s="4">
        <v>40878.489583333336</v>
      </c>
      <c r="H707" s="3">
        <v>4</v>
      </c>
      <c r="I707" s="5">
        <v>22</v>
      </c>
      <c r="J707" t="s">
        <v>11</v>
      </c>
      <c r="K707" t="s">
        <v>4497</v>
      </c>
      <c r="L707">
        <v>536423</v>
      </c>
      <c r="M707" s="2">
        <v>22837</v>
      </c>
      <c r="N707">
        <v>4.6500000000000004</v>
      </c>
      <c r="O707" s="6">
        <v>8</v>
      </c>
      <c r="P707" s="3">
        <v>0.05</v>
      </c>
      <c r="Q707" t="s">
        <v>3</v>
      </c>
      <c r="R707" s="7">
        <f t="shared" ref="R707:R770" si="33">N707*O707</f>
        <v>37.200000000000003</v>
      </c>
      <c r="S707" s="7">
        <f t="shared" ref="S707:S770" si="34">R707*P707</f>
        <v>1.8600000000000003</v>
      </c>
      <c r="T707">
        <f>Table1[[#This Row],[Total price]]-Table1[[#This Row],[Discount Amount]]</f>
        <v>35.340000000000003</v>
      </c>
      <c r="U707">
        <f t="shared" ref="U707:U770" si="35">T707*O707</f>
        <v>282.72000000000003</v>
      </c>
    </row>
    <row r="708" spans="1:21">
      <c r="A708">
        <v>707</v>
      </c>
      <c r="B708" s="3" t="s">
        <v>2075</v>
      </c>
      <c r="C708" s="3" t="s">
        <v>2074</v>
      </c>
      <c r="D708" s="3" t="s">
        <v>2866</v>
      </c>
      <c r="E708" s="3" t="s">
        <v>3666</v>
      </c>
      <c r="F708" s="3">
        <v>252</v>
      </c>
      <c r="G708" s="4">
        <v>40878.489583333336</v>
      </c>
      <c r="H708" s="3">
        <v>4</v>
      </c>
      <c r="I708" s="5">
        <v>11</v>
      </c>
      <c r="J708" t="s">
        <v>300</v>
      </c>
      <c r="K708" t="s">
        <v>4497</v>
      </c>
      <c r="L708">
        <v>536423</v>
      </c>
      <c r="M708" s="2">
        <v>21479</v>
      </c>
      <c r="N708">
        <v>3.75</v>
      </c>
      <c r="O708" s="6">
        <v>8</v>
      </c>
      <c r="P708" s="3">
        <v>0.1</v>
      </c>
      <c r="Q708" t="s">
        <v>3</v>
      </c>
      <c r="R708" s="7">
        <f t="shared" si="33"/>
        <v>30</v>
      </c>
      <c r="S708" s="7">
        <f t="shared" si="34"/>
        <v>3</v>
      </c>
      <c r="T708">
        <f>Table1[[#This Row],[Total price]]-Table1[[#This Row],[Discount Amount]]</f>
        <v>27</v>
      </c>
      <c r="U708">
        <f t="shared" si="35"/>
        <v>216</v>
      </c>
    </row>
    <row r="709" spans="1:21">
      <c r="A709">
        <v>708</v>
      </c>
      <c r="B709" s="3" t="s">
        <v>2073</v>
      </c>
      <c r="C709" s="3" t="s">
        <v>1062</v>
      </c>
      <c r="D709" s="3" t="s">
        <v>2866</v>
      </c>
      <c r="E709" s="3" t="s">
        <v>3667</v>
      </c>
      <c r="F709" s="3">
        <v>252</v>
      </c>
      <c r="G709" s="4">
        <v>40878.489583333336</v>
      </c>
      <c r="H709" s="3">
        <v>4</v>
      </c>
      <c r="I709" s="5">
        <v>4</v>
      </c>
      <c r="J709" t="s">
        <v>78</v>
      </c>
      <c r="K709" t="s">
        <v>4497</v>
      </c>
      <c r="L709">
        <v>536423</v>
      </c>
      <c r="M709" s="2">
        <v>21485</v>
      </c>
      <c r="N709">
        <v>4.95</v>
      </c>
      <c r="O709" s="6">
        <v>8</v>
      </c>
      <c r="P709" s="3">
        <v>7.0000000000000007E-2</v>
      </c>
      <c r="Q709" t="s">
        <v>3</v>
      </c>
      <c r="R709" s="7">
        <f t="shared" si="33"/>
        <v>39.6</v>
      </c>
      <c r="S709" s="7">
        <f t="shared" si="34"/>
        <v>2.7720000000000002</v>
      </c>
      <c r="T709">
        <f>Table1[[#This Row],[Total price]]-Table1[[#This Row],[Discount Amount]]</f>
        <v>36.828000000000003</v>
      </c>
      <c r="U709">
        <f t="shared" si="35"/>
        <v>294.62400000000002</v>
      </c>
    </row>
    <row r="710" spans="1:21">
      <c r="A710">
        <v>709</v>
      </c>
      <c r="B710" s="3" t="s">
        <v>2072</v>
      </c>
      <c r="C710" s="3" t="s">
        <v>1002</v>
      </c>
      <c r="D710" s="3" t="s">
        <v>2866</v>
      </c>
      <c r="E710" s="3" t="s">
        <v>3668</v>
      </c>
      <c r="F710" s="3">
        <v>252</v>
      </c>
      <c r="G710" s="4">
        <v>40878.489583333336</v>
      </c>
      <c r="H710" s="3">
        <v>4</v>
      </c>
      <c r="I710" s="5">
        <v>19</v>
      </c>
      <c r="J710" t="s">
        <v>73</v>
      </c>
      <c r="K710" t="s">
        <v>4497</v>
      </c>
      <c r="L710">
        <v>536423</v>
      </c>
      <c r="M710" s="2" t="s">
        <v>72</v>
      </c>
      <c r="N710">
        <v>3.75</v>
      </c>
      <c r="O710" s="6">
        <v>8</v>
      </c>
      <c r="P710" s="3">
        <v>0.1</v>
      </c>
      <c r="Q710" t="s">
        <v>3</v>
      </c>
      <c r="R710" s="7">
        <f t="shared" si="33"/>
        <v>30</v>
      </c>
      <c r="S710" s="7">
        <f t="shared" si="34"/>
        <v>3</v>
      </c>
      <c r="T710">
        <f>Table1[[#This Row],[Total price]]-Table1[[#This Row],[Discount Amount]]</f>
        <v>27</v>
      </c>
      <c r="U710">
        <f t="shared" si="35"/>
        <v>216</v>
      </c>
    </row>
    <row r="711" spans="1:21">
      <c r="A711">
        <v>710</v>
      </c>
      <c r="B711" s="3" t="s">
        <v>2071</v>
      </c>
      <c r="C711" s="3" t="s">
        <v>2070</v>
      </c>
      <c r="D711" s="3" t="s">
        <v>2866</v>
      </c>
      <c r="E711" s="3" t="s">
        <v>3669</v>
      </c>
      <c r="F711" s="3">
        <v>253</v>
      </c>
      <c r="G711" s="4">
        <v>40878.489583333336</v>
      </c>
      <c r="H711" s="3">
        <v>4</v>
      </c>
      <c r="I711" s="5">
        <v>11</v>
      </c>
      <c r="J711" t="s">
        <v>15</v>
      </c>
      <c r="K711" t="s">
        <v>4497</v>
      </c>
      <c r="L711">
        <v>536423</v>
      </c>
      <c r="M711" s="2">
        <v>22111</v>
      </c>
      <c r="N711">
        <v>4.95</v>
      </c>
      <c r="O711" s="6">
        <v>16</v>
      </c>
      <c r="P711" s="3">
        <v>7.0000000000000007E-2</v>
      </c>
      <c r="Q711" t="s">
        <v>3</v>
      </c>
      <c r="R711" s="7">
        <f t="shared" si="33"/>
        <v>79.2</v>
      </c>
      <c r="S711" s="7">
        <f t="shared" si="34"/>
        <v>5.5440000000000005</v>
      </c>
      <c r="T711">
        <f>Table1[[#This Row],[Total price]]-Table1[[#This Row],[Discount Amount]]</f>
        <v>73.656000000000006</v>
      </c>
      <c r="U711">
        <f t="shared" si="35"/>
        <v>1178.4960000000001</v>
      </c>
    </row>
    <row r="712" spans="1:21">
      <c r="A712">
        <v>711</v>
      </c>
      <c r="B712" s="3" t="s">
        <v>2069</v>
      </c>
      <c r="C712" s="3" t="s">
        <v>2068</v>
      </c>
      <c r="D712" s="3" t="s">
        <v>2866</v>
      </c>
      <c r="E712" s="3" t="s">
        <v>3670</v>
      </c>
      <c r="F712" s="3">
        <v>254</v>
      </c>
      <c r="G712" s="4">
        <v>40878.489583333336</v>
      </c>
      <c r="H712" s="3">
        <v>4</v>
      </c>
      <c r="I712" s="5">
        <v>6</v>
      </c>
      <c r="J712" t="s">
        <v>14</v>
      </c>
      <c r="K712" t="s">
        <v>4497</v>
      </c>
      <c r="L712">
        <v>536423</v>
      </c>
      <c r="M712" s="2">
        <v>22113</v>
      </c>
      <c r="N712">
        <v>3.75</v>
      </c>
      <c r="O712" s="6">
        <v>8</v>
      </c>
      <c r="P712" s="3">
        <v>7.0000000000000007E-2</v>
      </c>
      <c r="Q712" t="s">
        <v>3</v>
      </c>
      <c r="R712" s="7">
        <f t="shared" si="33"/>
        <v>30</v>
      </c>
      <c r="S712" s="7">
        <f t="shared" si="34"/>
        <v>2.1</v>
      </c>
      <c r="T712">
        <f>Table1[[#This Row],[Total price]]-Table1[[#This Row],[Discount Amount]]</f>
        <v>27.9</v>
      </c>
      <c r="U712">
        <f t="shared" si="35"/>
        <v>223.2</v>
      </c>
    </row>
    <row r="713" spans="1:21">
      <c r="A713">
        <v>712</v>
      </c>
      <c r="B713" s="3" t="s">
        <v>2067</v>
      </c>
      <c r="C713" s="3" t="s">
        <v>2066</v>
      </c>
      <c r="D713" s="3" t="s">
        <v>2866</v>
      </c>
      <c r="E713" s="3" t="s">
        <v>3671</v>
      </c>
      <c r="F713" s="3">
        <v>254</v>
      </c>
      <c r="G713" s="4">
        <v>40878.489583333336</v>
      </c>
      <c r="H713" s="3">
        <v>4</v>
      </c>
      <c r="I713" s="5">
        <v>3</v>
      </c>
      <c r="J713" t="s">
        <v>11</v>
      </c>
      <c r="K713" t="s">
        <v>4497</v>
      </c>
      <c r="L713">
        <v>536425</v>
      </c>
      <c r="M713" s="2">
        <v>22837</v>
      </c>
      <c r="N713">
        <v>4.6500000000000004</v>
      </c>
      <c r="O713" s="6">
        <v>8</v>
      </c>
      <c r="P713" s="3">
        <v>0.05</v>
      </c>
      <c r="Q713" t="s">
        <v>3</v>
      </c>
      <c r="R713" s="7">
        <f t="shared" si="33"/>
        <v>37.200000000000003</v>
      </c>
      <c r="S713" s="7">
        <f t="shared" si="34"/>
        <v>1.8600000000000003</v>
      </c>
      <c r="T713">
        <f>Table1[[#This Row],[Total price]]-Table1[[#This Row],[Discount Amount]]</f>
        <v>35.340000000000003</v>
      </c>
      <c r="U713">
        <f t="shared" si="35"/>
        <v>282.72000000000003</v>
      </c>
    </row>
    <row r="714" spans="1:21">
      <c r="A714">
        <v>713</v>
      </c>
      <c r="B714" s="3" t="s">
        <v>2065</v>
      </c>
      <c r="C714" s="3" t="s">
        <v>1194</v>
      </c>
      <c r="D714" s="3" t="s">
        <v>2866</v>
      </c>
      <c r="E714" s="3" t="s">
        <v>3672</v>
      </c>
      <c r="F714" s="3">
        <v>254</v>
      </c>
      <c r="G714" s="4">
        <v>40878.489583333336</v>
      </c>
      <c r="H714" s="3">
        <v>4</v>
      </c>
      <c r="I714" s="5">
        <v>12</v>
      </c>
      <c r="J714" t="s">
        <v>291</v>
      </c>
      <c r="K714" t="s">
        <v>4497</v>
      </c>
      <c r="L714">
        <v>536425</v>
      </c>
      <c r="M714" s="2">
        <v>22585</v>
      </c>
      <c r="N714">
        <v>1.25</v>
      </c>
      <c r="O714" s="6">
        <v>12</v>
      </c>
      <c r="P714" s="3">
        <v>0.05</v>
      </c>
      <c r="Q714" t="s">
        <v>3</v>
      </c>
      <c r="R714" s="7">
        <f t="shared" si="33"/>
        <v>15</v>
      </c>
      <c r="S714" s="7">
        <f t="shared" si="34"/>
        <v>0.75</v>
      </c>
      <c r="T714">
        <f>Table1[[#This Row],[Total price]]-Table1[[#This Row],[Discount Amount]]</f>
        <v>14.25</v>
      </c>
      <c r="U714">
        <f t="shared" si="35"/>
        <v>171</v>
      </c>
    </row>
    <row r="715" spans="1:21">
      <c r="A715">
        <v>714</v>
      </c>
      <c r="B715" s="3" t="s">
        <v>2064</v>
      </c>
      <c r="C715" s="3" t="s">
        <v>1879</v>
      </c>
      <c r="D715" s="3" t="s">
        <v>2866</v>
      </c>
      <c r="E715" s="3" t="s">
        <v>3673</v>
      </c>
      <c r="F715" s="3">
        <v>255</v>
      </c>
      <c r="G715" s="4">
        <v>40878.489583333336</v>
      </c>
      <c r="H715" s="3">
        <v>4</v>
      </c>
      <c r="I715" s="5">
        <v>5</v>
      </c>
      <c r="J715" t="s">
        <v>372</v>
      </c>
      <c r="K715" t="s">
        <v>4497</v>
      </c>
      <c r="L715">
        <v>536425</v>
      </c>
      <c r="M715" s="2">
        <v>79321</v>
      </c>
      <c r="N715">
        <v>4.95</v>
      </c>
      <c r="O715" s="6">
        <v>8</v>
      </c>
      <c r="P715" s="3">
        <v>0.1</v>
      </c>
      <c r="Q715" t="s">
        <v>3</v>
      </c>
      <c r="R715" s="7">
        <f t="shared" si="33"/>
        <v>39.6</v>
      </c>
      <c r="S715" s="7">
        <f t="shared" si="34"/>
        <v>3.9600000000000004</v>
      </c>
      <c r="T715">
        <f>Table1[[#This Row],[Total price]]-Table1[[#This Row],[Discount Amount]]</f>
        <v>35.64</v>
      </c>
      <c r="U715">
        <f t="shared" si="35"/>
        <v>285.12</v>
      </c>
    </row>
    <row r="716" spans="1:21">
      <c r="A716">
        <v>715</v>
      </c>
      <c r="B716" s="3" t="s">
        <v>2063</v>
      </c>
      <c r="C716" s="3" t="s">
        <v>2062</v>
      </c>
      <c r="D716" s="3" t="s">
        <v>2866</v>
      </c>
      <c r="E716" s="3" t="s">
        <v>3674</v>
      </c>
      <c r="F716" s="3">
        <v>255</v>
      </c>
      <c r="G716" s="4">
        <v>40878.489583333336</v>
      </c>
      <c r="H716" s="3">
        <v>3</v>
      </c>
      <c r="I716" s="5">
        <v>14</v>
      </c>
      <c r="J716" t="s">
        <v>608</v>
      </c>
      <c r="K716" t="s">
        <v>4497</v>
      </c>
      <c r="L716">
        <v>536425</v>
      </c>
      <c r="M716" s="2">
        <v>22637</v>
      </c>
      <c r="N716">
        <v>2.5499999999999998</v>
      </c>
      <c r="O716" s="6">
        <v>12</v>
      </c>
      <c r="P716" s="3">
        <v>0.2</v>
      </c>
      <c r="Q716" t="s">
        <v>3</v>
      </c>
      <c r="R716" s="7">
        <f t="shared" si="33"/>
        <v>30.599999999999998</v>
      </c>
      <c r="S716" s="7">
        <f t="shared" si="34"/>
        <v>6.12</v>
      </c>
      <c r="T716">
        <f>Table1[[#This Row],[Total price]]-Table1[[#This Row],[Discount Amount]]</f>
        <v>24.479999999999997</v>
      </c>
      <c r="U716">
        <f t="shared" si="35"/>
        <v>293.76</v>
      </c>
    </row>
    <row r="717" spans="1:21">
      <c r="A717">
        <v>716</v>
      </c>
      <c r="B717" s="3" t="s">
        <v>1653</v>
      </c>
      <c r="C717" s="3" t="s">
        <v>981</v>
      </c>
      <c r="D717" s="3" t="s">
        <v>2866</v>
      </c>
      <c r="E717" s="3" t="s">
        <v>3675</v>
      </c>
      <c r="F717" s="3">
        <v>255</v>
      </c>
      <c r="G717" s="4">
        <v>40878.489583333336</v>
      </c>
      <c r="H717" s="3">
        <v>4</v>
      </c>
      <c r="I717" s="5">
        <v>2</v>
      </c>
      <c r="J717" t="s">
        <v>184</v>
      </c>
      <c r="K717" t="s">
        <v>4497</v>
      </c>
      <c r="L717">
        <v>536425</v>
      </c>
      <c r="M717" s="2">
        <v>21556</v>
      </c>
      <c r="N717">
        <v>2.5499999999999998</v>
      </c>
      <c r="O717" s="6">
        <v>6</v>
      </c>
      <c r="P717" s="3">
        <v>0.2</v>
      </c>
      <c r="Q717" t="s">
        <v>3</v>
      </c>
      <c r="R717" s="7">
        <f t="shared" si="33"/>
        <v>15.299999999999999</v>
      </c>
      <c r="S717" s="7">
        <f t="shared" si="34"/>
        <v>3.06</v>
      </c>
      <c r="T717">
        <f>Table1[[#This Row],[Total price]]-Table1[[#This Row],[Discount Amount]]</f>
        <v>12.239999999999998</v>
      </c>
      <c r="U717">
        <f t="shared" si="35"/>
        <v>73.44</v>
      </c>
    </row>
    <row r="718" spans="1:21">
      <c r="A718">
        <v>717</v>
      </c>
      <c r="B718" s="3" t="s">
        <v>2061</v>
      </c>
      <c r="C718" s="3" t="s">
        <v>2060</v>
      </c>
      <c r="D718" s="3" t="s">
        <v>2866</v>
      </c>
      <c r="E718" s="3" t="s">
        <v>3676</v>
      </c>
      <c r="F718" s="3">
        <v>255</v>
      </c>
      <c r="G718" s="4">
        <v>40878.489583333336</v>
      </c>
      <c r="H718" s="3">
        <v>4</v>
      </c>
      <c r="I718" s="5">
        <v>21</v>
      </c>
      <c r="J718" t="s">
        <v>53</v>
      </c>
      <c r="K718" t="s">
        <v>4497</v>
      </c>
      <c r="L718">
        <v>536425</v>
      </c>
      <c r="M718" s="2">
        <v>22646</v>
      </c>
      <c r="N718">
        <v>1.45</v>
      </c>
      <c r="O718" s="6">
        <v>12</v>
      </c>
      <c r="P718" s="3">
        <v>7.0000000000000007E-2</v>
      </c>
      <c r="Q718" t="s">
        <v>3</v>
      </c>
      <c r="R718" s="7">
        <f t="shared" si="33"/>
        <v>17.399999999999999</v>
      </c>
      <c r="S718" s="7">
        <f t="shared" si="34"/>
        <v>1.218</v>
      </c>
      <c r="T718">
        <f>Table1[[#This Row],[Total price]]-Table1[[#This Row],[Discount Amount]]</f>
        <v>16.181999999999999</v>
      </c>
      <c r="U718">
        <f t="shared" si="35"/>
        <v>194.18399999999997</v>
      </c>
    </row>
    <row r="719" spans="1:21">
      <c r="A719">
        <v>718</v>
      </c>
      <c r="B719" s="3" t="s">
        <v>2059</v>
      </c>
      <c r="C719" s="3" t="s">
        <v>2058</v>
      </c>
      <c r="D719" s="3" t="s">
        <v>2866</v>
      </c>
      <c r="E719" s="3" t="s">
        <v>3677</v>
      </c>
      <c r="F719" s="3">
        <v>256</v>
      </c>
      <c r="G719" s="4">
        <v>40878.489583333336</v>
      </c>
      <c r="H719" s="3">
        <v>4</v>
      </c>
      <c r="I719" s="5">
        <v>11</v>
      </c>
      <c r="J719" t="s">
        <v>55</v>
      </c>
      <c r="K719" t="s">
        <v>4497</v>
      </c>
      <c r="L719">
        <v>536425</v>
      </c>
      <c r="M719" s="2">
        <v>22644</v>
      </c>
      <c r="N719">
        <v>1.45</v>
      </c>
      <c r="O719" s="6">
        <v>12</v>
      </c>
      <c r="P719" s="3">
        <v>0.1</v>
      </c>
      <c r="Q719" t="s">
        <v>3</v>
      </c>
      <c r="R719" s="7">
        <f t="shared" si="33"/>
        <v>17.399999999999999</v>
      </c>
      <c r="S719" s="7">
        <f t="shared" si="34"/>
        <v>1.74</v>
      </c>
      <c r="T719">
        <f>Table1[[#This Row],[Total price]]-Table1[[#This Row],[Discount Amount]]</f>
        <v>15.659999999999998</v>
      </c>
      <c r="U719">
        <f t="shared" si="35"/>
        <v>187.92</v>
      </c>
    </row>
    <row r="720" spans="1:21">
      <c r="A720">
        <v>719</v>
      </c>
      <c r="B720" s="3" t="s">
        <v>2057</v>
      </c>
      <c r="C720" s="3" t="s">
        <v>2056</v>
      </c>
      <c r="D720" s="3" t="s">
        <v>2866</v>
      </c>
      <c r="E720" s="3" t="s">
        <v>3678</v>
      </c>
      <c r="F720" s="3">
        <v>256</v>
      </c>
      <c r="G720" s="4">
        <v>40878.489583333336</v>
      </c>
      <c r="H720" s="3">
        <v>4</v>
      </c>
      <c r="I720" s="5">
        <v>21</v>
      </c>
      <c r="J720" t="s">
        <v>54</v>
      </c>
      <c r="K720" t="s">
        <v>4497</v>
      </c>
      <c r="L720">
        <v>536425</v>
      </c>
      <c r="M720" s="2">
        <v>22645</v>
      </c>
      <c r="N720">
        <v>1.45</v>
      </c>
      <c r="O720" s="6">
        <v>12</v>
      </c>
      <c r="P720" s="3">
        <v>0.05</v>
      </c>
      <c r="Q720" t="s">
        <v>3</v>
      </c>
      <c r="R720" s="7">
        <f t="shared" si="33"/>
        <v>17.399999999999999</v>
      </c>
      <c r="S720" s="7">
        <f t="shared" si="34"/>
        <v>0.87</v>
      </c>
      <c r="T720">
        <f>Table1[[#This Row],[Total price]]-Table1[[#This Row],[Discount Amount]]</f>
        <v>16.529999999999998</v>
      </c>
      <c r="U720">
        <f t="shared" si="35"/>
        <v>198.35999999999996</v>
      </c>
    </row>
    <row r="721" spans="1:21">
      <c r="A721">
        <v>720</v>
      </c>
      <c r="B721" s="3" t="s">
        <v>1234</v>
      </c>
      <c r="C721" s="3" t="s">
        <v>2055</v>
      </c>
      <c r="D721" s="3" t="s">
        <v>3679</v>
      </c>
      <c r="E721" s="3" t="s">
        <v>3680</v>
      </c>
      <c r="F721" s="3">
        <v>257</v>
      </c>
      <c r="G721" s="4">
        <v>40878.489583333336</v>
      </c>
      <c r="H721" s="3">
        <v>4</v>
      </c>
      <c r="I721" s="5">
        <v>8</v>
      </c>
      <c r="J721" t="s">
        <v>180</v>
      </c>
      <c r="K721" t="s">
        <v>4497</v>
      </c>
      <c r="L721">
        <v>536425</v>
      </c>
      <c r="M721" s="2">
        <v>22650</v>
      </c>
      <c r="N721">
        <v>1.45</v>
      </c>
      <c r="O721" s="6">
        <v>12</v>
      </c>
      <c r="P721" s="3">
        <v>7.0000000000000007E-2</v>
      </c>
      <c r="Q721" t="s">
        <v>3</v>
      </c>
      <c r="R721" s="7">
        <f t="shared" si="33"/>
        <v>17.399999999999999</v>
      </c>
      <c r="S721" s="7">
        <f t="shared" si="34"/>
        <v>1.218</v>
      </c>
      <c r="T721">
        <f>Table1[[#This Row],[Total price]]-Table1[[#This Row],[Discount Amount]]</f>
        <v>16.181999999999999</v>
      </c>
      <c r="U721">
        <f t="shared" si="35"/>
        <v>194.18399999999997</v>
      </c>
    </row>
    <row r="722" spans="1:21">
      <c r="A722">
        <v>721</v>
      </c>
      <c r="B722" s="3" t="s">
        <v>1851</v>
      </c>
      <c r="C722" s="3" t="s">
        <v>2054</v>
      </c>
      <c r="D722" s="3" t="s">
        <v>2866</v>
      </c>
      <c r="E722" s="3" t="s">
        <v>3681</v>
      </c>
      <c r="F722" s="3">
        <v>257</v>
      </c>
      <c r="G722" s="4">
        <v>40878.489583333336</v>
      </c>
      <c r="H722" s="3">
        <v>4</v>
      </c>
      <c r="I722" s="5">
        <v>13</v>
      </c>
      <c r="J722" t="s">
        <v>263</v>
      </c>
      <c r="K722" t="s">
        <v>4497</v>
      </c>
      <c r="L722">
        <v>536425</v>
      </c>
      <c r="M722" s="2">
        <v>22508</v>
      </c>
      <c r="N722">
        <v>3.75</v>
      </c>
      <c r="O722" s="6">
        <v>8</v>
      </c>
      <c r="P722" s="3">
        <v>0.2</v>
      </c>
      <c r="Q722" t="s">
        <v>3</v>
      </c>
      <c r="R722" s="7">
        <f t="shared" si="33"/>
        <v>30</v>
      </c>
      <c r="S722" s="7">
        <f t="shared" si="34"/>
        <v>6</v>
      </c>
      <c r="T722">
        <f>Table1[[#This Row],[Total price]]-Table1[[#This Row],[Discount Amount]]</f>
        <v>24</v>
      </c>
      <c r="U722">
        <f t="shared" si="35"/>
        <v>192</v>
      </c>
    </row>
    <row r="723" spans="1:21">
      <c r="A723">
        <v>722</v>
      </c>
      <c r="B723" s="3" t="s">
        <v>2053</v>
      </c>
      <c r="C723" s="3" t="s">
        <v>2052</v>
      </c>
      <c r="D723" s="3" t="s">
        <v>3682</v>
      </c>
      <c r="E723" s="3" t="s">
        <v>3683</v>
      </c>
      <c r="F723" s="3">
        <v>257</v>
      </c>
      <c r="G723" s="4">
        <v>40878.489583333336</v>
      </c>
      <c r="H723" s="3">
        <v>4</v>
      </c>
      <c r="I723" s="5">
        <v>10</v>
      </c>
      <c r="J723" t="s">
        <v>114</v>
      </c>
      <c r="K723" t="s">
        <v>4497</v>
      </c>
      <c r="L723">
        <v>536425</v>
      </c>
      <c r="M723" s="2">
        <v>21411</v>
      </c>
      <c r="N723">
        <v>4.25</v>
      </c>
      <c r="O723" s="6">
        <v>3</v>
      </c>
      <c r="P723" s="3">
        <v>0.1</v>
      </c>
      <c r="Q723" t="s">
        <v>3</v>
      </c>
      <c r="R723" s="7">
        <f t="shared" si="33"/>
        <v>12.75</v>
      </c>
      <c r="S723" s="7">
        <f t="shared" si="34"/>
        <v>1.2750000000000001</v>
      </c>
      <c r="T723">
        <f>Table1[[#This Row],[Total price]]-Table1[[#This Row],[Discount Amount]]</f>
        <v>11.475</v>
      </c>
      <c r="U723">
        <f t="shared" si="35"/>
        <v>34.424999999999997</v>
      </c>
    </row>
    <row r="724" spans="1:21">
      <c r="A724">
        <v>723</v>
      </c>
      <c r="B724" s="3" t="s">
        <v>2051</v>
      </c>
      <c r="C724" s="3" t="s">
        <v>2050</v>
      </c>
      <c r="D724" s="3" t="s">
        <v>2866</v>
      </c>
      <c r="E724" s="3" t="s">
        <v>3684</v>
      </c>
      <c r="F724" s="3">
        <v>257</v>
      </c>
      <c r="G724" s="4">
        <v>40878.489583333336</v>
      </c>
      <c r="H724" s="3">
        <v>4</v>
      </c>
      <c r="I724" s="5">
        <v>15</v>
      </c>
      <c r="J724" t="s">
        <v>837</v>
      </c>
      <c r="K724" t="s">
        <v>4497</v>
      </c>
      <c r="L724">
        <v>536425</v>
      </c>
      <c r="M724" s="2">
        <v>22511</v>
      </c>
      <c r="N724">
        <v>3.75</v>
      </c>
      <c r="O724" s="6">
        <v>4</v>
      </c>
      <c r="P724" s="3">
        <v>0.1</v>
      </c>
      <c r="Q724" t="s">
        <v>3</v>
      </c>
      <c r="R724" s="7">
        <f t="shared" si="33"/>
        <v>15</v>
      </c>
      <c r="S724" s="7">
        <f t="shared" si="34"/>
        <v>1.5</v>
      </c>
      <c r="T724">
        <f>Table1[[#This Row],[Total price]]-Table1[[#This Row],[Discount Amount]]</f>
        <v>13.5</v>
      </c>
      <c r="U724">
        <f t="shared" si="35"/>
        <v>54</v>
      </c>
    </row>
    <row r="725" spans="1:21">
      <c r="A725">
        <v>724</v>
      </c>
      <c r="B725" s="3" t="s">
        <v>2049</v>
      </c>
      <c r="C725" s="3" t="s">
        <v>1368</v>
      </c>
      <c r="D725" s="3" t="s">
        <v>2866</v>
      </c>
      <c r="E725" s="3" t="s">
        <v>3685</v>
      </c>
      <c r="F725" s="3">
        <v>258</v>
      </c>
      <c r="G725" s="4">
        <v>40878.489583333336</v>
      </c>
      <c r="H725" s="3">
        <v>4</v>
      </c>
      <c r="I725" s="5">
        <v>8</v>
      </c>
      <c r="J725" t="s">
        <v>714</v>
      </c>
      <c r="K725" t="s">
        <v>4497</v>
      </c>
      <c r="L725">
        <v>536425</v>
      </c>
      <c r="M725" s="2">
        <v>22451</v>
      </c>
      <c r="N725">
        <v>3.35</v>
      </c>
      <c r="O725" s="6">
        <v>6</v>
      </c>
      <c r="P725" s="3">
        <v>0.05</v>
      </c>
      <c r="Q725" t="s">
        <v>3</v>
      </c>
      <c r="R725" s="7">
        <f t="shared" si="33"/>
        <v>20.100000000000001</v>
      </c>
      <c r="S725" s="7">
        <f t="shared" si="34"/>
        <v>1.0050000000000001</v>
      </c>
      <c r="T725">
        <f>Table1[[#This Row],[Total price]]-Table1[[#This Row],[Discount Amount]]</f>
        <v>19.095000000000002</v>
      </c>
      <c r="U725">
        <f t="shared" si="35"/>
        <v>114.57000000000002</v>
      </c>
    </row>
    <row r="726" spans="1:21">
      <c r="A726">
        <v>725</v>
      </c>
      <c r="B726" s="3" t="s">
        <v>927</v>
      </c>
      <c r="C726" s="3" t="s">
        <v>2048</v>
      </c>
      <c r="D726" s="3" t="s">
        <v>2866</v>
      </c>
      <c r="E726" s="3" t="s">
        <v>3686</v>
      </c>
      <c r="F726" s="3">
        <v>258</v>
      </c>
      <c r="G726" s="4">
        <v>40878.489583333336</v>
      </c>
      <c r="H726" s="3">
        <v>4</v>
      </c>
      <c r="I726" s="5">
        <v>4</v>
      </c>
      <c r="J726" t="s">
        <v>253</v>
      </c>
      <c r="K726" t="s">
        <v>4497</v>
      </c>
      <c r="L726">
        <v>536425</v>
      </c>
      <c r="M726" s="2">
        <v>22449</v>
      </c>
      <c r="N726">
        <v>3.35</v>
      </c>
      <c r="O726" s="6">
        <v>6</v>
      </c>
      <c r="P726" s="3">
        <v>7.0000000000000007E-2</v>
      </c>
      <c r="Q726" t="s">
        <v>3</v>
      </c>
      <c r="R726" s="7">
        <f t="shared" si="33"/>
        <v>20.100000000000001</v>
      </c>
      <c r="S726" s="7">
        <f t="shared" si="34"/>
        <v>1.4070000000000003</v>
      </c>
      <c r="T726">
        <f>Table1[[#This Row],[Total price]]-Table1[[#This Row],[Discount Amount]]</f>
        <v>18.693000000000001</v>
      </c>
      <c r="U726">
        <f t="shared" si="35"/>
        <v>112.15800000000002</v>
      </c>
    </row>
    <row r="727" spans="1:21">
      <c r="A727">
        <v>726</v>
      </c>
      <c r="B727" s="3" t="s">
        <v>2047</v>
      </c>
      <c r="C727" s="3" t="s">
        <v>1316</v>
      </c>
      <c r="D727" s="3" t="s">
        <v>2866</v>
      </c>
      <c r="E727" s="3" t="s">
        <v>3687</v>
      </c>
      <c r="F727" s="3">
        <v>258</v>
      </c>
      <c r="G727" s="4">
        <v>40878.489583333336</v>
      </c>
      <c r="H727" s="3">
        <v>4</v>
      </c>
      <c r="I727" s="5">
        <v>19</v>
      </c>
      <c r="J727" t="s">
        <v>205</v>
      </c>
      <c r="K727" t="s">
        <v>4497</v>
      </c>
      <c r="L727">
        <v>536425</v>
      </c>
      <c r="M727" s="2">
        <v>22768</v>
      </c>
      <c r="N727">
        <v>9.9499999999999993</v>
      </c>
      <c r="O727" s="6">
        <v>2</v>
      </c>
      <c r="P727" s="3">
        <v>7.0000000000000007E-2</v>
      </c>
      <c r="Q727" t="s">
        <v>3</v>
      </c>
      <c r="R727" s="7">
        <f t="shared" si="33"/>
        <v>19.899999999999999</v>
      </c>
      <c r="S727" s="7">
        <f t="shared" si="34"/>
        <v>1.393</v>
      </c>
      <c r="T727">
        <f>Table1[[#This Row],[Total price]]-Table1[[#This Row],[Discount Amount]]</f>
        <v>18.506999999999998</v>
      </c>
      <c r="U727">
        <f t="shared" si="35"/>
        <v>37.013999999999996</v>
      </c>
    </row>
    <row r="728" spans="1:21">
      <c r="A728">
        <v>727</v>
      </c>
      <c r="B728" s="3" t="s">
        <v>2046</v>
      </c>
      <c r="C728" s="3" t="s">
        <v>2045</v>
      </c>
      <c r="D728" s="3" t="s">
        <v>2866</v>
      </c>
      <c r="E728" s="3" t="s">
        <v>3688</v>
      </c>
      <c r="F728" s="3">
        <v>258</v>
      </c>
      <c r="G728" s="4">
        <v>40878.489583333336</v>
      </c>
      <c r="H728" s="3">
        <v>4</v>
      </c>
      <c r="I728" s="5">
        <v>18</v>
      </c>
      <c r="J728" t="s">
        <v>847</v>
      </c>
      <c r="K728" t="s">
        <v>4497</v>
      </c>
      <c r="L728">
        <v>536425</v>
      </c>
      <c r="M728" s="2">
        <v>22829</v>
      </c>
      <c r="N728">
        <v>9.9499999999999993</v>
      </c>
      <c r="O728" s="6">
        <v>2</v>
      </c>
      <c r="P728" s="3">
        <v>0.05</v>
      </c>
      <c r="Q728" t="s">
        <v>3</v>
      </c>
      <c r="R728" s="7">
        <f t="shared" si="33"/>
        <v>19.899999999999999</v>
      </c>
      <c r="S728" s="7">
        <f t="shared" si="34"/>
        <v>0.995</v>
      </c>
      <c r="T728">
        <f>Table1[[#This Row],[Total price]]-Table1[[#This Row],[Discount Amount]]</f>
        <v>18.904999999999998</v>
      </c>
      <c r="U728">
        <f t="shared" si="35"/>
        <v>37.809999999999995</v>
      </c>
    </row>
    <row r="729" spans="1:21">
      <c r="A729">
        <v>728</v>
      </c>
      <c r="B729" s="3" t="s">
        <v>2044</v>
      </c>
      <c r="C729" s="3" t="s">
        <v>1200</v>
      </c>
      <c r="D729" s="3" t="s">
        <v>2866</v>
      </c>
      <c r="E729" s="3" t="s">
        <v>3689</v>
      </c>
      <c r="F729" s="3">
        <v>259</v>
      </c>
      <c r="G729" s="4">
        <v>40878.489583333336</v>
      </c>
      <c r="H729" s="3">
        <v>4</v>
      </c>
      <c r="I729" s="5">
        <v>26</v>
      </c>
      <c r="J729" t="s">
        <v>876</v>
      </c>
      <c r="K729" t="s">
        <v>4497</v>
      </c>
      <c r="L729">
        <v>536425</v>
      </c>
      <c r="M729" s="2">
        <v>22961</v>
      </c>
      <c r="N729">
        <v>1.45</v>
      </c>
      <c r="O729" s="6">
        <v>12</v>
      </c>
      <c r="P729" s="3">
        <v>0.05</v>
      </c>
      <c r="Q729" t="s">
        <v>3</v>
      </c>
      <c r="R729" s="7">
        <f t="shared" si="33"/>
        <v>17.399999999999999</v>
      </c>
      <c r="S729" s="7">
        <f t="shared" si="34"/>
        <v>0.87</v>
      </c>
      <c r="T729">
        <f>Table1[[#This Row],[Total price]]-Table1[[#This Row],[Discount Amount]]</f>
        <v>16.529999999999998</v>
      </c>
      <c r="U729">
        <f t="shared" si="35"/>
        <v>198.35999999999996</v>
      </c>
    </row>
    <row r="730" spans="1:21">
      <c r="A730">
        <v>729</v>
      </c>
      <c r="B730" s="3" t="s">
        <v>2011</v>
      </c>
      <c r="C730" s="3" t="s">
        <v>2043</v>
      </c>
      <c r="D730" s="3" t="s">
        <v>2866</v>
      </c>
      <c r="E730" s="3" t="s">
        <v>3690</v>
      </c>
      <c r="F730" s="3">
        <v>259</v>
      </c>
      <c r="G730" s="4">
        <v>40878.489583333336</v>
      </c>
      <c r="H730" s="3">
        <v>4</v>
      </c>
      <c r="I730" s="5">
        <v>6</v>
      </c>
      <c r="J730" t="s">
        <v>502</v>
      </c>
      <c r="K730" t="s">
        <v>4497</v>
      </c>
      <c r="L730">
        <v>536437</v>
      </c>
      <c r="M730" s="2">
        <v>21154</v>
      </c>
      <c r="N730">
        <v>1.06</v>
      </c>
      <c r="O730" s="6">
        <v>200</v>
      </c>
      <c r="P730" s="3">
        <v>0.1</v>
      </c>
      <c r="Q730" t="s">
        <v>3</v>
      </c>
      <c r="R730" s="7">
        <f t="shared" si="33"/>
        <v>212</v>
      </c>
      <c r="S730" s="7">
        <f t="shared" si="34"/>
        <v>21.200000000000003</v>
      </c>
      <c r="T730">
        <f>Table1[[#This Row],[Total price]]-Table1[[#This Row],[Discount Amount]]</f>
        <v>190.8</v>
      </c>
      <c r="U730">
        <f t="shared" si="35"/>
        <v>38160</v>
      </c>
    </row>
    <row r="731" spans="1:21">
      <c r="A731">
        <v>730</v>
      </c>
      <c r="B731" s="3" t="s">
        <v>2042</v>
      </c>
      <c r="C731" s="3" t="s">
        <v>1758</v>
      </c>
      <c r="D731" s="3" t="s">
        <v>2866</v>
      </c>
      <c r="E731" s="3" t="s">
        <v>3691</v>
      </c>
      <c r="F731" s="3">
        <v>259</v>
      </c>
      <c r="G731" s="4">
        <v>40878.489583333336</v>
      </c>
      <c r="H731" s="3">
        <v>4</v>
      </c>
      <c r="I731" s="5">
        <v>2</v>
      </c>
      <c r="J731" t="s">
        <v>269</v>
      </c>
      <c r="K731" t="s">
        <v>4497</v>
      </c>
      <c r="L731">
        <v>536437</v>
      </c>
      <c r="M731" s="2">
        <v>22189</v>
      </c>
      <c r="N731">
        <v>3.39</v>
      </c>
      <c r="O731" s="6">
        <v>72</v>
      </c>
      <c r="P731" s="3">
        <v>0.2</v>
      </c>
      <c r="Q731" t="s">
        <v>3</v>
      </c>
      <c r="R731" s="7">
        <f t="shared" si="33"/>
        <v>244.08</v>
      </c>
      <c r="S731" s="7">
        <f t="shared" si="34"/>
        <v>48.816000000000003</v>
      </c>
      <c r="T731">
        <f>Table1[[#This Row],[Total price]]-Table1[[#This Row],[Discount Amount]]</f>
        <v>195.26400000000001</v>
      </c>
      <c r="U731">
        <f t="shared" si="35"/>
        <v>14059.008000000002</v>
      </c>
    </row>
    <row r="732" spans="1:21">
      <c r="A732">
        <v>731</v>
      </c>
      <c r="B732" s="3" t="s">
        <v>2041</v>
      </c>
      <c r="C732" s="3" t="s">
        <v>2040</v>
      </c>
      <c r="D732" s="3" t="s">
        <v>3692</v>
      </c>
      <c r="E732" s="3" t="s">
        <v>3693</v>
      </c>
      <c r="F732" s="3">
        <v>259</v>
      </c>
      <c r="G732" s="4">
        <v>40878.489583333336</v>
      </c>
      <c r="H732" s="3">
        <v>4</v>
      </c>
      <c r="I732" s="5">
        <v>4</v>
      </c>
      <c r="J732" t="s">
        <v>797</v>
      </c>
      <c r="K732" t="s">
        <v>4497</v>
      </c>
      <c r="L732">
        <v>536437</v>
      </c>
      <c r="M732" s="2">
        <v>17021</v>
      </c>
      <c r="N732">
        <v>0.24</v>
      </c>
      <c r="O732" s="6">
        <v>600</v>
      </c>
      <c r="P732" s="3">
        <v>0.1</v>
      </c>
      <c r="Q732" t="s">
        <v>3</v>
      </c>
      <c r="R732" s="7">
        <f t="shared" si="33"/>
        <v>144</v>
      </c>
      <c r="S732" s="7">
        <f t="shared" si="34"/>
        <v>14.4</v>
      </c>
      <c r="T732">
        <f>Table1[[#This Row],[Total price]]-Table1[[#This Row],[Discount Amount]]</f>
        <v>129.6</v>
      </c>
      <c r="U732">
        <f t="shared" si="35"/>
        <v>77760</v>
      </c>
    </row>
    <row r="733" spans="1:21">
      <c r="A733">
        <v>732</v>
      </c>
      <c r="B733" s="3" t="s">
        <v>2039</v>
      </c>
      <c r="C733" s="3" t="s">
        <v>1574</v>
      </c>
      <c r="D733" s="3" t="s">
        <v>2866</v>
      </c>
      <c r="E733" s="3" t="s">
        <v>3694</v>
      </c>
      <c r="F733" s="3">
        <v>260</v>
      </c>
      <c r="G733" s="4">
        <v>40878.489583333336</v>
      </c>
      <c r="H733" s="3">
        <v>4</v>
      </c>
      <c r="I733" s="5">
        <v>23</v>
      </c>
      <c r="J733" t="s">
        <v>763</v>
      </c>
      <c r="K733" t="s">
        <v>4497</v>
      </c>
      <c r="L733">
        <v>536437</v>
      </c>
      <c r="M733" s="2">
        <v>22059</v>
      </c>
      <c r="N733">
        <v>1.25</v>
      </c>
      <c r="O733" s="6">
        <v>48</v>
      </c>
      <c r="P733" s="3">
        <v>0.2</v>
      </c>
      <c r="Q733" t="s">
        <v>3</v>
      </c>
      <c r="R733" s="7">
        <f t="shared" si="33"/>
        <v>60</v>
      </c>
      <c r="S733" s="7">
        <f t="shared" si="34"/>
        <v>12</v>
      </c>
      <c r="T733">
        <f>Table1[[#This Row],[Total price]]-Table1[[#This Row],[Discount Amount]]</f>
        <v>48</v>
      </c>
      <c r="U733">
        <f t="shared" si="35"/>
        <v>2304</v>
      </c>
    </row>
    <row r="734" spans="1:21">
      <c r="A734">
        <v>733</v>
      </c>
      <c r="B734" s="3" t="s">
        <v>2038</v>
      </c>
      <c r="C734" s="3" t="s">
        <v>1589</v>
      </c>
      <c r="D734" s="3" t="s">
        <v>2866</v>
      </c>
      <c r="E734" s="3" t="s">
        <v>3695</v>
      </c>
      <c r="F734" s="3">
        <v>260</v>
      </c>
      <c r="G734" s="4">
        <v>40878.489583333336</v>
      </c>
      <c r="H734" s="3">
        <v>4</v>
      </c>
      <c r="I734" s="5">
        <v>10</v>
      </c>
      <c r="J734" t="s">
        <v>149</v>
      </c>
      <c r="K734" t="s">
        <v>4497</v>
      </c>
      <c r="L734">
        <v>536437</v>
      </c>
      <c r="M734" s="2">
        <v>22188</v>
      </c>
      <c r="N734">
        <v>3.39</v>
      </c>
      <c r="O734" s="6">
        <v>36</v>
      </c>
      <c r="P734" s="3">
        <v>0.2</v>
      </c>
      <c r="Q734" t="s">
        <v>3</v>
      </c>
      <c r="R734" s="7">
        <f t="shared" si="33"/>
        <v>122.04</v>
      </c>
      <c r="S734" s="7">
        <f t="shared" si="34"/>
        <v>24.408000000000001</v>
      </c>
      <c r="T734">
        <f>Table1[[#This Row],[Total price]]-Table1[[#This Row],[Discount Amount]]</f>
        <v>97.632000000000005</v>
      </c>
      <c r="U734">
        <f t="shared" si="35"/>
        <v>3514.7520000000004</v>
      </c>
    </row>
    <row r="735" spans="1:21">
      <c r="A735">
        <v>734</v>
      </c>
      <c r="B735" s="3" t="s">
        <v>2037</v>
      </c>
      <c r="C735" s="3" t="s">
        <v>2036</v>
      </c>
      <c r="D735" s="3" t="s">
        <v>2866</v>
      </c>
      <c r="E735" s="3" t="s">
        <v>3696</v>
      </c>
      <c r="F735" s="3">
        <v>260</v>
      </c>
      <c r="G735" s="4">
        <v>40878.489583333336</v>
      </c>
      <c r="H735" s="3">
        <v>4</v>
      </c>
      <c r="I735" s="5">
        <v>24</v>
      </c>
      <c r="J735" t="s">
        <v>755</v>
      </c>
      <c r="K735" t="s">
        <v>4497</v>
      </c>
      <c r="L735">
        <v>536437</v>
      </c>
      <c r="M735" s="2">
        <v>84678</v>
      </c>
      <c r="N735">
        <v>1.25</v>
      </c>
      <c r="O735" s="6">
        <v>48</v>
      </c>
      <c r="P735" s="3">
        <v>0.2</v>
      </c>
      <c r="Q735" t="s">
        <v>3</v>
      </c>
      <c r="R735" s="7">
        <f t="shared" si="33"/>
        <v>60</v>
      </c>
      <c r="S735" s="7">
        <f t="shared" si="34"/>
        <v>12</v>
      </c>
      <c r="T735">
        <f>Table1[[#This Row],[Total price]]-Table1[[#This Row],[Discount Amount]]</f>
        <v>48</v>
      </c>
      <c r="U735">
        <f t="shared" si="35"/>
        <v>2304</v>
      </c>
    </row>
    <row r="736" spans="1:21">
      <c r="A736">
        <v>735</v>
      </c>
      <c r="B736" s="3" t="s">
        <v>2035</v>
      </c>
      <c r="C736" s="3" t="s">
        <v>1662</v>
      </c>
      <c r="D736" s="3" t="s">
        <v>2866</v>
      </c>
      <c r="E736" s="3" t="s">
        <v>3697</v>
      </c>
      <c r="F736" s="3">
        <v>261</v>
      </c>
      <c r="G736" s="4">
        <v>40878.489583333336</v>
      </c>
      <c r="H736" s="3">
        <v>3</v>
      </c>
      <c r="I736" s="5">
        <v>16</v>
      </c>
      <c r="J736" t="s">
        <v>541</v>
      </c>
      <c r="K736" t="s">
        <v>4497</v>
      </c>
      <c r="L736">
        <v>536446</v>
      </c>
      <c r="M736" s="2">
        <v>85172</v>
      </c>
      <c r="N736">
        <v>0.42</v>
      </c>
      <c r="O736" s="6">
        <v>32</v>
      </c>
      <c r="P736" s="3">
        <v>0.05</v>
      </c>
      <c r="Q736" t="s">
        <v>3</v>
      </c>
      <c r="R736" s="7">
        <f t="shared" si="33"/>
        <v>13.44</v>
      </c>
      <c r="S736" s="7">
        <f t="shared" si="34"/>
        <v>0.67200000000000004</v>
      </c>
      <c r="T736">
        <f>Table1[[#This Row],[Total price]]-Table1[[#This Row],[Discount Amount]]</f>
        <v>12.767999999999999</v>
      </c>
      <c r="U736">
        <f t="shared" si="35"/>
        <v>408.57599999999996</v>
      </c>
    </row>
    <row r="737" spans="1:21">
      <c r="A737">
        <v>736</v>
      </c>
      <c r="B737" s="3" t="s">
        <v>993</v>
      </c>
      <c r="C737" s="3" t="s">
        <v>2034</v>
      </c>
      <c r="D737" s="3" t="s">
        <v>2866</v>
      </c>
      <c r="E737" s="3" t="s">
        <v>3698</v>
      </c>
      <c r="F737" s="3">
        <v>261</v>
      </c>
      <c r="G737" s="4">
        <v>40878.489583333336</v>
      </c>
      <c r="H737" s="3">
        <v>4</v>
      </c>
      <c r="I737" s="5">
        <v>14</v>
      </c>
      <c r="J737" t="s">
        <v>717</v>
      </c>
      <c r="K737" t="s">
        <v>4497</v>
      </c>
      <c r="L737">
        <v>536446</v>
      </c>
      <c r="M737" s="2">
        <v>22142</v>
      </c>
      <c r="N737">
        <v>1.45</v>
      </c>
      <c r="O737" s="6">
        <v>2</v>
      </c>
      <c r="P737" s="3">
        <v>0.1</v>
      </c>
      <c r="Q737" t="s">
        <v>3</v>
      </c>
      <c r="R737" s="7">
        <f t="shared" si="33"/>
        <v>2.9</v>
      </c>
      <c r="S737" s="7">
        <f t="shared" si="34"/>
        <v>0.28999999999999998</v>
      </c>
      <c r="T737">
        <f>Table1[[#This Row],[Total price]]-Table1[[#This Row],[Discount Amount]]</f>
        <v>2.61</v>
      </c>
      <c r="U737">
        <f t="shared" si="35"/>
        <v>5.22</v>
      </c>
    </row>
    <row r="738" spans="1:21">
      <c r="A738">
        <v>737</v>
      </c>
      <c r="B738" s="3" t="s">
        <v>2033</v>
      </c>
      <c r="C738" s="3" t="s">
        <v>2032</v>
      </c>
      <c r="D738" s="3" t="s">
        <v>2866</v>
      </c>
      <c r="E738" s="3" t="s">
        <v>3699</v>
      </c>
      <c r="F738" s="3">
        <v>261</v>
      </c>
      <c r="G738" s="4">
        <v>40878.489583333336</v>
      </c>
      <c r="H738" s="3">
        <v>4</v>
      </c>
      <c r="I738" s="5">
        <v>17</v>
      </c>
      <c r="J738" t="s">
        <v>851</v>
      </c>
      <c r="K738" t="s">
        <v>4497</v>
      </c>
      <c r="L738">
        <v>536446</v>
      </c>
      <c r="M738" s="2">
        <v>22144</v>
      </c>
      <c r="N738">
        <v>2.1</v>
      </c>
      <c r="O738" s="6">
        <v>2</v>
      </c>
      <c r="P738" s="3">
        <v>0.1</v>
      </c>
      <c r="Q738" t="s">
        <v>3</v>
      </c>
      <c r="R738" s="7">
        <f t="shared" si="33"/>
        <v>4.2</v>
      </c>
      <c r="S738" s="7">
        <f t="shared" si="34"/>
        <v>0.42000000000000004</v>
      </c>
      <c r="T738">
        <f>Table1[[#This Row],[Total price]]-Table1[[#This Row],[Discount Amount]]</f>
        <v>3.7800000000000002</v>
      </c>
      <c r="U738">
        <f t="shared" si="35"/>
        <v>7.5600000000000005</v>
      </c>
    </row>
    <row r="739" spans="1:21">
      <c r="A739">
        <v>738</v>
      </c>
      <c r="B739" s="3" t="s">
        <v>2031</v>
      </c>
      <c r="C739" s="3" t="s">
        <v>932</v>
      </c>
      <c r="D739" s="3" t="s">
        <v>3700</v>
      </c>
      <c r="E739" s="3" t="s">
        <v>3701</v>
      </c>
      <c r="F739" s="3">
        <v>262</v>
      </c>
      <c r="G739" s="4">
        <v>40878.489583333336</v>
      </c>
      <c r="H739" s="3">
        <v>4</v>
      </c>
      <c r="I739" s="5">
        <v>2</v>
      </c>
      <c r="J739" t="s">
        <v>336</v>
      </c>
      <c r="K739" t="s">
        <v>4497</v>
      </c>
      <c r="L739">
        <v>536446</v>
      </c>
      <c r="M739" s="2">
        <v>21591</v>
      </c>
      <c r="N739">
        <v>1.25</v>
      </c>
      <c r="O739" s="6">
        <v>6</v>
      </c>
      <c r="P739" s="3">
        <v>7.0000000000000007E-2</v>
      </c>
      <c r="Q739" t="s">
        <v>3</v>
      </c>
      <c r="R739" s="7">
        <f t="shared" si="33"/>
        <v>7.5</v>
      </c>
      <c r="S739" s="7">
        <f t="shared" si="34"/>
        <v>0.52500000000000002</v>
      </c>
      <c r="T739">
        <f>Table1[[#This Row],[Total price]]-Table1[[#This Row],[Discount Amount]]</f>
        <v>6.9749999999999996</v>
      </c>
      <c r="U739">
        <f t="shared" si="35"/>
        <v>41.849999999999994</v>
      </c>
    </row>
    <row r="740" spans="1:21">
      <c r="A740">
        <v>739</v>
      </c>
      <c r="B740" s="3" t="s">
        <v>2030</v>
      </c>
      <c r="C740" s="3" t="s">
        <v>1387</v>
      </c>
      <c r="D740" s="3" t="s">
        <v>2866</v>
      </c>
      <c r="E740" s="3" t="s">
        <v>3702</v>
      </c>
      <c r="F740" s="3">
        <v>262</v>
      </c>
      <c r="G740" s="4">
        <v>40878.489583333336</v>
      </c>
      <c r="H740" s="3">
        <v>4</v>
      </c>
      <c r="I740" s="5">
        <v>9</v>
      </c>
      <c r="J740" t="s">
        <v>500</v>
      </c>
      <c r="K740" t="s">
        <v>4497</v>
      </c>
      <c r="L740">
        <v>536446</v>
      </c>
      <c r="M740" s="2">
        <v>22480</v>
      </c>
      <c r="N740">
        <v>1.25</v>
      </c>
      <c r="O740" s="6">
        <v>12</v>
      </c>
      <c r="P740" s="3">
        <v>0.05</v>
      </c>
      <c r="Q740" t="s">
        <v>3</v>
      </c>
      <c r="R740" s="7">
        <f t="shared" si="33"/>
        <v>15</v>
      </c>
      <c r="S740" s="7">
        <f t="shared" si="34"/>
        <v>0.75</v>
      </c>
      <c r="T740">
        <f>Table1[[#This Row],[Total price]]-Table1[[#This Row],[Discount Amount]]</f>
        <v>14.25</v>
      </c>
      <c r="U740">
        <f t="shared" si="35"/>
        <v>171</v>
      </c>
    </row>
    <row r="741" spans="1:21">
      <c r="A741">
        <v>740</v>
      </c>
      <c r="B741" s="3" t="s">
        <v>2029</v>
      </c>
      <c r="C741" s="3" t="s">
        <v>1102</v>
      </c>
      <c r="D741" s="3" t="s">
        <v>2866</v>
      </c>
      <c r="E741" s="3" t="s">
        <v>3703</v>
      </c>
      <c r="F741" s="3">
        <v>263</v>
      </c>
      <c r="G741" s="4">
        <v>40878.489583333336</v>
      </c>
      <c r="H741" s="3">
        <v>4</v>
      </c>
      <c r="I741" s="5">
        <v>9</v>
      </c>
      <c r="J741" t="s">
        <v>638</v>
      </c>
      <c r="K741" t="s">
        <v>4497</v>
      </c>
      <c r="L741">
        <v>536446</v>
      </c>
      <c r="M741" s="2">
        <v>22294</v>
      </c>
      <c r="N741">
        <v>1.25</v>
      </c>
      <c r="O741" s="6">
        <v>48</v>
      </c>
      <c r="P741" s="3">
        <v>7.0000000000000007E-2</v>
      </c>
      <c r="Q741" t="s">
        <v>3</v>
      </c>
      <c r="R741" s="7">
        <f t="shared" si="33"/>
        <v>60</v>
      </c>
      <c r="S741" s="7">
        <f t="shared" si="34"/>
        <v>4.2</v>
      </c>
      <c r="T741">
        <f>Table1[[#This Row],[Total price]]-Table1[[#This Row],[Discount Amount]]</f>
        <v>55.8</v>
      </c>
      <c r="U741">
        <f t="shared" si="35"/>
        <v>2678.3999999999996</v>
      </c>
    </row>
    <row r="742" spans="1:21">
      <c r="A742">
        <v>741</v>
      </c>
      <c r="B742" s="3" t="s">
        <v>2028</v>
      </c>
      <c r="C742" s="3" t="s">
        <v>948</v>
      </c>
      <c r="D742" s="3" t="s">
        <v>2866</v>
      </c>
      <c r="E742" s="3" t="s">
        <v>3704</v>
      </c>
      <c r="F742" s="3">
        <v>263</v>
      </c>
      <c r="G742" s="4">
        <v>40878.489583333336</v>
      </c>
      <c r="H742" s="3">
        <v>4</v>
      </c>
      <c r="I742" s="5">
        <v>3</v>
      </c>
      <c r="J742" t="s">
        <v>64</v>
      </c>
      <c r="K742" t="s">
        <v>4497</v>
      </c>
      <c r="L742">
        <v>536446</v>
      </c>
      <c r="M742" s="2">
        <v>21156</v>
      </c>
      <c r="N742">
        <v>1.95</v>
      </c>
      <c r="O742" s="6">
        <v>1</v>
      </c>
      <c r="P742" s="3">
        <v>0.2</v>
      </c>
      <c r="Q742" t="s">
        <v>3</v>
      </c>
      <c r="R742" s="7">
        <f t="shared" si="33"/>
        <v>1.95</v>
      </c>
      <c r="S742" s="7">
        <f t="shared" si="34"/>
        <v>0.39</v>
      </c>
      <c r="T742">
        <f>Table1[[#This Row],[Total price]]-Table1[[#This Row],[Discount Amount]]</f>
        <v>1.56</v>
      </c>
      <c r="U742">
        <f t="shared" si="35"/>
        <v>1.56</v>
      </c>
    </row>
    <row r="743" spans="1:21">
      <c r="A743">
        <v>742</v>
      </c>
      <c r="B743" s="3" t="s">
        <v>2027</v>
      </c>
      <c r="C743" s="3" t="s">
        <v>1044</v>
      </c>
      <c r="D743" s="3" t="s">
        <v>2866</v>
      </c>
      <c r="E743" s="3" t="s">
        <v>3705</v>
      </c>
      <c r="F743" s="3">
        <v>263</v>
      </c>
      <c r="G743" s="4">
        <v>40878.489583333336</v>
      </c>
      <c r="H743" s="3">
        <v>4</v>
      </c>
      <c r="I743" s="5">
        <v>2</v>
      </c>
      <c r="J743" t="s">
        <v>45</v>
      </c>
      <c r="K743" t="s">
        <v>4497</v>
      </c>
      <c r="L743">
        <v>536446</v>
      </c>
      <c r="M743" s="2">
        <v>10133</v>
      </c>
      <c r="N743">
        <v>0.85</v>
      </c>
      <c r="O743" s="6">
        <v>5</v>
      </c>
      <c r="P743" s="3">
        <v>0.05</v>
      </c>
      <c r="Q743" t="s">
        <v>3</v>
      </c>
      <c r="R743" s="7">
        <f t="shared" si="33"/>
        <v>4.25</v>
      </c>
      <c r="S743" s="7">
        <f t="shared" si="34"/>
        <v>0.21250000000000002</v>
      </c>
      <c r="T743">
        <f>Table1[[#This Row],[Total price]]-Table1[[#This Row],[Discount Amount]]</f>
        <v>4.0374999999999996</v>
      </c>
      <c r="U743">
        <f t="shared" si="35"/>
        <v>20.1875</v>
      </c>
    </row>
    <row r="744" spans="1:21">
      <c r="A744">
        <v>743</v>
      </c>
      <c r="B744" s="3" t="s">
        <v>2026</v>
      </c>
      <c r="C744" s="3" t="s">
        <v>1153</v>
      </c>
      <c r="D744" s="3" t="s">
        <v>2866</v>
      </c>
      <c r="E744" s="3" t="s">
        <v>3706</v>
      </c>
      <c r="F744" s="3">
        <v>264</v>
      </c>
      <c r="G744" s="4">
        <v>40878.489583333336</v>
      </c>
      <c r="H744" s="3">
        <v>4</v>
      </c>
      <c r="I744" s="5">
        <v>10</v>
      </c>
      <c r="J744" t="s">
        <v>124</v>
      </c>
      <c r="K744" t="s">
        <v>4497</v>
      </c>
      <c r="L744">
        <v>536446</v>
      </c>
      <c r="M744" s="2" t="s">
        <v>123</v>
      </c>
      <c r="N744">
        <v>2.5499999999999998</v>
      </c>
      <c r="O744" s="6">
        <v>6</v>
      </c>
      <c r="P744" s="3">
        <v>0.2</v>
      </c>
      <c r="Q744" t="s">
        <v>3</v>
      </c>
      <c r="R744" s="7">
        <f t="shared" si="33"/>
        <v>15.299999999999999</v>
      </c>
      <c r="S744" s="7">
        <f t="shared" si="34"/>
        <v>3.06</v>
      </c>
      <c r="T744">
        <f>Table1[[#This Row],[Total price]]-Table1[[#This Row],[Discount Amount]]</f>
        <v>12.239999999999998</v>
      </c>
      <c r="U744">
        <f t="shared" si="35"/>
        <v>73.44</v>
      </c>
    </row>
    <row r="745" spans="1:21">
      <c r="A745">
        <v>744</v>
      </c>
      <c r="B745" s="3" t="s">
        <v>2025</v>
      </c>
      <c r="C745" s="3" t="s">
        <v>2024</v>
      </c>
      <c r="D745" s="3" t="s">
        <v>2866</v>
      </c>
      <c r="E745" s="3" t="s">
        <v>3707</v>
      </c>
      <c r="F745" s="3">
        <v>264</v>
      </c>
      <c r="G745" s="4">
        <v>40878.489583333336</v>
      </c>
      <c r="H745" s="3">
        <v>4</v>
      </c>
      <c r="I745" s="5">
        <v>24</v>
      </c>
      <c r="J745" t="s">
        <v>638</v>
      </c>
      <c r="K745" t="s">
        <v>4497</v>
      </c>
      <c r="L745">
        <v>536446</v>
      </c>
      <c r="M745" s="2">
        <v>22294</v>
      </c>
      <c r="N745">
        <v>1.25</v>
      </c>
      <c r="O745" s="6">
        <v>24</v>
      </c>
      <c r="P745" s="3">
        <v>0.05</v>
      </c>
      <c r="Q745" t="s">
        <v>3</v>
      </c>
      <c r="R745" s="7">
        <f t="shared" si="33"/>
        <v>30</v>
      </c>
      <c r="S745" s="7">
        <f t="shared" si="34"/>
        <v>1.5</v>
      </c>
      <c r="T745">
        <f>Table1[[#This Row],[Total price]]-Table1[[#This Row],[Discount Amount]]</f>
        <v>28.5</v>
      </c>
      <c r="U745">
        <f t="shared" si="35"/>
        <v>684</v>
      </c>
    </row>
    <row r="746" spans="1:21">
      <c r="A746">
        <v>745</v>
      </c>
      <c r="B746" s="3" t="s">
        <v>2023</v>
      </c>
      <c r="C746" s="3" t="s">
        <v>1187</v>
      </c>
      <c r="D746" s="3" t="s">
        <v>2866</v>
      </c>
      <c r="E746" s="3" t="s">
        <v>3708</v>
      </c>
      <c r="F746" s="3">
        <v>264</v>
      </c>
      <c r="G746" s="4">
        <v>40878.489583333336</v>
      </c>
      <c r="H746" s="3">
        <v>4</v>
      </c>
      <c r="I746" s="5">
        <v>15</v>
      </c>
      <c r="J746" t="s">
        <v>229</v>
      </c>
      <c r="K746" t="s">
        <v>4497</v>
      </c>
      <c r="L746">
        <v>536446</v>
      </c>
      <c r="M746" s="2">
        <v>84836</v>
      </c>
      <c r="N746">
        <v>1.25</v>
      </c>
      <c r="O746" s="6">
        <v>12</v>
      </c>
      <c r="P746" s="3">
        <v>0.1</v>
      </c>
      <c r="Q746" t="s">
        <v>3</v>
      </c>
      <c r="R746" s="7">
        <f t="shared" si="33"/>
        <v>15</v>
      </c>
      <c r="S746" s="7">
        <f t="shared" si="34"/>
        <v>1.5</v>
      </c>
      <c r="T746">
        <f>Table1[[#This Row],[Total price]]-Table1[[#This Row],[Discount Amount]]</f>
        <v>13.5</v>
      </c>
      <c r="U746">
        <f t="shared" si="35"/>
        <v>162</v>
      </c>
    </row>
    <row r="747" spans="1:21">
      <c r="A747">
        <v>746</v>
      </c>
      <c r="B747" s="3" t="s">
        <v>2022</v>
      </c>
      <c r="C747" s="3" t="s">
        <v>2007</v>
      </c>
      <c r="D747" s="3" t="s">
        <v>2866</v>
      </c>
      <c r="E747" s="3" t="s">
        <v>3709</v>
      </c>
      <c r="F747" s="3">
        <v>264</v>
      </c>
      <c r="G747" s="4">
        <v>40878.489583333336</v>
      </c>
      <c r="H747" s="3">
        <v>4</v>
      </c>
      <c r="I747" s="5">
        <v>3</v>
      </c>
      <c r="J747" t="s">
        <v>801</v>
      </c>
      <c r="K747" t="s">
        <v>4497</v>
      </c>
      <c r="L747">
        <v>536446</v>
      </c>
      <c r="M747" s="2">
        <v>20774</v>
      </c>
      <c r="N747">
        <v>1.65</v>
      </c>
      <c r="O747" s="6">
        <v>2</v>
      </c>
      <c r="P747" s="3">
        <v>7.0000000000000007E-2</v>
      </c>
      <c r="Q747" t="s">
        <v>3</v>
      </c>
      <c r="R747" s="7">
        <f t="shared" si="33"/>
        <v>3.3</v>
      </c>
      <c r="S747" s="7">
        <f t="shared" si="34"/>
        <v>0.23100000000000001</v>
      </c>
      <c r="T747">
        <f>Table1[[#This Row],[Total price]]-Table1[[#This Row],[Discount Amount]]</f>
        <v>3.069</v>
      </c>
      <c r="U747">
        <f t="shared" si="35"/>
        <v>6.1379999999999999</v>
      </c>
    </row>
    <row r="748" spans="1:21">
      <c r="A748">
        <v>747</v>
      </c>
      <c r="B748" s="3" t="s">
        <v>2021</v>
      </c>
      <c r="C748" s="3" t="s">
        <v>2020</v>
      </c>
      <c r="D748" s="3" t="s">
        <v>2866</v>
      </c>
      <c r="E748" s="3" t="s">
        <v>3710</v>
      </c>
      <c r="F748" s="3">
        <v>265</v>
      </c>
      <c r="G748" s="4">
        <v>40878.489583333336</v>
      </c>
      <c r="H748" s="3">
        <v>4</v>
      </c>
      <c r="I748" s="5">
        <v>9</v>
      </c>
      <c r="J748" t="s">
        <v>620</v>
      </c>
      <c r="K748" t="s">
        <v>4497</v>
      </c>
      <c r="L748">
        <v>536446</v>
      </c>
      <c r="M748" s="2">
        <v>20773</v>
      </c>
      <c r="N748">
        <v>1.65</v>
      </c>
      <c r="O748" s="6">
        <v>2</v>
      </c>
      <c r="P748" s="3">
        <v>0.2</v>
      </c>
      <c r="Q748" t="s">
        <v>3</v>
      </c>
      <c r="R748" s="7">
        <f t="shared" si="33"/>
        <v>3.3</v>
      </c>
      <c r="S748" s="7">
        <f t="shared" si="34"/>
        <v>0.66</v>
      </c>
      <c r="T748">
        <f>Table1[[#This Row],[Total price]]-Table1[[#This Row],[Discount Amount]]</f>
        <v>2.6399999999999997</v>
      </c>
      <c r="U748">
        <f t="shared" si="35"/>
        <v>5.2799999999999994</v>
      </c>
    </row>
    <row r="749" spans="1:21">
      <c r="A749">
        <v>748</v>
      </c>
      <c r="B749" s="3" t="s">
        <v>2019</v>
      </c>
      <c r="C749" s="3" t="s">
        <v>1664</v>
      </c>
      <c r="D749" s="3" t="s">
        <v>2866</v>
      </c>
      <c r="E749" s="3" t="s">
        <v>3711</v>
      </c>
      <c r="F749" s="3">
        <v>266</v>
      </c>
      <c r="G749" s="4">
        <v>40878.489583333336</v>
      </c>
      <c r="H749" s="3">
        <v>4</v>
      </c>
      <c r="I749" s="5">
        <v>6</v>
      </c>
      <c r="J749" t="s">
        <v>765</v>
      </c>
      <c r="K749" t="s">
        <v>4497</v>
      </c>
      <c r="L749">
        <v>536446</v>
      </c>
      <c r="M749" s="2">
        <v>20777</v>
      </c>
      <c r="N749">
        <v>1.65</v>
      </c>
      <c r="O749" s="6">
        <v>2</v>
      </c>
      <c r="P749" s="3">
        <v>7.0000000000000007E-2</v>
      </c>
      <c r="Q749" t="s">
        <v>3</v>
      </c>
      <c r="R749" s="7">
        <f t="shared" si="33"/>
        <v>3.3</v>
      </c>
      <c r="S749" s="7">
        <f t="shared" si="34"/>
        <v>0.23100000000000001</v>
      </c>
      <c r="T749">
        <f>Table1[[#This Row],[Total price]]-Table1[[#This Row],[Discount Amount]]</f>
        <v>3.069</v>
      </c>
      <c r="U749">
        <f t="shared" si="35"/>
        <v>6.1379999999999999</v>
      </c>
    </row>
    <row r="750" spans="1:21">
      <c r="A750">
        <v>749</v>
      </c>
      <c r="B750" s="3" t="s">
        <v>2018</v>
      </c>
      <c r="C750" s="3" t="s">
        <v>2017</v>
      </c>
      <c r="D750" s="3" t="s">
        <v>2866</v>
      </c>
      <c r="E750" s="3" t="s">
        <v>3712</v>
      </c>
      <c r="F750" s="3">
        <v>266</v>
      </c>
      <c r="G750" s="4">
        <v>40878.489583333336</v>
      </c>
      <c r="H750" s="3">
        <v>4</v>
      </c>
      <c r="I750" s="5">
        <v>19</v>
      </c>
      <c r="J750" t="s">
        <v>777</v>
      </c>
      <c r="K750" t="s">
        <v>4497</v>
      </c>
      <c r="L750">
        <v>536446</v>
      </c>
      <c r="M750" s="2">
        <v>16016</v>
      </c>
      <c r="N750">
        <v>0.85</v>
      </c>
      <c r="O750" s="6">
        <v>10</v>
      </c>
      <c r="P750" s="3">
        <v>0.2</v>
      </c>
      <c r="Q750" t="s">
        <v>3</v>
      </c>
      <c r="R750" s="7">
        <f t="shared" si="33"/>
        <v>8.5</v>
      </c>
      <c r="S750" s="7">
        <f t="shared" si="34"/>
        <v>1.7000000000000002</v>
      </c>
      <c r="T750">
        <f>Table1[[#This Row],[Total price]]-Table1[[#This Row],[Discount Amount]]</f>
        <v>6.8</v>
      </c>
      <c r="U750">
        <f t="shared" si="35"/>
        <v>68</v>
      </c>
    </row>
    <row r="751" spans="1:21">
      <c r="A751">
        <v>750</v>
      </c>
      <c r="B751" s="3" t="s">
        <v>2016</v>
      </c>
      <c r="C751" s="3" t="s">
        <v>1673</v>
      </c>
      <c r="D751" s="3" t="s">
        <v>2866</v>
      </c>
      <c r="E751" s="3" t="s">
        <v>3713</v>
      </c>
      <c r="F751" s="3">
        <v>266</v>
      </c>
      <c r="G751" s="4">
        <v>40878.489583333336</v>
      </c>
      <c r="H751" s="3">
        <v>4</v>
      </c>
      <c r="I751" s="5">
        <v>25</v>
      </c>
      <c r="J751" t="s">
        <v>662</v>
      </c>
      <c r="K751" t="s">
        <v>4497</v>
      </c>
      <c r="L751">
        <v>536446</v>
      </c>
      <c r="M751" s="2">
        <v>16014</v>
      </c>
      <c r="N751">
        <v>0.42</v>
      </c>
      <c r="O751" s="6">
        <v>10</v>
      </c>
      <c r="P751" s="3">
        <v>0.05</v>
      </c>
      <c r="Q751" t="s">
        <v>3</v>
      </c>
      <c r="R751" s="7">
        <f t="shared" si="33"/>
        <v>4.2</v>
      </c>
      <c r="S751" s="7">
        <f t="shared" si="34"/>
        <v>0.21000000000000002</v>
      </c>
      <c r="T751">
        <f>Table1[[#This Row],[Total price]]-Table1[[#This Row],[Discount Amount]]</f>
        <v>3.99</v>
      </c>
      <c r="U751">
        <f t="shared" si="35"/>
        <v>39.900000000000006</v>
      </c>
    </row>
    <row r="752" spans="1:21">
      <c r="A752">
        <v>751</v>
      </c>
      <c r="B752" s="3" t="s">
        <v>2015</v>
      </c>
      <c r="C752" s="3" t="s">
        <v>2014</v>
      </c>
      <c r="D752" s="3" t="s">
        <v>2866</v>
      </c>
      <c r="E752" s="3" t="s">
        <v>3714</v>
      </c>
      <c r="F752" s="3">
        <v>267</v>
      </c>
      <c r="G752" s="4">
        <v>40878.489583333336</v>
      </c>
      <c r="H752" s="3">
        <v>4</v>
      </c>
      <c r="I752" s="5">
        <v>22</v>
      </c>
      <c r="J752" t="s">
        <v>284</v>
      </c>
      <c r="K752" t="s">
        <v>4497</v>
      </c>
      <c r="L752">
        <v>536446</v>
      </c>
      <c r="M752" s="2">
        <v>21890</v>
      </c>
      <c r="N752">
        <v>2.95</v>
      </c>
      <c r="O752" s="6">
        <v>2</v>
      </c>
      <c r="P752" s="3">
        <v>0.2</v>
      </c>
      <c r="Q752" t="s">
        <v>3</v>
      </c>
      <c r="R752" s="7">
        <f t="shared" si="33"/>
        <v>5.9</v>
      </c>
      <c r="S752" s="7">
        <f t="shared" si="34"/>
        <v>1.1800000000000002</v>
      </c>
      <c r="T752">
        <f>Table1[[#This Row],[Total price]]-Table1[[#This Row],[Discount Amount]]</f>
        <v>4.7200000000000006</v>
      </c>
      <c r="U752">
        <f t="shared" si="35"/>
        <v>9.4400000000000013</v>
      </c>
    </row>
    <row r="753" spans="1:21">
      <c r="A753">
        <v>752</v>
      </c>
      <c r="B753" s="3" t="s">
        <v>1000</v>
      </c>
      <c r="C753" s="3" t="s">
        <v>951</v>
      </c>
      <c r="D753" s="3" t="s">
        <v>2866</v>
      </c>
      <c r="E753" s="3" t="s">
        <v>3715</v>
      </c>
      <c r="F753" s="3">
        <v>267</v>
      </c>
      <c r="G753" s="4">
        <v>40878.489583333336</v>
      </c>
      <c r="H753" s="3">
        <v>4</v>
      </c>
      <c r="I753" s="5">
        <v>23</v>
      </c>
      <c r="J753" t="s">
        <v>329</v>
      </c>
      <c r="K753" t="s">
        <v>4497</v>
      </c>
      <c r="L753">
        <v>536446</v>
      </c>
      <c r="M753" s="2">
        <v>21891</v>
      </c>
      <c r="N753">
        <v>1.25</v>
      </c>
      <c r="O753" s="6">
        <v>2</v>
      </c>
      <c r="P753" s="3">
        <v>0.1</v>
      </c>
      <c r="Q753" t="s">
        <v>3</v>
      </c>
      <c r="R753" s="7">
        <f t="shared" si="33"/>
        <v>2.5</v>
      </c>
      <c r="S753" s="7">
        <f t="shared" si="34"/>
        <v>0.25</v>
      </c>
      <c r="T753">
        <f>Table1[[#This Row],[Total price]]-Table1[[#This Row],[Discount Amount]]</f>
        <v>2.25</v>
      </c>
      <c r="U753">
        <f t="shared" si="35"/>
        <v>4.5</v>
      </c>
    </row>
    <row r="754" spans="1:21">
      <c r="A754">
        <v>753</v>
      </c>
      <c r="B754" s="3" t="s">
        <v>2013</v>
      </c>
      <c r="C754" s="3" t="s">
        <v>2012</v>
      </c>
      <c r="D754" s="3" t="s">
        <v>2866</v>
      </c>
      <c r="E754" s="3" t="s">
        <v>3716</v>
      </c>
      <c r="F754" s="3">
        <v>267</v>
      </c>
      <c r="G754" s="4">
        <v>40878.489583333336</v>
      </c>
      <c r="H754" s="3">
        <v>4</v>
      </c>
      <c r="I754" s="5">
        <v>24</v>
      </c>
      <c r="J754" t="s">
        <v>170</v>
      </c>
      <c r="K754" t="s">
        <v>4497</v>
      </c>
      <c r="L754">
        <v>536446</v>
      </c>
      <c r="M754" s="2">
        <v>22619</v>
      </c>
      <c r="N754">
        <v>3.75</v>
      </c>
      <c r="O754" s="6">
        <v>8</v>
      </c>
      <c r="P754" s="3">
        <v>0.1</v>
      </c>
      <c r="Q754" t="s">
        <v>3</v>
      </c>
      <c r="R754" s="7">
        <f t="shared" si="33"/>
        <v>30</v>
      </c>
      <c r="S754" s="7">
        <f t="shared" si="34"/>
        <v>3</v>
      </c>
      <c r="T754">
        <f>Table1[[#This Row],[Total price]]-Table1[[#This Row],[Discount Amount]]</f>
        <v>27</v>
      </c>
      <c r="U754">
        <f t="shared" si="35"/>
        <v>216</v>
      </c>
    </row>
    <row r="755" spans="1:21">
      <c r="A755">
        <v>754</v>
      </c>
      <c r="B755" s="3" t="s">
        <v>2011</v>
      </c>
      <c r="C755" s="3" t="s">
        <v>1397</v>
      </c>
      <c r="D755" s="3" t="s">
        <v>2866</v>
      </c>
      <c r="E755" s="3" t="s">
        <v>3717</v>
      </c>
      <c r="F755" s="3">
        <v>267</v>
      </c>
      <c r="G755" s="4">
        <v>40878.489583333336</v>
      </c>
      <c r="H755" s="3">
        <v>4</v>
      </c>
      <c r="I755" s="5">
        <v>7</v>
      </c>
      <c r="J755" t="s">
        <v>43</v>
      </c>
      <c r="K755" t="s">
        <v>4497</v>
      </c>
      <c r="L755">
        <v>536446</v>
      </c>
      <c r="M755" s="2">
        <v>22620</v>
      </c>
      <c r="N755">
        <v>1.25</v>
      </c>
      <c r="O755" s="6">
        <v>6</v>
      </c>
      <c r="P755" s="3">
        <v>7.0000000000000007E-2</v>
      </c>
      <c r="Q755" t="s">
        <v>3</v>
      </c>
      <c r="R755" s="7">
        <f t="shared" si="33"/>
        <v>7.5</v>
      </c>
      <c r="S755" s="7">
        <f t="shared" si="34"/>
        <v>0.52500000000000002</v>
      </c>
      <c r="T755">
        <f>Table1[[#This Row],[Total price]]-Table1[[#This Row],[Discount Amount]]</f>
        <v>6.9749999999999996</v>
      </c>
      <c r="U755">
        <f t="shared" si="35"/>
        <v>41.849999999999994</v>
      </c>
    </row>
    <row r="756" spans="1:21">
      <c r="A756">
        <v>755</v>
      </c>
      <c r="B756" s="3" t="s">
        <v>2010</v>
      </c>
      <c r="C756" s="3" t="s">
        <v>2009</v>
      </c>
      <c r="D756" s="3" t="s">
        <v>2866</v>
      </c>
      <c r="E756" s="3" t="s">
        <v>3718</v>
      </c>
      <c r="F756" s="3">
        <v>267</v>
      </c>
      <c r="G756" s="4">
        <v>40878.489583333336</v>
      </c>
      <c r="H756" s="3">
        <v>4</v>
      </c>
      <c r="I756" s="5">
        <v>21</v>
      </c>
      <c r="J756" t="s">
        <v>56</v>
      </c>
      <c r="K756" t="s">
        <v>4497</v>
      </c>
      <c r="L756">
        <v>536446</v>
      </c>
      <c r="M756" s="2">
        <v>84347</v>
      </c>
      <c r="N756">
        <v>2.5499999999999998</v>
      </c>
      <c r="O756" s="6">
        <v>12</v>
      </c>
      <c r="P756" s="3">
        <v>0.05</v>
      </c>
      <c r="Q756" t="s">
        <v>3</v>
      </c>
      <c r="R756" s="7">
        <f t="shared" si="33"/>
        <v>30.599999999999998</v>
      </c>
      <c r="S756" s="7">
        <f t="shared" si="34"/>
        <v>1.53</v>
      </c>
      <c r="T756">
        <f>Table1[[#This Row],[Total price]]-Table1[[#This Row],[Discount Amount]]</f>
        <v>29.069999999999997</v>
      </c>
      <c r="U756">
        <f t="shared" si="35"/>
        <v>348.84</v>
      </c>
    </row>
    <row r="757" spans="1:21">
      <c r="A757">
        <v>756</v>
      </c>
      <c r="B757" s="3" t="s">
        <v>1828</v>
      </c>
      <c r="C757" s="3" t="s">
        <v>2008</v>
      </c>
      <c r="D757" s="3" t="s">
        <v>2866</v>
      </c>
      <c r="E757" s="3" t="s">
        <v>3719</v>
      </c>
      <c r="F757" s="3">
        <v>268</v>
      </c>
      <c r="G757" s="4">
        <v>40878.489583333336</v>
      </c>
      <c r="H757" s="3">
        <v>4</v>
      </c>
      <c r="I757" s="5">
        <v>7</v>
      </c>
      <c r="J757" t="s">
        <v>681</v>
      </c>
      <c r="K757" t="s">
        <v>4497</v>
      </c>
      <c r="L757">
        <v>536446</v>
      </c>
      <c r="M757" s="2" t="s">
        <v>680</v>
      </c>
      <c r="N757">
        <v>1.25</v>
      </c>
      <c r="O757" s="6">
        <v>24</v>
      </c>
      <c r="P757" s="3">
        <v>0.05</v>
      </c>
      <c r="Q757" t="s">
        <v>3</v>
      </c>
      <c r="R757" s="7">
        <f t="shared" si="33"/>
        <v>30</v>
      </c>
      <c r="S757" s="7">
        <f t="shared" si="34"/>
        <v>1.5</v>
      </c>
      <c r="T757">
        <f>Table1[[#This Row],[Total price]]-Table1[[#This Row],[Discount Amount]]</f>
        <v>28.5</v>
      </c>
      <c r="U757">
        <f t="shared" si="35"/>
        <v>684</v>
      </c>
    </row>
    <row r="758" spans="1:21">
      <c r="A758">
        <v>757</v>
      </c>
      <c r="B758" s="3" t="s">
        <v>964</v>
      </c>
      <c r="C758" s="3" t="s">
        <v>2007</v>
      </c>
      <c r="D758" s="3" t="s">
        <v>2866</v>
      </c>
      <c r="E758" s="3" t="s">
        <v>3720</v>
      </c>
      <c r="F758" s="3">
        <v>268</v>
      </c>
      <c r="G758" s="4">
        <v>40878.489583333336</v>
      </c>
      <c r="H758" s="3">
        <v>4</v>
      </c>
      <c r="I758" s="5">
        <v>6</v>
      </c>
      <c r="J758" t="s">
        <v>64</v>
      </c>
      <c r="K758" t="s">
        <v>4497</v>
      </c>
      <c r="L758">
        <v>536446</v>
      </c>
      <c r="M758" s="2">
        <v>21156</v>
      </c>
      <c r="N758">
        <v>1.95</v>
      </c>
      <c r="O758" s="6">
        <v>3</v>
      </c>
      <c r="P758" s="3">
        <v>0.2</v>
      </c>
      <c r="Q758" t="s">
        <v>3</v>
      </c>
      <c r="R758" s="7">
        <f t="shared" si="33"/>
        <v>5.85</v>
      </c>
      <c r="S758" s="7">
        <f t="shared" si="34"/>
        <v>1.17</v>
      </c>
      <c r="T758">
        <f>Table1[[#This Row],[Total price]]-Table1[[#This Row],[Discount Amount]]</f>
        <v>4.68</v>
      </c>
      <c r="U758">
        <f t="shared" si="35"/>
        <v>14.04</v>
      </c>
    </row>
    <row r="759" spans="1:21">
      <c r="A759">
        <v>758</v>
      </c>
      <c r="B759" s="3" t="s">
        <v>2006</v>
      </c>
      <c r="C759" s="3" t="s">
        <v>2005</v>
      </c>
      <c r="D759" s="3" t="s">
        <v>2866</v>
      </c>
      <c r="E759" s="3" t="s">
        <v>3721</v>
      </c>
      <c r="F759" s="3">
        <v>268</v>
      </c>
      <c r="G759" s="4">
        <v>40878.489583333336</v>
      </c>
      <c r="H759" s="3">
        <v>4</v>
      </c>
      <c r="I759" s="5">
        <v>9</v>
      </c>
      <c r="J759" t="s">
        <v>705</v>
      </c>
      <c r="K759" t="s">
        <v>4497</v>
      </c>
      <c r="L759">
        <v>536446</v>
      </c>
      <c r="M759" s="2">
        <v>21651</v>
      </c>
      <c r="N759">
        <v>1.65</v>
      </c>
      <c r="O759" s="6">
        <v>6</v>
      </c>
      <c r="P759" s="3">
        <v>0.1</v>
      </c>
      <c r="Q759" t="s">
        <v>3</v>
      </c>
      <c r="R759" s="7">
        <f t="shared" si="33"/>
        <v>9.8999999999999986</v>
      </c>
      <c r="S759" s="7">
        <f t="shared" si="34"/>
        <v>0.98999999999999988</v>
      </c>
      <c r="T759">
        <f>Table1[[#This Row],[Total price]]-Table1[[#This Row],[Discount Amount]]</f>
        <v>8.9099999999999984</v>
      </c>
      <c r="U759">
        <f t="shared" si="35"/>
        <v>53.459999999999994</v>
      </c>
    </row>
    <row r="760" spans="1:21">
      <c r="A760">
        <v>759</v>
      </c>
      <c r="B760" s="3" t="s">
        <v>2004</v>
      </c>
      <c r="C760" s="3" t="s">
        <v>2003</v>
      </c>
      <c r="D760" s="3" t="s">
        <v>3722</v>
      </c>
      <c r="E760" s="3" t="s">
        <v>3723</v>
      </c>
      <c r="F760" s="3">
        <v>269</v>
      </c>
      <c r="G760" s="4">
        <v>40878.489583333336</v>
      </c>
      <c r="H760" s="3">
        <v>4</v>
      </c>
      <c r="I760" s="5">
        <v>5</v>
      </c>
      <c r="J760" t="s">
        <v>705</v>
      </c>
      <c r="K760" t="s">
        <v>4497</v>
      </c>
      <c r="L760">
        <v>536446</v>
      </c>
      <c r="M760" s="2">
        <v>21651</v>
      </c>
      <c r="N760">
        <v>1.65</v>
      </c>
      <c r="O760" s="6">
        <v>6</v>
      </c>
      <c r="P760" s="3">
        <v>7.0000000000000007E-2</v>
      </c>
      <c r="Q760" t="s">
        <v>3</v>
      </c>
      <c r="R760" s="7">
        <f t="shared" si="33"/>
        <v>9.8999999999999986</v>
      </c>
      <c r="S760" s="7">
        <f t="shared" si="34"/>
        <v>0.69299999999999995</v>
      </c>
      <c r="T760">
        <f>Table1[[#This Row],[Total price]]-Table1[[#This Row],[Discount Amount]]</f>
        <v>9.206999999999999</v>
      </c>
      <c r="U760">
        <f t="shared" si="35"/>
        <v>55.24199999999999</v>
      </c>
    </row>
    <row r="761" spans="1:21">
      <c r="A761">
        <v>760</v>
      </c>
      <c r="B761" s="3" t="s">
        <v>2002</v>
      </c>
      <c r="C761" s="3" t="s">
        <v>1225</v>
      </c>
      <c r="D761" s="3" t="s">
        <v>2866</v>
      </c>
      <c r="E761" s="3" t="s">
        <v>3724</v>
      </c>
      <c r="F761" s="3">
        <v>269</v>
      </c>
      <c r="G761" s="4">
        <v>40878.489583333336</v>
      </c>
      <c r="H761" s="3">
        <v>4</v>
      </c>
      <c r="I761" s="5">
        <v>23</v>
      </c>
      <c r="J761" t="s">
        <v>796</v>
      </c>
      <c r="K761" t="s">
        <v>4497</v>
      </c>
      <c r="L761">
        <v>536446</v>
      </c>
      <c r="M761" s="2" t="s">
        <v>795</v>
      </c>
      <c r="N761">
        <v>2.95</v>
      </c>
      <c r="O761" s="6">
        <v>10</v>
      </c>
      <c r="P761" s="3">
        <v>7.0000000000000007E-2</v>
      </c>
      <c r="Q761" t="s">
        <v>3</v>
      </c>
      <c r="R761" s="7">
        <f t="shared" si="33"/>
        <v>29.5</v>
      </c>
      <c r="S761" s="7">
        <f t="shared" si="34"/>
        <v>2.0650000000000004</v>
      </c>
      <c r="T761">
        <f>Table1[[#This Row],[Total price]]-Table1[[#This Row],[Discount Amount]]</f>
        <v>27.434999999999999</v>
      </c>
      <c r="U761">
        <f t="shared" si="35"/>
        <v>274.34999999999997</v>
      </c>
    </row>
    <row r="762" spans="1:21">
      <c r="A762">
        <v>761</v>
      </c>
      <c r="B762" s="3" t="s">
        <v>2001</v>
      </c>
      <c r="C762" s="3" t="s">
        <v>2000</v>
      </c>
      <c r="D762" s="3" t="s">
        <v>2866</v>
      </c>
      <c r="E762" s="3" t="s">
        <v>3725</v>
      </c>
      <c r="F762" s="3">
        <v>269</v>
      </c>
      <c r="G762" s="4">
        <v>40878.489583333336</v>
      </c>
      <c r="H762" s="3">
        <v>4</v>
      </c>
      <c r="I762" s="5">
        <v>18</v>
      </c>
      <c r="J762" t="s">
        <v>208</v>
      </c>
      <c r="K762" t="s">
        <v>4497</v>
      </c>
      <c r="L762">
        <v>536446</v>
      </c>
      <c r="M762" s="2">
        <v>22618</v>
      </c>
      <c r="N762">
        <v>9.9499999999999993</v>
      </c>
      <c r="O762" s="6">
        <v>2</v>
      </c>
      <c r="P762" s="3">
        <v>0.05</v>
      </c>
      <c r="Q762" t="s">
        <v>3</v>
      </c>
      <c r="R762" s="7">
        <f t="shared" si="33"/>
        <v>19.899999999999999</v>
      </c>
      <c r="S762" s="7">
        <f t="shared" si="34"/>
        <v>0.995</v>
      </c>
      <c r="T762">
        <f>Table1[[#This Row],[Total price]]-Table1[[#This Row],[Discount Amount]]</f>
        <v>18.904999999999998</v>
      </c>
      <c r="U762">
        <f t="shared" si="35"/>
        <v>37.809999999999995</v>
      </c>
    </row>
    <row r="763" spans="1:21">
      <c r="A763">
        <v>762</v>
      </c>
      <c r="B763" s="3" t="s">
        <v>1999</v>
      </c>
      <c r="C763" s="3" t="s">
        <v>1219</v>
      </c>
      <c r="D763" s="3" t="s">
        <v>2866</v>
      </c>
      <c r="E763" s="3" t="s">
        <v>3726</v>
      </c>
      <c r="F763" s="3">
        <v>269</v>
      </c>
      <c r="G763" s="4">
        <v>40878.489583333336</v>
      </c>
      <c r="H763" s="3">
        <v>4</v>
      </c>
      <c r="I763" s="5">
        <v>3</v>
      </c>
      <c r="J763" t="s">
        <v>710</v>
      </c>
      <c r="K763" t="s">
        <v>4497</v>
      </c>
      <c r="L763">
        <v>536446</v>
      </c>
      <c r="M763" s="2">
        <v>21586</v>
      </c>
      <c r="N763">
        <v>2.5499999999999998</v>
      </c>
      <c r="O763" s="6">
        <v>4</v>
      </c>
      <c r="P763" s="3">
        <v>0.05</v>
      </c>
      <c r="Q763" t="s">
        <v>3</v>
      </c>
      <c r="R763" s="7">
        <f t="shared" si="33"/>
        <v>10.199999999999999</v>
      </c>
      <c r="S763" s="7">
        <f t="shared" si="34"/>
        <v>0.51</v>
      </c>
      <c r="T763">
        <f>Table1[[#This Row],[Total price]]-Table1[[#This Row],[Discount Amount]]</f>
        <v>9.69</v>
      </c>
      <c r="U763">
        <f t="shared" si="35"/>
        <v>38.76</v>
      </c>
    </row>
    <row r="764" spans="1:21">
      <c r="A764">
        <v>763</v>
      </c>
      <c r="B764" s="3" t="s">
        <v>1428</v>
      </c>
      <c r="C764" s="3" t="s">
        <v>1040</v>
      </c>
      <c r="D764" s="3" t="s">
        <v>2866</v>
      </c>
      <c r="E764" s="3" t="s">
        <v>3727</v>
      </c>
      <c r="F764" s="3">
        <v>270</v>
      </c>
      <c r="G764" s="4">
        <v>40878.489583333336</v>
      </c>
      <c r="H764" s="3">
        <v>4</v>
      </c>
      <c r="I764" s="5">
        <v>25</v>
      </c>
      <c r="J764" t="s">
        <v>293</v>
      </c>
      <c r="K764" t="s">
        <v>4497</v>
      </c>
      <c r="L764">
        <v>536446</v>
      </c>
      <c r="M764" s="2">
        <v>21587</v>
      </c>
      <c r="N764">
        <v>2.5499999999999998</v>
      </c>
      <c r="O764" s="6">
        <v>4</v>
      </c>
      <c r="P764" s="3">
        <v>0.2</v>
      </c>
      <c r="Q764" t="s">
        <v>3</v>
      </c>
      <c r="R764" s="7">
        <f t="shared" si="33"/>
        <v>10.199999999999999</v>
      </c>
      <c r="S764" s="7">
        <f t="shared" si="34"/>
        <v>2.04</v>
      </c>
      <c r="T764">
        <f>Table1[[#This Row],[Total price]]-Table1[[#This Row],[Discount Amount]]</f>
        <v>8.16</v>
      </c>
      <c r="U764">
        <f t="shared" si="35"/>
        <v>32.64</v>
      </c>
    </row>
    <row r="765" spans="1:21">
      <c r="A765">
        <v>764</v>
      </c>
      <c r="B765" s="3" t="s">
        <v>1317</v>
      </c>
      <c r="C765" s="3" t="s">
        <v>1998</v>
      </c>
      <c r="D765" s="3" t="s">
        <v>2866</v>
      </c>
      <c r="E765" s="3" t="s">
        <v>3728</v>
      </c>
      <c r="F765" s="3">
        <v>270</v>
      </c>
      <c r="G765" s="4">
        <v>40878.489583333336</v>
      </c>
      <c r="H765" s="3">
        <v>4</v>
      </c>
      <c r="I765" s="5">
        <v>15</v>
      </c>
      <c r="J765" t="s">
        <v>663</v>
      </c>
      <c r="K765" t="s">
        <v>4497</v>
      </c>
      <c r="L765">
        <v>536446</v>
      </c>
      <c r="M765" s="2">
        <v>22152</v>
      </c>
      <c r="N765">
        <v>0.42</v>
      </c>
      <c r="O765" s="6">
        <v>24</v>
      </c>
      <c r="P765" s="3">
        <v>0.1</v>
      </c>
      <c r="Q765" t="s">
        <v>3</v>
      </c>
      <c r="R765" s="7">
        <f t="shared" si="33"/>
        <v>10.08</v>
      </c>
      <c r="S765" s="7">
        <f t="shared" si="34"/>
        <v>1.008</v>
      </c>
      <c r="T765">
        <f>Table1[[#This Row],[Total price]]-Table1[[#This Row],[Discount Amount]]</f>
        <v>9.0719999999999992</v>
      </c>
      <c r="U765">
        <f t="shared" si="35"/>
        <v>217.72799999999998</v>
      </c>
    </row>
    <row r="766" spans="1:21">
      <c r="A766">
        <v>765</v>
      </c>
      <c r="B766" s="3" t="s">
        <v>1997</v>
      </c>
      <c r="C766" s="3" t="s">
        <v>1996</v>
      </c>
      <c r="D766" s="3" t="s">
        <v>2866</v>
      </c>
      <c r="E766" s="3" t="s">
        <v>3729</v>
      </c>
      <c r="F766" s="3">
        <v>271</v>
      </c>
      <c r="G766" s="4">
        <v>40878.489583333336</v>
      </c>
      <c r="H766" s="3">
        <v>4</v>
      </c>
      <c r="I766" s="5">
        <v>11</v>
      </c>
      <c r="J766" t="s">
        <v>541</v>
      </c>
      <c r="K766" t="s">
        <v>4497</v>
      </c>
      <c r="L766">
        <v>536446</v>
      </c>
      <c r="M766" s="2">
        <v>85172</v>
      </c>
      <c r="N766">
        <v>0.42</v>
      </c>
      <c r="O766" s="6">
        <v>16</v>
      </c>
      <c r="P766" s="3">
        <v>7.0000000000000007E-2</v>
      </c>
      <c r="Q766" t="s">
        <v>3</v>
      </c>
      <c r="R766" s="7">
        <f t="shared" si="33"/>
        <v>6.72</v>
      </c>
      <c r="S766" s="7">
        <f t="shared" si="34"/>
        <v>0.47040000000000004</v>
      </c>
      <c r="T766">
        <f>Table1[[#This Row],[Total price]]-Table1[[#This Row],[Discount Amount]]</f>
        <v>6.2496</v>
      </c>
      <c r="U766">
        <f t="shared" si="35"/>
        <v>99.993600000000001</v>
      </c>
    </row>
    <row r="767" spans="1:21">
      <c r="A767">
        <v>766</v>
      </c>
      <c r="B767" s="3" t="s">
        <v>1995</v>
      </c>
      <c r="C767" s="3" t="s">
        <v>1239</v>
      </c>
      <c r="D767" s="3" t="s">
        <v>2866</v>
      </c>
      <c r="E767" s="3" t="s">
        <v>3730</v>
      </c>
      <c r="F767" s="3">
        <v>271</v>
      </c>
      <c r="G767" s="4">
        <v>40878.489583333336</v>
      </c>
      <c r="H767" s="3">
        <v>4</v>
      </c>
      <c r="I767" s="5">
        <v>6</v>
      </c>
      <c r="J767" t="s">
        <v>462</v>
      </c>
      <c r="K767" t="s">
        <v>4497</v>
      </c>
      <c r="L767">
        <v>536446</v>
      </c>
      <c r="M767" s="2">
        <v>84754</v>
      </c>
      <c r="N767">
        <v>1.25</v>
      </c>
      <c r="O767" s="6">
        <v>24</v>
      </c>
      <c r="P767" s="3">
        <v>0.05</v>
      </c>
      <c r="Q767" t="s">
        <v>3</v>
      </c>
      <c r="R767" s="7">
        <f t="shared" si="33"/>
        <v>30</v>
      </c>
      <c r="S767" s="7">
        <f t="shared" si="34"/>
        <v>1.5</v>
      </c>
      <c r="T767">
        <f>Table1[[#This Row],[Total price]]-Table1[[#This Row],[Discount Amount]]</f>
        <v>28.5</v>
      </c>
      <c r="U767">
        <f t="shared" si="35"/>
        <v>684</v>
      </c>
    </row>
    <row r="768" spans="1:21">
      <c r="A768">
        <v>767</v>
      </c>
      <c r="B768" s="3" t="s">
        <v>1994</v>
      </c>
      <c r="C768" s="3" t="s">
        <v>1993</v>
      </c>
      <c r="D768" s="3" t="s">
        <v>3731</v>
      </c>
      <c r="E768" s="3" t="s">
        <v>3732</v>
      </c>
      <c r="F768" s="3">
        <v>271</v>
      </c>
      <c r="G768" s="4">
        <v>40878.489583333336</v>
      </c>
      <c r="H768" s="3">
        <v>4</v>
      </c>
      <c r="I768" s="5">
        <v>13</v>
      </c>
      <c r="J768" t="s">
        <v>519</v>
      </c>
      <c r="K768" t="s">
        <v>4497</v>
      </c>
      <c r="L768">
        <v>536460</v>
      </c>
      <c r="M768" s="2">
        <v>22670</v>
      </c>
      <c r="N768">
        <v>1.25</v>
      </c>
      <c r="O768" s="6">
        <v>12</v>
      </c>
      <c r="P768" s="3">
        <v>0.1</v>
      </c>
      <c r="Q768" t="s">
        <v>3</v>
      </c>
      <c r="R768" s="7">
        <f t="shared" si="33"/>
        <v>15</v>
      </c>
      <c r="S768" s="7">
        <f t="shared" si="34"/>
        <v>1.5</v>
      </c>
      <c r="T768">
        <f>Table1[[#This Row],[Total price]]-Table1[[#This Row],[Discount Amount]]</f>
        <v>13.5</v>
      </c>
      <c r="U768">
        <f t="shared" si="35"/>
        <v>162</v>
      </c>
    </row>
    <row r="769" spans="1:21">
      <c r="A769">
        <v>768</v>
      </c>
      <c r="B769" s="3" t="s">
        <v>1080</v>
      </c>
      <c r="C769" s="3" t="s">
        <v>1992</v>
      </c>
      <c r="D769" s="3" t="s">
        <v>2866</v>
      </c>
      <c r="E769" s="3" t="s">
        <v>3733</v>
      </c>
      <c r="F769" s="3">
        <v>271</v>
      </c>
      <c r="G769" s="4">
        <v>40878.489583333336</v>
      </c>
      <c r="H769" s="3">
        <v>4</v>
      </c>
      <c r="I769" s="5">
        <v>7</v>
      </c>
      <c r="J769" t="s">
        <v>710</v>
      </c>
      <c r="K769" t="s">
        <v>4497</v>
      </c>
      <c r="L769">
        <v>536460</v>
      </c>
      <c r="M769" s="2">
        <v>21586</v>
      </c>
      <c r="N769">
        <v>2.5499999999999998</v>
      </c>
      <c r="O769" s="6">
        <v>12</v>
      </c>
      <c r="P769" s="3">
        <v>0.1</v>
      </c>
      <c r="Q769" t="s">
        <v>3</v>
      </c>
      <c r="R769" s="7">
        <f t="shared" si="33"/>
        <v>30.599999999999998</v>
      </c>
      <c r="S769" s="7">
        <f t="shared" si="34"/>
        <v>3.06</v>
      </c>
      <c r="T769">
        <f>Table1[[#This Row],[Total price]]-Table1[[#This Row],[Discount Amount]]</f>
        <v>27.54</v>
      </c>
      <c r="U769">
        <f t="shared" si="35"/>
        <v>330.48</v>
      </c>
    </row>
    <row r="770" spans="1:21">
      <c r="A770">
        <v>769</v>
      </c>
      <c r="B770" s="3" t="s">
        <v>1071</v>
      </c>
      <c r="C770" s="3" t="s">
        <v>1102</v>
      </c>
      <c r="D770" s="3" t="s">
        <v>2866</v>
      </c>
      <c r="E770" s="3" t="s">
        <v>3734</v>
      </c>
      <c r="F770" s="3">
        <v>272</v>
      </c>
      <c r="G770" s="4">
        <v>40878.489583333336</v>
      </c>
      <c r="H770" s="3">
        <v>4</v>
      </c>
      <c r="I770" s="5">
        <v>2</v>
      </c>
      <c r="J770" t="s">
        <v>360</v>
      </c>
      <c r="K770" t="s">
        <v>4497</v>
      </c>
      <c r="L770">
        <v>536460</v>
      </c>
      <c r="M770" s="2">
        <v>84992</v>
      </c>
      <c r="N770">
        <v>0.55000000000000004</v>
      </c>
      <c r="O770" s="6">
        <v>24</v>
      </c>
      <c r="P770" s="3">
        <v>7.0000000000000007E-2</v>
      </c>
      <c r="Q770" t="s">
        <v>3</v>
      </c>
      <c r="R770" s="7">
        <f t="shared" si="33"/>
        <v>13.200000000000001</v>
      </c>
      <c r="S770" s="7">
        <f t="shared" si="34"/>
        <v>0.92400000000000015</v>
      </c>
      <c r="T770">
        <f>Table1[[#This Row],[Total price]]-Table1[[#This Row],[Discount Amount]]</f>
        <v>12.276000000000002</v>
      </c>
      <c r="U770">
        <f t="shared" si="35"/>
        <v>294.62400000000002</v>
      </c>
    </row>
    <row r="771" spans="1:21">
      <c r="A771">
        <v>770</v>
      </c>
      <c r="B771" s="3" t="s">
        <v>1991</v>
      </c>
      <c r="C771" s="3" t="s">
        <v>1915</v>
      </c>
      <c r="D771" s="3" t="s">
        <v>2866</v>
      </c>
      <c r="E771" s="3" t="s">
        <v>3735</v>
      </c>
      <c r="F771" s="3">
        <v>272</v>
      </c>
      <c r="G771" s="4">
        <v>40878.489583333336</v>
      </c>
      <c r="H771" s="3">
        <v>4</v>
      </c>
      <c r="I771" s="5">
        <v>11</v>
      </c>
      <c r="J771" t="s">
        <v>21</v>
      </c>
      <c r="K771" t="s">
        <v>4497</v>
      </c>
      <c r="L771">
        <v>536460</v>
      </c>
      <c r="M771" s="2">
        <v>84879</v>
      </c>
      <c r="N771">
        <v>1.69</v>
      </c>
      <c r="O771" s="6">
        <v>24</v>
      </c>
      <c r="P771" s="3">
        <v>7.0000000000000007E-2</v>
      </c>
      <c r="Q771" t="s">
        <v>3</v>
      </c>
      <c r="R771" s="7">
        <f t="shared" ref="R771:R834" si="36">N771*O771</f>
        <v>40.56</v>
      </c>
      <c r="S771" s="7">
        <f t="shared" ref="S771:S834" si="37">R771*P771</f>
        <v>2.8392000000000004</v>
      </c>
      <c r="T771">
        <f>Table1[[#This Row],[Total price]]-Table1[[#This Row],[Discount Amount]]</f>
        <v>37.720800000000004</v>
      </c>
      <c r="U771">
        <f t="shared" ref="U771:U834" si="38">T771*O771</f>
        <v>905.29920000000016</v>
      </c>
    </row>
    <row r="772" spans="1:21">
      <c r="A772">
        <v>771</v>
      </c>
      <c r="B772" s="3" t="s">
        <v>1990</v>
      </c>
      <c r="C772" s="3" t="s">
        <v>1989</v>
      </c>
      <c r="D772" s="3" t="s">
        <v>3736</v>
      </c>
      <c r="E772" s="3" t="s">
        <v>3737</v>
      </c>
      <c r="F772" s="3">
        <v>273</v>
      </c>
      <c r="G772" s="4">
        <v>40878.489583333336</v>
      </c>
      <c r="H772" s="3">
        <v>4</v>
      </c>
      <c r="I772" s="5">
        <v>21</v>
      </c>
      <c r="J772" t="s">
        <v>679</v>
      </c>
      <c r="K772" t="s">
        <v>4497</v>
      </c>
      <c r="L772">
        <v>536460</v>
      </c>
      <c r="M772" s="2" t="s">
        <v>678</v>
      </c>
      <c r="N772">
        <v>1.69</v>
      </c>
      <c r="O772" s="6">
        <v>12</v>
      </c>
      <c r="P772" s="3">
        <v>0.1</v>
      </c>
      <c r="Q772" t="s">
        <v>3</v>
      </c>
      <c r="R772" s="7">
        <f t="shared" si="36"/>
        <v>20.28</v>
      </c>
      <c r="S772" s="7">
        <f t="shared" si="37"/>
        <v>2.028</v>
      </c>
      <c r="T772">
        <f>Table1[[#This Row],[Total price]]-Table1[[#This Row],[Discount Amount]]</f>
        <v>18.252000000000002</v>
      </c>
      <c r="U772">
        <f t="shared" si="38"/>
        <v>219.02400000000003</v>
      </c>
    </row>
    <row r="773" spans="1:21">
      <c r="A773">
        <v>772</v>
      </c>
      <c r="B773" s="3" t="s">
        <v>1988</v>
      </c>
      <c r="C773" s="3" t="s">
        <v>1987</v>
      </c>
      <c r="D773" s="3" t="s">
        <v>2866</v>
      </c>
      <c r="E773" s="3" t="s">
        <v>3738</v>
      </c>
      <c r="F773" s="3">
        <v>274</v>
      </c>
      <c r="G773" s="4">
        <v>40878.489583333336</v>
      </c>
      <c r="H773" s="3">
        <v>4</v>
      </c>
      <c r="I773" s="5">
        <v>11</v>
      </c>
      <c r="J773" t="s">
        <v>863</v>
      </c>
      <c r="K773" t="s">
        <v>4497</v>
      </c>
      <c r="L773">
        <v>536460</v>
      </c>
      <c r="M773" s="2">
        <v>22927</v>
      </c>
      <c r="N773">
        <v>5.95</v>
      </c>
      <c r="O773" s="6">
        <v>2</v>
      </c>
      <c r="P773" s="3">
        <v>0.05</v>
      </c>
      <c r="Q773" t="s">
        <v>3</v>
      </c>
      <c r="R773" s="7">
        <f t="shared" si="36"/>
        <v>11.9</v>
      </c>
      <c r="S773" s="7">
        <f t="shared" si="37"/>
        <v>0.59500000000000008</v>
      </c>
      <c r="T773">
        <f>Table1[[#This Row],[Total price]]-Table1[[#This Row],[Discount Amount]]</f>
        <v>11.305</v>
      </c>
      <c r="U773">
        <f t="shared" si="38"/>
        <v>22.61</v>
      </c>
    </row>
    <row r="774" spans="1:21">
      <c r="A774">
        <v>773</v>
      </c>
      <c r="B774" s="3" t="s">
        <v>1986</v>
      </c>
      <c r="C774" s="3" t="s">
        <v>922</v>
      </c>
      <c r="D774" s="3" t="s">
        <v>2866</v>
      </c>
      <c r="E774" s="3" t="s">
        <v>3739</v>
      </c>
      <c r="F774" s="3">
        <v>274</v>
      </c>
      <c r="G774" s="4">
        <v>40878.489583333336</v>
      </c>
      <c r="H774" s="3">
        <v>4</v>
      </c>
      <c r="I774" s="5">
        <v>25</v>
      </c>
      <c r="J774" t="s">
        <v>857</v>
      </c>
      <c r="K774" t="s">
        <v>4497</v>
      </c>
      <c r="L774">
        <v>536460</v>
      </c>
      <c r="M774" s="2">
        <v>22926</v>
      </c>
      <c r="N774">
        <v>5.95</v>
      </c>
      <c r="O774" s="6">
        <v>4</v>
      </c>
      <c r="P774" s="3">
        <v>0.1</v>
      </c>
      <c r="Q774" t="s">
        <v>3</v>
      </c>
      <c r="R774" s="7">
        <f t="shared" si="36"/>
        <v>23.8</v>
      </c>
      <c r="S774" s="7">
        <f t="shared" si="37"/>
        <v>2.3800000000000003</v>
      </c>
      <c r="T774">
        <f>Table1[[#This Row],[Total price]]-Table1[[#This Row],[Discount Amount]]</f>
        <v>21.42</v>
      </c>
      <c r="U774">
        <f t="shared" si="38"/>
        <v>85.68</v>
      </c>
    </row>
    <row r="775" spans="1:21">
      <c r="A775">
        <v>774</v>
      </c>
      <c r="B775" s="3" t="s">
        <v>1985</v>
      </c>
      <c r="C775" s="3" t="s">
        <v>1984</v>
      </c>
      <c r="D775" s="3" t="s">
        <v>2866</v>
      </c>
      <c r="E775" s="3" t="s">
        <v>3740</v>
      </c>
      <c r="F775" s="3">
        <v>274</v>
      </c>
      <c r="G775" s="4">
        <v>40878.489583333336</v>
      </c>
      <c r="H775" s="3">
        <v>4</v>
      </c>
      <c r="I775" s="5">
        <v>9</v>
      </c>
      <c r="J775" t="s">
        <v>862</v>
      </c>
      <c r="K775" t="s">
        <v>4497</v>
      </c>
      <c r="L775">
        <v>536460</v>
      </c>
      <c r="M775" s="2">
        <v>22925</v>
      </c>
      <c r="N775">
        <v>5.95</v>
      </c>
      <c r="O775" s="6">
        <v>2</v>
      </c>
      <c r="P775" s="3">
        <v>7.0000000000000007E-2</v>
      </c>
      <c r="Q775" t="s">
        <v>3</v>
      </c>
      <c r="R775" s="7">
        <f t="shared" si="36"/>
        <v>11.9</v>
      </c>
      <c r="S775" s="7">
        <f t="shared" si="37"/>
        <v>0.83300000000000007</v>
      </c>
      <c r="T775">
        <f>Table1[[#This Row],[Total price]]-Table1[[#This Row],[Discount Amount]]</f>
        <v>11.067</v>
      </c>
      <c r="U775">
        <f t="shared" si="38"/>
        <v>22.134</v>
      </c>
    </row>
    <row r="776" spans="1:21">
      <c r="A776">
        <v>775</v>
      </c>
      <c r="B776" s="3" t="s">
        <v>1983</v>
      </c>
      <c r="C776" s="3" t="s">
        <v>1982</v>
      </c>
      <c r="D776" s="3" t="s">
        <v>2866</v>
      </c>
      <c r="E776" s="3" t="s">
        <v>3741</v>
      </c>
      <c r="F776" s="3">
        <v>275</v>
      </c>
      <c r="G776" s="4">
        <v>40878.489583333336</v>
      </c>
      <c r="H776" s="3">
        <v>4</v>
      </c>
      <c r="I776" s="5">
        <v>18</v>
      </c>
      <c r="J776" t="s">
        <v>420</v>
      </c>
      <c r="K776" t="s">
        <v>4497</v>
      </c>
      <c r="L776">
        <v>536460</v>
      </c>
      <c r="M776" s="2">
        <v>21977</v>
      </c>
      <c r="N776">
        <v>0.55000000000000004</v>
      </c>
      <c r="O776" s="6">
        <v>24</v>
      </c>
      <c r="P776" s="3">
        <v>0.05</v>
      </c>
      <c r="Q776" t="s">
        <v>3</v>
      </c>
      <c r="R776" s="7">
        <f t="shared" si="36"/>
        <v>13.200000000000001</v>
      </c>
      <c r="S776" s="7">
        <f t="shared" si="37"/>
        <v>0.66000000000000014</v>
      </c>
      <c r="T776">
        <f>Table1[[#This Row],[Total price]]-Table1[[#This Row],[Discount Amount]]</f>
        <v>12.540000000000001</v>
      </c>
      <c r="U776">
        <f t="shared" si="38"/>
        <v>300.96000000000004</v>
      </c>
    </row>
    <row r="777" spans="1:21">
      <c r="A777">
        <v>776</v>
      </c>
      <c r="B777" s="3" t="s">
        <v>1981</v>
      </c>
      <c r="C777" s="3" t="s">
        <v>1976</v>
      </c>
      <c r="D777" s="3" t="s">
        <v>2866</v>
      </c>
      <c r="E777" s="3" t="s">
        <v>3742</v>
      </c>
      <c r="F777" s="3">
        <v>275</v>
      </c>
      <c r="G777" s="4">
        <v>40878.489583333336</v>
      </c>
      <c r="H777" s="3">
        <v>4</v>
      </c>
      <c r="I777" s="5">
        <v>25</v>
      </c>
      <c r="J777" t="s">
        <v>78</v>
      </c>
      <c r="K777" t="s">
        <v>4497</v>
      </c>
      <c r="L777">
        <v>536460</v>
      </c>
      <c r="M777" s="2">
        <v>21485</v>
      </c>
      <c r="N777">
        <v>4.95</v>
      </c>
      <c r="O777" s="6">
        <v>6</v>
      </c>
      <c r="P777" s="3">
        <v>0.1</v>
      </c>
      <c r="Q777" t="s">
        <v>3</v>
      </c>
      <c r="R777" s="7">
        <f t="shared" si="36"/>
        <v>29.700000000000003</v>
      </c>
      <c r="S777" s="7">
        <f t="shared" si="37"/>
        <v>2.9700000000000006</v>
      </c>
      <c r="T777">
        <f>Table1[[#This Row],[Total price]]-Table1[[#This Row],[Discount Amount]]</f>
        <v>26.730000000000004</v>
      </c>
      <c r="U777">
        <f t="shared" si="38"/>
        <v>160.38000000000002</v>
      </c>
    </row>
    <row r="778" spans="1:21">
      <c r="A778">
        <v>777</v>
      </c>
      <c r="B778" s="3" t="s">
        <v>1980</v>
      </c>
      <c r="C778" s="3" t="s">
        <v>1979</v>
      </c>
      <c r="D778" s="3" t="s">
        <v>2866</v>
      </c>
      <c r="E778" s="3" t="s">
        <v>3743</v>
      </c>
      <c r="F778" s="3">
        <v>275</v>
      </c>
      <c r="G778" s="4">
        <v>40878.489583333336</v>
      </c>
      <c r="H778" s="3">
        <v>4</v>
      </c>
      <c r="I778" s="5">
        <v>7</v>
      </c>
      <c r="J778" t="s">
        <v>429</v>
      </c>
      <c r="K778" t="s">
        <v>4497</v>
      </c>
      <c r="L778">
        <v>536460</v>
      </c>
      <c r="M778" s="2">
        <v>21484</v>
      </c>
      <c r="N778">
        <v>3.45</v>
      </c>
      <c r="O778" s="6">
        <v>8</v>
      </c>
      <c r="P778" s="3">
        <v>0.05</v>
      </c>
      <c r="Q778" t="s">
        <v>3</v>
      </c>
      <c r="R778" s="7">
        <f t="shared" si="36"/>
        <v>27.6</v>
      </c>
      <c r="S778" s="7">
        <f t="shared" si="37"/>
        <v>1.3800000000000001</v>
      </c>
      <c r="T778">
        <f>Table1[[#This Row],[Total price]]-Table1[[#This Row],[Discount Amount]]</f>
        <v>26.220000000000002</v>
      </c>
      <c r="U778">
        <f t="shared" si="38"/>
        <v>209.76000000000002</v>
      </c>
    </row>
    <row r="779" spans="1:21">
      <c r="A779">
        <v>778</v>
      </c>
      <c r="B779" s="3" t="s">
        <v>1978</v>
      </c>
      <c r="C779" s="3" t="s">
        <v>1138</v>
      </c>
      <c r="D779" s="3" t="s">
        <v>2866</v>
      </c>
      <c r="E779" s="3" t="s">
        <v>3744</v>
      </c>
      <c r="F779" s="3">
        <v>276</v>
      </c>
      <c r="G779" s="4">
        <v>40878.489583333336</v>
      </c>
      <c r="H779" s="3">
        <v>3</v>
      </c>
      <c r="I779" s="5">
        <v>3</v>
      </c>
      <c r="J779" t="s">
        <v>592</v>
      </c>
      <c r="K779" t="s">
        <v>4497</v>
      </c>
      <c r="L779">
        <v>536460</v>
      </c>
      <c r="M779" s="2">
        <v>21259</v>
      </c>
      <c r="N779">
        <v>5.95</v>
      </c>
      <c r="O779" s="6">
        <v>2</v>
      </c>
      <c r="P779" s="3">
        <v>0.2</v>
      </c>
      <c r="Q779" t="s">
        <v>3</v>
      </c>
      <c r="R779" s="7">
        <f t="shared" si="36"/>
        <v>11.9</v>
      </c>
      <c r="S779" s="7">
        <f t="shared" si="37"/>
        <v>2.3800000000000003</v>
      </c>
      <c r="T779">
        <f>Table1[[#This Row],[Total price]]-Table1[[#This Row],[Discount Amount]]</f>
        <v>9.52</v>
      </c>
      <c r="U779">
        <f t="shared" si="38"/>
        <v>19.04</v>
      </c>
    </row>
    <row r="780" spans="1:21">
      <c r="A780">
        <v>779</v>
      </c>
      <c r="B780" s="3" t="s">
        <v>1977</v>
      </c>
      <c r="C780" s="3" t="s">
        <v>1976</v>
      </c>
      <c r="D780" s="3" t="s">
        <v>2866</v>
      </c>
      <c r="E780" s="3" t="s">
        <v>3745</v>
      </c>
      <c r="F780" s="3">
        <v>276</v>
      </c>
      <c r="G780" s="4">
        <v>40878.489583333336</v>
      </c>
      <c r="H780" s="3">
        <v>4</v>
      </c>
      <c r="I780" s="5">
        <v>17</v>
      </c>
      <c r="J780" t="s">
        <v>723</v>
      </c>
      <c r="K780" t="s">
        <v>4497</v>
      </c>
      <c r="L780">
        <v>536460</v>
      </c>
      <c r="M780" s="2">
        <v>21257</v>
      </c>
      <c r="N780">
        <v>7.95</v>
      </c>
      <c r="O780" s="6">
        <v>2</v>
      </c>
      <c r="P780" s="3">
        <v>0.05</v>
      </c>
      <c r="Q780" t="s">
        <v>3</v>
      </c>
      <c r="R780" s="7">
        <f t="shared" si="36"/>
        <v>15.9</v>
      </c>
      <c r="S780" s="7">
        <f t="shared" si="37"/>
        <v>0.79500000000000004</v>
      </c>
      <c r="T780">
        <f>Table1[[#This Row],[Total price]]-Table1[[#This Row],[Discount Amount]]</f>
        <v>15.105</v>
      </c>
      <c r="U780">
        <f t="shared" si="38"/>
        <v>30.21</v>
      </c>
    </row>
    <row r="781" spans="1:21">
      <c r="A781">
        <v>780</v>
      </c>
      <c r="B781" s="3" t="s">
        <v>1975</v>
      </c>
      <c r="C781" s="3" t="s">
        <v>1126</v>
      </c>
      <c r="D781" s="3" t="s">
        <v>2866</v>
      </c>
      <c r="E781" s="3" t="s">
        <v>3746</v>
      </c>
      <c r="F781" s="3">
        <v>276</v>
      </c>
      <c r="G781" s="4">
        <v>40878.489583333336</v>
      </c>
      <c r="H781" s="3">
        <v>4</v>
      </c>
      <c r="I781" s="5">
        <v>9</v>
      </c>
      <c r="J781" t="s">
        <v>422</v>
      </c>
      <c r="K781" t="s">
        <v>4497</v>
      </c>
      <c r="L781">
        <v>536460</v>
      </c>
      <c r="M781" s="2">
        <v>21121</v>
      </c>
      <c r="N781">
        <v>1.25</v>
      </c>
      <c r="O781" s="6">
        <v>24</v>
      </c>
      <c r="P781" s="3">
        <v>7.0000000000000007E-2</v>
      </c>
      <c r="Q781" t="s">
        <v>3</v>
      </c>
      <c r="R781" s="7">
        <f t="shared" si="36"/>
        <v>30</v>
      </c>
      <c r="S781" s="7">
        <f t="shared" si="37"/>
        <v>2.1</v>
      </c>
      <c r="T781">
        <f>Table1[[#This Row],[Total price]]-Table1[[#This Row],[Discount Amount]]</f>
        <v>27.9</v>
      </c>
      <c r="U781">
        <f t="shared" si="38"/>
        <v>669.59999999999991</v>
      </c>
    </row>
    <row r="782" spans="1:21">
      <c r="A782">
        <v>781</v>
      </c>
      <c r="B782" s="3" t="s">
        <v>1974</v>
      </c>
      <c r="C782" s="3" t="s">
        <v>1169</v>
      </c>
      <c r="D782" s="3" t="s">
        <v>2866</v>
      </c>
      <c r="E782" s="3" t="s">
        <v>3747</v>
      </c>
      <c r="F782" s="3">
        <v>277</v>
      </c>
      <c r="G782" s="4">
        <v>40878.489583333336</v>
      </c>
      <c r="H782" s="3">
        <v>4</v>
      </c>
      <c r="I782" s="5">
        <v>20</v>
      </c>
      <c r="J782" t="s">
        <v>787</v>
      </c>
      <c r="K782" t="s">
        <v>4497</v>
      </c>
      <c r="L782">
        <v>536463</v>
      </c>
      <c r="M782" s="2">
        <v>82552</v>
      </c>
      <c r="N782">
        <v>1.45</v>
      </c>
      <c r="O782" s="6">
        <v>12</v>
      </c>
      <c r="P782" s="3">
        <v>0.2</v>
      </c>
      <c r="Q782" t="s">
        <v>3</v>
      </c>
      <c r="R782" s="7">
        <f t="shared" si="36"/>
        <v>17.399999999999999</v>
      </c>
      <c r="S782" s="7">
        <f t="shared" si="37"/>
        <v>3.48</v>
      </c>
      <c r="T782">
        <f>Table1[[#This Row],[Total price]]-Table1[[#This Row],[Discount Amount]]</f>
        <v>13.919999999999998</v>
      </c>
      <c r="U782">
        <f t="shared" si="38"/>
        <v>167.03999999999996</v>
      </c>
    </row>
    <row r="783" spans="1:21">
      <c r="A783">
        <v>782</v>
      </c>
      <c r="B783" s="3" t="s">
        <v>1973</v>
      </c>
      <c r="C783" s="3" t="s">
        <v>1778</v>
      </c>
      <c r="D783" s="3" t="s">
        <v>2866</v>
      </c>
      <c r="E783" s="3" t="s">
        <v>3748</v>
      </c>
      <c r="F783" s="3">
        <v>277</v>
      </c>
      <c r="G783" s="4">
        <v>40878.489583333336</v>
      </c>
      <c r="H783" s="3">
        <v>4</v>
      </c>
      <c r="I783" s="5">
        <v>6</v>
      </c>
      <c r="J783" t="s">
        <v>694</v>
      </c>
      <c r="K783" t="s">
        <v>4497</v>
      </c>
      <c r="L783">
        <v>536464</v>
      </c>
      <c r="M783" s="2" t="s">
        <v>693</v>
      </c>
      <c r="N783">
        <v>4.25</v>
      </c>
      <c r="O783" s="6">
        <v>2</v>
      </c>
      <c r="P783" s="3">
        <v>0.2</v>
      </c>
      <c r="Q783" t="s">
        <v>3</v>
      </c>
      <c r="R783" s="7">
        <f t="shared" si="36"/>
        <v>8.5</v>
      </c>
      <c r="S783" s="7">
        <f t="shared" si="37"/>
        <v>1.7000000000000002</v>
      </c>
      <c r="T783">
        <f>Table1[[#This Row],[Total price]]-Table1[[#This Row],[Discount Amount]]</f>
        <v>6.8</v>
      </c>
      <c r="U783">
        <f t="shared" si="38"/>
        <v>13.6</v>
      </c>
    </row>
    <row r="784" spans="1:21">
      <c r="A784">
        <v>783</v>
      </c>
      <c r="B784" s="3" t="s">
        <v>1972</v>
      </c>
      <c r="C784" s="3" t="s">
        <v>1971</v>
      </c>
      <c r="D784" s="3" t="s">
        <v>3749</v>
      </c>
      <c r="E784" s="3" t="s">
        <v>3750</v>
      </c>
      <c r="F784" s="3">
        <v>277</v>
      </c>
      <c r="G784" s="4">
        <v>40878.489583333336</v>
      </c>
      <c r="H784" s="3">
        <v>4</v>
      </c>
      <c r="I784" s="5">
        <v>13</v>
      </c>
      <c r="J784" t="s">
        <v>830</v>
      </c>
      <c r="K784" t="s">
        <v>4497</v>
      </c>
      <c r="L784">
        <v>536464</v>
      </c>
      <c r="M784" s="2" t="s">
        <v>829</v>
      </c>
      <c r="N784">
        <v>1.65</v>
      </c>
      <c r="O784" s="6">
        <v>2</v>
      </c>
      <c r="P784" s="3">
        <v>0.1</v>
      </c>
      <c r="Q784" t="s">
        <v>3</v>
      </c>
      <c r="R784" s="7">
        <f t="shared" si="36"/>
        <v>3.3</v>
      </c>
      <c r="S784" s="7">
        <f t="shared" si="37"/>
        <v>0.33</v>
      </c>
      <c r="T784">
        <f>Table1[[#This Row],[Total price]]-Table1[[#This Row],[Discount Amount]]</f>
        <v>2.9699999999999998</v>
      </c>
      <c r="U784">
        <f t="shared" si="38"/>
        <v>5.9399999999999995</v>
      </c>
    </row>
    <row r="785" spans="1:21">
      <c r="A785">
        <v>784</v>
      </c>
      <c r="B785" s="3" t="s">
        <v>1970</v>
      </c>
      <c r="C785" s="3" t="s">
        <v>938</v>
      </c>
      <c r="D785" s="3" t="s">
        <v>2866</v>
      </c>
      <c r="E785" s="3" t="s">
        <v>3751</v>
      </c>
      <c r="F785" s="3">
        <v>278</v>
      </c>
      <c r="G785" s="4">
        <v>40878.489583333336</v>
      </c>
      <c r="H785" s="3">
        <v>4</v>
      </c>
      <c r="I785" s="5">
        <v>16</v>
      </c>
      <c r="J785" t="s">
        <v>824</v>
      </c>
      <c r="K785" t="s">
        <v>4497</v>
      </c>
      <c r="L785">
        <v>536464</v>
      </c>
      <c r="M785" s="2" t="s">
        <v>823</v>
      </c>
      <c r="N785">
        <v>4.25</v>
      </c>
      <c r="O785" s="6">
        <v>2</v>
      </c>
      <c r="P785" s="3">
        <v>0.2</v>
      </c>
      <c r="Q785" t="s">
        <v>3</v>
      </c>
      <c r="R785" s="7">
        <f t="shared" si="36"/>
        <v>8.5</v>
      </c>
      <c r="S785" s="7">
        <f t="shared" si="37"/>
        <v>1.7000000000000002</v>
      </c>
      <c r="T785">
        <f>Table1[[#This Row],[Total price]]-Table1[[#This Row],[Discount Amount]]</f>
        <v>6.8</v>
      </c>
      <c r="U785">
        <f t="shared" si="38"/>
        <v>13.6</v>
      </c>
    </row>
    <row r="786" spans="1:21">
      <c r="A786">
        <v>785</v>
      </c>
      <c r="B786" s="3" t="s">
        <v>1969</v>
      </c>
      <c r="C786" s="3" t="s">
        <v>1705</v>
      </c>
      <c r="D786" s="3" t="s">
        <v>2866</v>
      </c>
      <c r="E786" s="3" t="s">
        <v>3752</v>
      </c>
      <c r="F786" s="3">
        <v>278</v>
      </c>
      <c r="G786" s="4">
        <v>40878.489583333336</v>
      </c>
      <c r="H786" s="3">
        <v>4</v>
      </c>
      <c r="I786" s="5">
        <v>19</v>
      </c>
      <c r="J786" t="s">
        <v>843</v>
      </c>
      <c r="K786" t="s">
        <v>4497</v>
      </c>
      <c r="L786">
        <v>536464</v>
      </c>
      <c r="M786" s="2" t="s">
        <v>842</v>
      </c>
      <c r="N786">
        <v>1.65</v>
      </c>
      <c r="O786" s="6">
        <v>3</v>
      </c>
      <c r="P786" s="3">
        <v>7.0000000000000007E-2</v>
      </c>
      <c r="Q786" t="s">
        <v>3</v>
      </c>
      <c r="R786" s="7">
        <f t="shared" si="36"/>
        <v>4.9499999999999993</v>
      </c>
      <c r="S786" s="7">
        <f t="shared" si="37"/>
        <v>0.34649999999999997</v>
      </c>
      <c r="T786">
        <f>Table1[[#This Row],[Total price]]-Table1[[#This Row],[Discount Amount]]</f>
        <v>4.6034999999999995</v>
      </c>
      <c r="U786">
        <f t="shared" si="38"/>
        <v>13.810499999999998</v>
      </c>
    </row>
    <row r="787" spans="1:21">
      <c r="A787">
        <v>786</v>
      </c>
      <c r="B787" s="3" t="s">
        <v>1968</v>
      </c>
      <c r="C787" s="3" t="s">
        <v>1967</v>
      </c>
      <c r="D787" s="3" t="s">
        <v>2866</v>
      </c>
      <c r="E787" s="3" t="s">
        <v>3753</v>
      </c>
      <c r="F787" s="3">
        <v>278</v>
      </c>
      <c r="G787" s="4">
        <v>40878.489583333336</v>
      </c>
      <c r="H787" s="3">
        <v>4</v>
      </c>
      <c r="I787" s="5">
        <v>13</v>
      </c>
      <c r="J787" t="s">
        <v>832</v>
      </c>
      <c r="K787" t="s">
        <v>4497</v>
      </c>
      <c r="L787">
        <v>536464</v>
      </c>
      <c r="M787" s="2" t="s">
        <v>831</v>
      </c>
      <c r="N787">
        <v>1.65</v>
      </c>
      <c r="O787" s="6">
        <v>1</v>
      </c>
      <c r="P787" s="3">
        <v>7.0000000000000007E-2</v>
      </c>
      <c r="Q787" t="s">
        <v>3</v>
      </c>
      <c r="R787" s="7">
        <f t="shared" si="36"/>
        <v>1.65</v>
      </c>
      <c r="S787" s="7">
        <f t="shared" si="37"/>
        <v>0.11550000000000001</v>
      </c>
      <c r="T787">
        <f>Table1[[#This Row],[Total price]]-Table1[[#This Row],[Discount Amount]]</f>
        <v>1.5345</v>
      </c>
      <c r="U787">
        <f t="shared" si="38"/>
        <v>1.5345</v>
      </c>
    </row>
    <row r="788" spans="1:21">
      <c r="A788">
        <v>787</v>
      </c>
      <c r="B788" s="3" t="s">
        <v>1966</v>
      </c>
      <c r="C788" s="3" t="s">
        <v>1965</v>
      </c>
      <c r="D788" s="3" t="s">
        <v>2866</v>
      </c>
      <c r="E788" s="3" t="s">
        <v>3754</v>
      </c>
      <c r="F788" s="3">
        <v>278</v>
      </c>
      <c r="G788" s="4">
        <v>40878.489583333336</v>
      </c>
      <c r="H788" s="3">
        <v>4</v>
      </c>
      <c r="I788" s="5">
        <v>11</v>
      </c>
      <c r="J788" t="s">
        <v>692</v>
      </c>
      <c r="K788" t="s">
        <v>4497</v>
      </c>
      <c r="L788">
        <v>536464</v>
      </c>
      <c r="M788" s="2" t="s">
        <v>691</v>
      </c>
      <c r="N788">
        <v>4.25</v>
      </c>
      <c r="O788" s="6">
        <v>1</v>
      </c>
      <c r="P788" s="3">
        <v>7.0000000000000007E-2</v>
      </c>
      <c r="Q788" t="s">
        <v>3</v>
      </c>
      <c r="R788" s="7">
        <f t="shared" si="36"/>
        <v>4.25</v>
      </c>
      <c r="S788" s="7">
        <f t="shared" si="37"/>
        <v>0.29750000000000004</v>
      </c>
      <c r="T788">
        <f>Table1[[#This Row],[Total price]]-Table1[[#This Row],[Discount Amount]]</f>
        <v>3.9525000000000001</v>
      </c>
      <c r="U788">
        <f t="shared" si="38"/>
        <v>3.9525000000000001</v>
      </c>
    </row>
    <row r="789" spans="1:21">
      <c r="A789">
        <v>788</v>
      </c>
      <c r="B789" s="3" t="s">
        <v>1964</v>
      </c>
      <c r="C789" s="3" t="s">
        <v>1963</v>
      </c>
      <c r="D789" s="3" t="s">
        <v>2866</v>
      </c>
      <c r="E789" s="3" t="s">
        <v>3755</v>
      </c>
      <c r="F789" s="3">
        <v>279</v>
      </c>
      <c r="G789" s="4">
        <v>40878.489583333336</v>
      </c>
      <c r="H789" s="3">
        <v>4</v>
      </c>
      <c r="I789" s="5">
        <v>25</v>
      </c>
      <c r="J789" t="s">
        <v>517</v>
      </c>
      <c r="K789" t="s">
        <v>4497</v>
      </c>
      <c r="L789">
        <v>536464</v>
      </c>
      <c r="M789" s="2" t="s">
        <v>516</v>
      </c>
      <c r="N789">
        <v>4.25</v>
      </c>
      <c r="O789" s="6">
        <v>3</v>
      </c>
      <c r="P789" s="3">
        <v>7.0000000000000007E-2</v>
      </c>
      <c r="Q789" t="s">
        <v>3</v>
      </c>
      <c r="R789" s="7">
        <f t="shared" si="36"/>
        <v>12.75</v>
      </c>
      <c r="S789" s="7">
        <f t="shared" si="37"/>
        <v>0.89250000000000007</v>
      </c>
      <c r="T789">
        <f>Table1[[#This Row],[Total price]]-Table1[[#This Row],[Discount Amount]]</f>
        <v>11.8575</v>
      </c>
      <c r="U789">
        <f t="shared" si="38"/>
        <v>35.572499999999998</v>
      </c>
    </row>
    <row r="790" spans="1:21">
      <c r="A790">
        <v>789</v>
      </c>
      <c r="B790" s="3" t="s">
        <v>1962</v>
      </c>
      <c r="C790" s="3" t="s">
        <v>1385</v>
      </c>
      <c r="D790" s="3" t="s">
        <v>2866</v>
      </c>
      <c r="E790" s="3" t="s">
        <v>3756</v>
      </c>
      <c r="F790" s="3">
        <v>280</v>
      </c>
      <c r="G790" s="4">
        <v>40878.489583333336</v>
      </c>
      <c r="H790" s="3">
        <v>4</v>
      </c>
      <c r="I790" s="5">
        <v>25</v>
      </c>
      <c r="J790" t="s">
        <v>515</v>
      </c>
      <c r="K790" t="s">
        <v>4497</v>
      </c>
      <c r="L790">
        <v>536464</v>
      </c>
      <c r="M790" s="2" t="s">
        <v>514</v>
      </c>
      <c r="N790">
        <v>4.25</v>
      </c>
      <c r="O790" s="6">
        <v>1</v>
      </c>
      <c r="P790" s="3">
        <v>7.0000000000000007E-2</v>
      </c>
      <c r="Q790" t="s">
        <v>3</v>
      </c>
      <c r="R790" s="7">
        <f t="shared" si="36"/>
        <v>4.25</v>
      </c>
      <c r="S790" s="7">
        <f t="shared" si="37"/>
        <v>0.29750000000000004</v>
      </c>
      <c r="T790">
        <f>Table1[[#This Row],[Total price]]-Table1[[#This Row],[Discount Amount]]</f>
        <v>3.9525000000000001</v>
      </c>
      <c r="U790">
        <f t="shared" si="38"/>
        <v>3.9525000000000001</v>
      </c>
    </row>
    <row r="791" spans="1:21">
      <c r="A791">
        <v>790</v>
      </c>
      <c r="B791" s="3" t="s">
        <v>1961</v>
      </c>
      <c r="C791" s="3" t="s">
        <v>1960</v>
      </c>
      <c r="D791" s="3" t="s">
        <v>2866</v>
      </c>
      <c r="E791" s="3" t="s">
        <v>3757</v>
      </c>
      <c r="F791" s="3">
        <v>280</v>
      </c>
      <c r="G791" s="4">
        <v>40878.489583333336</v>
      </c>
      <c r="H791" s="3">
        <v>4</v>
      </c>
      <c r="I791" s="5">
        <v>26</v>
      </c>
      <c r="J791" t="s">
        <v>448</v>
      </c>
      <c r="K791" t="s">
        <v>4497</v>
      </c>
      <c r="L791">
        <v>536464</v>
      </c>
      <c r="M791" s="2">
        <v>22386</v>
      </c>
      <c r="N791">
        <v>1.95</v>
      </c>
      <c r="O791" s="6">
        <v>1</v>
      </c>
      <c r="P791" s="3">
        <v>7.0000000000000007E-2</v>
      </c>
      <c r="Q791" t="s">
        <v>3</v>
      </c>
      <c r="R791" s="7">
        <f t="shared" si="36"/>
        <v>1.95</v>
      </c>
      <c r="S791" s="7">
        <f t="shared" si="37"/>
        <v>0.13650000000000001</v>
      </c>
      <c r="T791">
        <f>Table1[[#This Row],[Total price]]-Table1[[#This Row],[Discount Amount]]</f>
        <v>1.8134999999999999</v>
      </c>
      <c r="U791">
        <f t="shared" si="38"/>
        <v>1.8134999999999999</v>
      </c>
    </row>
    <row r="792" spans="1:21">
      <c r="A792">
        <v>791</v>
      </c>
      <c r="B792" s="3" t="s">
        <v>1959</v>
      </c>
      <c r="C792" s="3" t="s">
        <v>1958</v>
      </c>
      <c r="D792" s="3" t="s">
        <v>2866</v>
      </c>
      <c r="E792" s="3" t="s">
        <v>3758</v>
      </c>
      <c r="F792" s="3">
        <v>280</v>
      </c>
      <c r="G792" s="4">
        <v>40878.489583333336</v>
      </c>
      <c r="H792" s="3">
        <v>4</v>
      </c>
      <c r="I792" s="5">
        <v>13</v>
      </c>
      <c r="J792" t="s">
        <v>38</v>
      </c>
      <c r="K792" t="s">
        <v>4497</v>
      </c>
      <c r="L792">
        <v>536464</v>
      </c>
      <c r="M792" s="2" t="s">
        <v>37</v>
      </c>
      <c r="N792">
        <v>1.95</v>
      </c>
      <c r="O792" s="6">
        <v>1</v>
      </c>
      <c r="P792" s="3">
        <v>7.0000000000000007E-2</v>
      </c>
      <c r="Q792" t="s">
        <v>3</v>
      </c>
      <c r="R792" s="7">
        <f t="shared" si="36"/>
        <v>1.95</v>
      </c>
      <c r="S792" s="7">
        <f t="shared" si="37"/>
        <v>0.13650000000000001</v>
      </c>
      <c r="T792">
        <f>Table1[[#This Row],[Total price]]-Table1[[#This Row],[Discount Amount]]</f>
        <v>1.8134999999999999</v>
      </c>
      <c r="U792">
        <f t="shared" si="38"/>
        <v>1.8134999999999999</v>
      </c>
    </row>
    <row r="793" spans="1:21">
      <c r="A793">
        <v>792</v>
      </c>
      <c r="B793" s="3" t="s">
        <v>1279</v>
      </c>
      <c r="C793" s="3" t="s">
        <v>1957</v>
      </c>
      <c r="D793" s="3" t="s">
        <v>2866</v>
      </c>
      <c r="E793" s="3" t="s">
        <v>3759</v>
      </c>
      <c r="F793" s="3">
        <v>281</v>
      </c>
      <c r="G793" s="4">
        <v>40878.489583333336</v>
      </c>
      <c r="H793" s="3">
        <v>4</v>
      </c>
      <c r="I793" s="5">
        <v>22</v>
      </c>
      <c r="J793" t="s">
        <v>21</v>
      </c>
      <c r="K793" t="s">
        <v>4497</v>
      </c>
      <c r="L793">
        <v>536464</v>
      </c>
      <c r="M793" s="2">
        <v>84879</v>
      </c>
      <c r="N793">
        <v>1.69</v>
      </c>
      <c r="O793" s="6">
        <v>8</v>
      </c>
      <c r="P793" s="3">
        <v>7.0000000000000007E-2</v>
      </c>
      <c r="Q793" t="s">
        <v>3</v>
      </c>
      <c r="R793" s="7">
        <f t="shared" si="36"/>
        <v>13.52</v>
      </c>
      <c r="S793" s="7">
        <f t="shared" si="37"/>
        <v>0.94640000000000002</v>
      </c>
      <c r="T793">
        <f>Table1[[#This Row],[Total price]]-Table1[[#This Row],[Discount Amount]]</f>
        <v>12.573599999999999</v>
      </c>
      <c r="U793">
        <f t="shared" si="38"/>
        <v>100.58879999999999</v>
      </c>
    </row>
    <row r="794" spans="1:21">
      <c r="A794">
        <v>793</v>
      </c>
      <c r="B794" s="3" t="s">
        <v>1956</v>
      </c>
      <c r="C794" s="3" t="s">
        <v>1050</v>
      </c>
      <c r="D794" s="3" t="s">
        <v>2866</v>
      </c>
      <c r="E794" s="3" t="s">
        <v>3760</v>
      </c>
      <c r="F794" s="3">
        <v>281</v>
      </c>
      <c r="G794" s="4">
        <v>40878.489583333336</v>
      </c>
      <c r="H794" s="3">
        <v>4</v>
      </c>
      <c r="I794" s="5">
        <v>14</v>
      </c>
      <c r="J794" t="s">
        <v>411</v>
      </c>
      <c r="K794" t="s">
        <v>4497</v>
      </c>
      <c r="L794">
        <v>536464</v>
      </c>
      <c r="M794" s="2">
        <v>22086</v>
      </c>
      <c r="N794">
        <v>2.95</v>
      </c>
      <c r="O794" s="6">
        <v>1</v>
      </c>
      <c r="P794" s="3">
        <v>0.1</v>
      </c>
      <c r="Q794" t="s">
        <v>3</v>
      </c>
      <c r="R794" s="7">
        <f t="shared" si="36"/>
        <v>2.95</v>
      </c>
      <c r="S794" s="7">
        <f t="shared" si="37"/>
        <v>0.29500000000000004</v>
      </c>
      <c r="T794">
        <f>Table1[[#This Row],[Total price]]-Table1[[#This Row],[Discount Amount]]</f>
        <v>2.6550000000000002</v>
      </c>
      <c r="U794">
        <f t="shared" si="38"/>
        <v>2.6550000000000002</v>
      </c>
    </row>
    <row r="795" spans="1:21">
      <c r="A795">
        <v>794</v>
      </c>
      <c r="B795" s="3" t="s">
        <v>1955</v>
      </c>
      <c r="C795" s="3" t="s">
        <v>1954</v>
      </c>
      <c r="D795" s="3" t="s">
        <v>2866</v>
      </c>
      <c r="E795" s="3" t="s">
        <v>3761</v>
      </c>
      <c r="F795" s="3">
        <v>281</v>
      </c>
      <c r="G795" s="4">
        <v>40878.489583333336</v>
      </c>
      <c r="H795" s="3">
        <v>4</v>
      </c>
      <c r="I795" s="5">
        <v>7</v>
      </c>
      <c r="J795" t="s">
        <v>39</v>
      </c>
      <c r="K795" t="s">
        <v>4497</v>
      </c>
      <c r="L795">
        <v>536464</v>
      </c>
      <c r="M795" s="2">
        <v>22737</v>
      </c>
      <c r="N795">
        <v>1.65</v>
      </c>
      <c r="O795" s="6">
        <v>1</v>
      </c>
      <c r="P795" s="3">
        <v>7.0000000000000007E-2</v>
      </c>
      <c r="Q795" t="s">
        <v>3</v>
      </c>
      <c r="R795" s="7">
        <f t="shared" si="36"/>
        <v>1.65</v>
      </c>
      <c r="S795" s="7">
        <f t="shared" si="37"/>
        <v>0.11550000000000001</v>
      </c>
      <c r="T795">
        <f>Table1[[#This Row],[Total price]]-Table1[[#This Row],[Discount Amount]]</f>
        <v>1.5345</v>
      </c>
      <c r="U795">
        <f t="shared" si="38"/>
        <v>1.5345</v>
      </c>
    </row>
    <row r="796" spans="1:21">
      <c r="A796">
        <v>795</v>
      </c>
      <c r="B796" s="3" t="s">
        <v>1953</v>
      </c>
      <c r="C796" s="3" t="s">
        <v>951</v>
      </c>
      <c r="D796" s="3" t="s">
        <v>2866</v>
      </c>
      <c r="E796" s="3" t="s">
        <v>3762</v>
      </c>
      <c r="F796" s="3">
        <v>282</v>
      </c>
      <c r="G796" s="4">
        <v>40878.489583333336</v>
      </c>
      <c r="H796" s="3">
        <v>4</v>
      </c>
      <c r="I796" s="5">
        <v>20</v>
      </c>
      <c r="J796" t="s">
        <v>566</v>
      </c>
      <c r="K796" t="s">
        <v>4497</v>
      </c>
      <c r="L796">
        <v>536464</v>
      </c>
      <c r="M796" s="2">
        <v>21260</v>
      </c>
      <c r="N796">
        <v>3.25</v>
      </c>
      <c r="O796" s="6">
        <v>1</v>
      </c>
      <c r="P796" s="3">
        <v>7.0000000000000007E-2</v>
      </c>
      <c r="Q796" t="s">
        <v>3</v>
      </c>
      <c r="R796" s="7">
        <f t="shared" si="36"/>
        <v>3.25</v>
      </c>
      <c r="S796" s="7">
        <f t="shared" si="37"/>
        <v>0.22750000000000004</v>
      </c>
      <c r="T796">
        <f>Table1[[#This Row],[Total price]]-Table1[[#This Row],[Discount Amount]]</f>
        <v>3.0225</v>
      </c>
      <c r="U796">
        <f t="shared" si="38"/>
        <v>3.0225</v>
      </c>
    </row>
    <row r="797" spans="1:21">
      <c r="A797">
        <v>796</v>
      </c>
      <c r="B797" s="3" t="s">
        <v>1952</v>
      </c>
      <c r="C797" s="3" t="s">
        <v>1951</v>
      </c>
      <c r="D797" s="3" t="s">
        <v>2866</v>
      </c>
      <c r="E797" s="3" t="s">
        <v>3763</v>
      </c>
      <c r="F797" s="3">
        <v>282</v>
      </c>
      <c r="G797" s="4">
        <v>40878.489583333336</v>
      </c>
      <c r="H797" s="3">
        <v>4</v>
      </c>
      <c r="I797" s="5">
        <v>7</v>
      </c>
      <c r="J797" t="s">
        <v>266</v>
      </c>
      <c r="K797" t="s">
        <v>4497</v>
      </c>
      <c r="L797">
        <v>536464</v>
      </c>
      <c r="M797" s="2">
        <v>22744</v>
      </c>
      <c r="N797">
        <v>2.95</v>
      </c>
      <c r="O797" s="6">
        <v>2</v>
      </c>
      <c r="P797" s="3">
        <v>7.0000000000000007E-2</v>
      </c>
      <c r="Q797" t="s">
        <v>3</v>
      </c>
      <c r="R797" s="7">
        <f t="shared" si="36"/>
        <v>5.9</v>
      </c>
      <c r="S797" s="7">
        <f t="shared" si="37"/>
        <v>0.41300000000000009</v>
      </c>
      <c r="T797">
        <f>Table1[[#This Row],[Total price]]-Table1[[#This Row],[Discount Amount]]</f>
        <v>5.4870000000000001</v>
      </c>
      <c r="U797">
        <f t="shared" si="38"/>
        <v>10.974</v>
      </c>
    </row>
    <row r="798" spans="1:21">
      <c r="A798">
        <v>797</v>
      </c>
      <c r="B798" s="3" t="s">
        <v>1950</v>
      </c>
      <c r="C798" s="3" t="s">
        <v>896</v>
      </c>
      <c r="D798" s="3" t="s">
        <v>2866</v>
      </c>
      <c r="E798" s="3" t="s">
        <v>3764</v>
      </c>
      <c r="F798" s="3">
        <v>282</v>
      </c>
      <c r="G798" s="4">
        <v>40878.489583333336</v>
      </c>
      <c r="H798" s="3">
        <v>4</v>
      </c>
      <c r="I798" s="5">
        <v>3</v>
      </c>
      <c r="J798" t="s">
        <v>391</v>
      </c>
      <c r="K798" t="s">
        <v>4497</v>
      </c>
      <c r="L798">
        <v>536464</v>
      </c>
      <c r="M798" s="2">
        <v>21985</v>
      </c>
      <c r="N798">
        <v>0.28999999999999998</v>
      </c>
      <c r="O798" s="6">
        <v>1</v>
      </c>
      <c r="P798" s="3">
        <v>0.05</v>
      </c>
      <c r="Q798" t="s">
        <v>3</v>
      </c>
      <c r="R798" s="7">
        <f t="shared" si="36"/>
        <v>0.28999999999999998</v>
      </c>
      <c r="S798" s="7">
        <f t="shared" si="37"/>
        <v>1.4499999999999999E-2</v>
      </c>
      <c r="T798">
        <f>Table1[[#This Row],[Total price]]-Table1[[#This Row],[Discount Amount]]</f>
        <v>0.27549999999999997</v>
      </c>
      <c r="U798">
        <f t="shared" si="38"/>
        <v>0.27549999999999997</v>
      </c>
    </row>
    <row r="799" spans="1:21">
      <c r="A799">
        <v>798</v>
      </c>
      <c r="B799" s="3" t="s">
        <v>1949</v>
      </c>
      <c r="C799" s="3" t="s">
        <v>938</v>
      </c>
      <c r="D799" s="3" t="s">
        <v>2866</v>
      </c>
      <c r="E799" s="3" t="s">
        <v>3765</v>
      </c>
      <c r="F799" s="3">
        <v>282</v>
      </c>
      <c r="G799" s="4">
        <v>40878.489583333336</v>
      </c>
      <c r="H799" s="3">
        <v>4</v>
      </c>
      <c r="I799" s="5">
        <v>16</v>
      </c>
      <c r="J799" t="s">
        <v>259</v>
      </c>
      <c r="K799" t="s">
        <v>4497</v>
      </c>
      <c r="L799">
        <v>536464</v>
      </c>
      <c r="M799" s="2">
        <v>21980</v>
      </c>
      <c r="N799">
        <v>0.28999999999999998</v>
      </c>
      <c r="O799" s="6">
        <v>1</v>
      </c>
      <c r="P799" s="3">
        <v>7.0000000000000007E-2</v>
      </c>
      <c r="Q799" t="s">
        <v>3</v>
      </c>
      <c r="R799" s="7">
        <f t="shared" si="36"/>
        <v>0.28999999999999998</v>
      </c>
      <c r="S799" s="7">
        <f t="shared" si="37"/>
        <v>2.0300000000000002E-2</v>
      </c>
      <c r="T799">
        <f>Table1[[#This Row],[Total price]]-Table1[[#This Row],[Discount Amount]]</f>
        <v>0.2697</v>
      </c>
      <c r="U799">
        <f t="shared" si="38"/>
        <v>0.2697</v>
      </c>
    </row>
    <row r="800" spans="1:21">
      <c r="A800">
        <v>799</v>
      </c>
      <c r="B800" s="3" t="s">
        <v>1948</v>
      </c>
      <c r="C800" s="3" t="s">
        <v>1548</v>
      </c>
      <c r="D800" s="3" t="s">
        <v>2866</v>
      </c>
      <c r="E800" s="3" t="s">
        <v>3766</v>
      </c>
      <c r="F800" s="3">
        <v>283</v>
      </c>
      <c r="G800" s="4">
        <v>40878.489583333336</v>
      </c>
      <c r="H800" s="3">
        <v>4</v>
      </c>
      <c r="I800" s="5">
        <v>9</v>
      </c>
      <c r="J800" t="s">
        <v>871</v>
      </c>
      <c r="K800" t="s">
        <v>4497</v>
      </c>
      <c r="L800">
        <v>536464</v>
      </c>
      <c r="M800" s="2">
        <v>22988</v>
      </c>
      <c r="N800">
        <v>1.25</v>
      </c>
      <c r="O800" s="6">
        <v>1</v>
      </c>
      <c r="P800" s="3">
        <v>0.05</v>
      </c>
      <c r="Q800" t="s">
        <v>3</v>
      </c>
      <c r="R800" s="7">
        <f t="shared" si="36"/>
        <v>1.25</v>
      </c>
      <c r="S800" s="7">
        <f t="shared" si="37"/>
        <v>6.25E-2</v>
      </c>
      <c r="T800">
        <f>Table1[[#This Row],[Total price]]-Table1[[#This Row],[Discount Amount]]</f>
        <v>1.1875</v>
      </c>
      <c r="U800">
        <f t="shared" si="38"/>
        <v>1.1875</v>
      </c>
    </row>
    <row r="801" spans="1:21">
      <c r="A801">
        <v>800</v>
      </c>
      <c r="B801" s="3" t="s">
        <v>1947</v>
      </c>
      <c r="C801" s="3" t="s">
        <v>906</v>
      </c>
      <c r="D801" s="3" t="s">
        <v>2866</v>
      </c>
      <c r="E801" s="3" t="s">
        <v>3767</v>
      </c>
      <c r="F801" s="3">
        <v>283</v>
      </c>
      <c r="G801" s="4">
        <v>40878.489583333336</v>
      </c>
      <c r="H801" s="3">
        <v>4</v>
      </c>
      <c r="I801" s="5">
        <v>16</v>
      </c>
      <c r="J801" t="s">
        <v>349</v>
      </c>
      <c r="K801" t="s">
        <v>4497</v>
      </c>
      <c r="L801">
        <v>536464</v>
      </c>
      <c r="M801" s="2">
        <v>22297</v>
      </c>
      <c r="N801">
        <v>1.25</v>
      </c>
      <c r="O801" s="6">
        <v>1</v>
      </c>
      <c r="P801" s="3">
        <v>0.2</v>
      </c>
      <c r="Q801" t="s">
        <v>3</v>
      </c>
      <c r="R801" s="7">
        <f t="shared" si="36"/>
        <v>1.25</v>
      </c>
      <c r="S801" s="7">
        <f t="shared" si="37"/>
        <v>0.25</v>
      </c>
      <c r="T801">
        <f>Table1[[#This Row],[Total price]]-Table1[[#This Row],[Discount Amount]]</f>
        <v>1</v>
      </c>
      <c r="U801">
        <f t="shared" si="38"/>
        <v>1</v>
      </c>
    </row>
    <row r="802" spans="1:21">
      <c r="A802">
        <v>801</v>
      </c>
      <c r="B802" s="3" t="s">
        <v>957</v>
      </c>
      <c r="C802" s="3" t="s">
        <v>1946</v>
      </c>
      <c r="D802" s="3" t="s">
        <v>2866</v>
      </c>
      <c r="E802" s="3" t="s">
        <v>3768</v>
      </c>
      <c r="F802" s="3">
        <v>284</v>
      </c>
      <c r="G802" s="4">
        <v>40878.489583333336</v>
      </c>
      <c r="H802" s="3">
        <v>4</v>
      </c>
      <c r="I802" s="5">
        <v>24</v>
      </c>
      <c r="J802" t="s">
        <v>638</v>
      </c>
      <c r="K802" t="s">
        <v>4497</v>
      </c>
      <c r="L802">
        <v>536464</v>
      </c>
      <c r="M802" s="2">
        <v>22294</v>
      </c>
      <c r="N802">
        <v>1.25</v>
      </c>
      <c r="O802" s="6">
        <v>1</v>
      </c>
      <c r="P802" s="3">
        <v>0.2</v>
      </c>
      <c r="Q802" t="s">
        <v>3</v>
      </c>
      <c r="R802" s="7">
        <f t="shared" si="36"/>
        <v>1.25</v>
      </c>
      <c r="S802" s="7">
        <f t="shared" si="37"/>
        <v>0.25</v>
      </c>
      <c r="T802">
        <f>Table1[[#This Row],[Total price]]-Table1[[#This Row],[Discount Amount]]</f>
        <v>1</v>
      </c>
      <c r="U802">
        <f t="shared" si="38"/>
        <v>1</v>
      </c>
    </row>
    <row r="803" spans="1:21">
      <c r="A803">
        <v>802</v>
      </c>
      <c r="B803" s="3" t="s">
        <v>940</v>
      </c>
      <c r="C803" s="3" t="s">
        <v>1466</v>
      </c>
      <c r="D803" s="3" t="s">
        <v>2866</v>
      </c>
      <c r="E803" s="3" t="s">
        <v>3769</v>
      </c>
      <c r="F803" s="3">
        <v>284</v>
      </c>
      <c r="G803" s="4">
        <v>40878.489583333336</v>
      </c>
      <c r="H803" s="3">
        <v>4</v>
      </c>
      <c r="I803" s="5">
        <v>20</v>
      </c>
      <c r="J803" t="s">
        <v>242</v>
      </c>
      <c r="K803" t="s">
        <v>4497</v>
      </c>
      <c r="L803">
        <v>536464</v>
      </c>
      <c r="M803" s="2">
        <v>22295</v>
      </c>
      <c r="N803">
        <v>1.65</v>
      </c>
      <c r="O803" s="6">
        <v>1</v>
      </c>
      <c r="P803" s="3">
        <v>0.2</v>
      </c>
      <c r="Q803" t="s">
        <v>3</v>
      </c>
      <c r="R803" s="7">
        <f t="shared" si="36"/>
        <v>1.65</v>
      </c>
      <c r="S803" s="7">
        <f t="shared" si="37"/>
        <v>0.33</v>
      </c>
      <c r="T803">
        <f>Table1[[#This Row],[Total price]]-Table1[[#This Row],[Discount Amount]]</f>
        <v>1.3199999999999998</v>
      </c>
      <c r="U803">
        <f t="shared" si="38"/>
        <v>1.3199999999999998</v>
      </c>
    </row>
    <row r="804" spans="1:21">
      <c r="A804">
        <v>803</v>
      </c>
      <c r="B804" s="3" t="s">
        <v>1945</v>
      </c>
      <c r="C804" s="3" t="s">
        <v>1944</v>
      </c>
      <c r="D804" s="3" t="s">
        <v>2866</v>
      </c>
      <c r="E804" s="3" t="s">
        <v>3770</v>
      </c>
      <c r="F804" s="3">
        <v>285</v>
      </c>
      <c r="G804" s="4">
        <v>40878.489583333336</v>
      </c>
      <c r="H804" s="3">
        <v>4</v>
      </c>
      <c r="I804" s="5">
        <v>16</v>
      </c>
      <c r="J804" t="s">
        <v>262</v>
      </c>
      <c r="K804" t="s">
        <v>4497</v>
      </c>
      <c r="L804">
        <v>536464</v>
      </c>
      <c r="M804" s="2">
        <v>22813</v>
      </c>
      <c r="N804">
        <v>1.95</v>
      </c>
      <c r="O804" s="6">
        <v>2</v>
      </c>
      <c r="P804" s="3">
        <v>0.05</v>
      </c>
      <c r="Q804" t="s">
        <v>3</v>
      </c>
      <c r="R804" s="7">
        <f t="shared" si="36"/>
        <v>3.9</v>
      </c>
      <c r="S804" s="7">
        <f t="shared" si="37"/>
        <v>0.19500000000000001</v>
      </c>
      <c r="T804">
        <f>Table1[[#This Row],[Total price]]-Table1[[#This Row],[Discount Amount]]</f>
        <v>3.7050000000000001</v>
      </c>
      <c r="U804">
        <f t="shared" si="38"/>
        <v>7.41</v>
      </c>
    </row>
    <row r="805" spans="1:21">
      <c r="A805">
        <v>804</v>
      </c>
      <c r="B805" s="3" t="s">
        <v>1016</v>
      </c>
      <c r="C805" s="3" t="s">
        <v>1943</v>
      </c>
      <c r="D805" s="3" t="s">
        <v>2866</v>
      </c>
      <c r="E805" s="3" t="s">
        <v>3771</v>
      </c>
      <c r="F805" s="3">
        <v>285</v>
      </c>
      <c r="G805" s="4">
        <v>40878.489583333336</v>
      </c>
      <c r="H805" s="3">
        <v>4</v>
      </c>
      <c r="I805" s="5">
        <v>12</v>
      </c>
      <c r="J805" t="s">
        <v>275</v>
      </c>
      <c r="K805" t="s">
        <v>4497</v>
      </c>
      <c r="L805">
        <v>536464</v>
      </c>
      <c r="M805" s="2">
        <v>22812</v>
      </c>
      <c r="N805">
        <v>1.95</v>
      </c>
      <c r="O805" s="6">
        <v>6</v>
      </c>
      <c r="P805" s="3">
        <v>0.05</v>
      </c>
      <c r="Q805" t="s">
        <v>3</v>
      </c>
      <c r="R805" s="7">
        <f t="shared" si="36"/>
        <v>11.7</v>
      </c>
      <c r="S805" s="7">
        <f t="shared" si="37"/>
        <v>0.58499999999999996</v>
      </c>
      <c r="T805">
        <f>Table1[[#This Row],[Total price]]-Table1[[#This Row],[Discount Amount]]</f>
        <v>11.114999999999998</v>
      </c>
      <c r="U805">
        <f t="shared" si="38"/>
        <v>66.69</v>
      </c>
    </row>
    <row r="806" spans="1:21">
      <c r="A806">
        <v>805</v>
      </c>
      <c r="B806" s="3" t="s">
        <v>1942</v>
      </c>
      <c r="C806" s="3" t="s">
        <v>912</v>
      </c>
      <c r="D806" s="3" t="s">
        <v>2866</v>
      </c>
      <c r="E806" s="3" t="s">
        <v>3772</v>
      </c>
      <c r="F806" s="3">
        <v>285</v>
      </c>
      <c r="G806" s="4">
        <v>40878.489583333336</v>
      </c>
      <c r="H806" s="3">
        <v>4</v>
      </c>
      <c r="I806" s="5">
        <v>2</v>
      </c>
      <c r="J806" t="s">
        <v>75</v>
      </c>
      <c r="K806" t="s">
        <v>4497</v>
      </c>
      <c r="L806">
        <v>536464</v>
      </c>
      <c r="M806" s="2">
        <v>22197</v>
      </c>
      <c r="N806">
        <v>0.85</v>
      </c>
      <c r="O806" s="6">
        <v>5</v>
      </c>
      <c r="P806" s="3">
        <v>0.1</v>
      </c>
      <c r="Q806" t="s">
        <v>3</v>
      </c>
      <c r="R806" s="7">
        <f t="shared" si="36"/>
        <v>4.25</v>
      </c>
      <c r="S806" s="7">
        <f t="shared" si="37"/>
        <v>0.42500000000000004</v>
      </c>
      <c r="T806">
        <f>Table1[[#This Row],[Total price]]-Table1[[#This Row],[Discount Amount]]</f>
        <v>3.8250000000000002</v>
      </c>
      <c r="U806">
        <f t="shared" si="38"/>
        <v>19.125</v>
      </c>
    </row>
    <row r="807" spans="1:21">
      <c r="A807">
        <v>806</v>
      </c>
      <c r="B807" s="3" t="s">
        <v>1092</v>
      </c>
      <c r="C807" s="3" t="s">
        <v>1941</v>
      </c>
      <c r="D807" s="3" t="s">
        <v>2866</v>
      </c>
      <c r="E807" s="3" t="s">
        <v>3773</v>
      </c>
      <c r="F807" s="3">
        <v>286</v>
      </c>
      <c r="G807" s="4">
        <v>40878.489583333336</v>
      </c>
      <c r="H807" s="3">
        <v>4</v>
      </c>
      <c r="I807" s="5">
        <v>26</v>
      </c>
      <c r="J807" t="s">
        <v>420</v>
      </c>
      <c r="K807" t="s">
        <v>4497</v>
      </c>
      <c r="L807">
        <v>536464</v>
      </c>
      <c r="M807" s="2">
        <v>21977</v>
      </c>
      <c r="N807">
        <v>0.55000000000000004</v>
      </c>
      <c r="O807" s="6">
        <v>1</v>
      </c>
      <c r="P807" s="3">
        <v>0.2</v>
      </c>
      <c r="Q807" t="s">
        <v>3</v>
      </c>
      <c r="R807" s="7">
        <f t="shared" si="36"/>
        <v>0.55000000000000004</v>
      </c>
      <c r="S807" s="7">
        <f t="shared" si="37"/>
        <v>0.11000000000000001</v>
      </c>
      <c r="T807">
        <f>Table1[[#This Row],[Total price]]-Table1[[#This Row],[Discount Amount]]</f>
        <v>0.44000000000000006</v>
      </c>
      <c r="U807">
        <f t="shared" si="38"/>
        <v>0.44000000000000006</v>
      </c>
    </row>
    <row r="808" spans="1:21">
      <c r="A808">
        <v>807</v>
      </c>
      <c r="B808" s="3" t="s">
        <v>1940</v>
      </c>
      <c r="C808" s="3" t="s">
        <v>1622</v>
      </c>
      <c r="D808" s="3" t="s">
        <v>2866</v>
      </c>
      <c r="E808" s="3" t="s">
        <v>3774</v>
      </c>
      <c r="F808" s="3">
        <v>286</v>
      </c>
      <c r="G808" s="4">
        <v>40878.489583333336</v>
      </c>
      <c r="H808" s="3">
        <v>4</v>
      </c>
      <c r="I808" s="5">
        <v>21</v>
      </c>
      <c r="J808" t="s">
        <v>170</v>
      </c>
      <c r="K808" t="s">
        <v>4497</v>
      </c>
      <c r="L808">
        <v>536464</v>
      </c>
      <c r="M808" s="2">
        <v>22619</v>
      </c>
      <c r="N808">
        <v>3.75</v>
      </c>
      <c r="O808" s="6">
        <v>1</v>
      </c>
      <c r="P808" s="3">
        <v>7.0000000000000007E-2</v>
      </c>
      <c r="Q808" t="s">
        <v>3</v>
      </c>
      <c r="R808" s="7">
        <f t="shared" si="36"/>
        <v>3.75</v>
      </c>
      <c r="S808" s="7">
        <f t="shared" si="37"/>
        <v>0.26250000000000001</v>
      </c>
      <c r="T808">
        <f>Table1[[#This Row],[Total price]]-Table1[[#This Row],[Discount Amount]]</f>
        <v>3.4874999999999998</v>
      </c>
      <c r="U808">
        <f t="shared" si="38"/>
        <v>3.4874999999999998</v>
      </c>
    </row>
    <row r="809" spans="1:21">
      <c r="A809">
        <v>808</v>
      </c>
      <c r="B809" s="3" t="s">
        <v>1939</v>
      </c>
      <c r="C809" s="3" t="s">
        <v>1298</v>
      </c>
      <c r="D809" s="3" t="s">
        <v>2866</v>
      </c>
      <c r="E809" s="3" t="s">
        <v>3775</v>
      </c>
      <c r="F809" s="3">
        <v>286</v>
      </c>
      <c r="G809" s="4">
        <v>40878.489583333336</v>
      </c>
      <c r="H809" s="3">
        <v>4</v>
      </c>
      <c r="I809" s="5">
        <v>16</v>
      </c>
      <c r="J809" t="s">
        <v>751</v>
      </c>
      <c r="K809" t="s">
        <v>4497</v>
      </c>
      <c r="L809">
        <v>536464</v>
      </c>
      <c r="M809" s="2" t="s">
        <v>750</v>
      </c>
      <c r="N809">
        <v>0.42</v>
      </c>
      <c r="O809" s="6">
        <v>1</v>
      </c>
      <c r="P809" s="3">
        <v>0.1</v>
      </c>
      <c r="Q809" t="s">
        <v>3</v>
      </c>
      <c r="R809" s="7">
        <f t="shared" si="36"/>
        <v>0.42</v>
      </c>
      <c r="S809" s="7">
        <f t="shared" si="37"/>
        <v>4.2000000000000003E-2</v>
      </c>
      <c r="T809">
        <f>Table1[[#This Row],[Total price]]-Table1[[#This Row],[Discount Amount]]</f>
        <v>0.378</v>
      </c>
      <c r="U809">
        <f t="shared" si="38"/>
        <v>0.378</v>
      </c>
    </row>
    <row r="810" spans="1:21">
      <c r="A810">
        <v>809</v>
      </c>
      <c r="B810" s="3" t="s">
        <v>1938</v>
      </c>
      <c r="C810" s="3" t="s">
        <v>1937</v>
      </c>
      <c r="D810" s="3" t="s">
        <v>2866</v>
      </c>
      <c r="E810" s="3" t="s">
        <v>3776</v>
      </c>
      <c r="F810" s="3">
        <v>286</v>
      </c>
      <c r="G810" s="4">
        <v>40878.489583333336</v>
      </c>
      <c r="H810" s="3">
        <v>4</v>
      </c>
      <c r="I810" s="5">
        <v>7</v>
      </c>
      <c r="J810" t="s">
        <v>327</v>
      </c>
      <c r="K810" t="s">
        <v>4497</v>
      </c>
      <c r="L810">
        <v>536464</v>
      </c>
      <c r="M810" s="2">
        <v>21992</v>
      </c>
      <c r="N810">
        <v>2.95</v>
      </c>
      <c r="O810" s="6">
        <v>1</v>
      </c>
      <c r="P810" s="3">
        <v>0.1</v>
      </c>
      <c r="Q810" t="s">
        <v>3</v>
      </c>
      <c r="R810" s="7">
        <f t="shared" si="36"/>
        <v>2.95</v>
      </c>
      <c r="S810" s="7">
        <f t="shared" si="37"/>
        <v>0.29500000000000004</v>
      </c>
      <c r="T810">
        <f>Table1[[#This Row],[Total price]]-Table1[[#This Row],[Discount Amount]]</f>
        <v>2.6550000000000002</v>
      </c>
      <c r="U810">
        <f t="shared" si="38"/>
        <v>2.6550000000000002</v>
      </c>
    </row>
    <row r="811" spans="1:21">
      <c r="A811">
        <v>810</v>
      </c>
      <c r="B811" s="3" t="s">
        <v>1936</v>
      </c>
      <c r="C811" s="3" t="s">
        <v>1935</v>
      </c>
      <c r="D811" s="3" t="s">
        <v>3777</v>
      </c>
      <c r="E811" s="3" t="s">
        <v>3778</v>
      </c>
      <c r="F811" s="3">
        <v>287</v>
      </c>
      <c r="G811" s="4">
        <v>40878.489583333336</v>
      </c>
      <c r="H811" s="3">
        <v>3</v>
      </c>
      <c r="I811" s="5">
        <v>5</v>
      </c>
      <c r="J811" t="s">
        <v>63</v>
      </c>
      <c r="K811" t="s">
        <v>4497</v>
      </c>
      <c r="L811">
        <v>536464</v>
      </c>
      <c r="M811" s="2">
        <v>22910</v>
      </c>
      <c r="N811">
        <v>2.95</v>
      </c>
      <c r="O811" s="6">
        <v>1</v>
      </c>
      <c r="P811" s="3">
        <v>0.2</v>
      </c>
      <c r="Q811" t="s">
        <v>3</v>
      </c>
      <c r="R811" s="7">
        <f t="shared" si="36"/>
        <v>2.95</v>
      </c>
      <c r="S811" s="7">
        <f t="shared" si="37"/>
        <v>0.59000000000000008</v>
      </c>
      <c r="T811">
        <f>Table1[[#This Row],[Total price]]-Table1[[#This Row],[Discount Amount]]</f>
        <v>2.3600000000000003</v>
      </c>
      <c r="U811">
        <f t="shared" si="38"/>
        <v>2.3600000000000003</v>
      </c>
    </row>
    <row r="812" spans="1:21">
      <c r="A812">
        <v>811</v>
      </c>
      <c r="B812" s="3" t="s">
        <v>1934</v>
      </c>
      <c r="C812" s="3" t="s">
        <v>1137</v>
      </c>
      <c r="D812" s="3" t="s">
        <v>2866</v>
      </c>
      <c r="E812" s="3" t="s">
        <v>3779</v>
      </c>
      <c r="F812" s="3">
        <v>287</v>
      </c>
      <c r="G812" s="4">
        <v>40878.489583333336</v>
      </c>
      <c r="H812" s="3">
        <v>4</v>
      </c>
      <c r="I812" s="5">
        <v>10</v>
      </c>
      <c r="J812" t="s">
        <v>424</v>
      </c>
      <c r="K812" t="s">
        <v>4497</v>
      </c>
      <c r="L812">
        <v>536464</v>
      </c>
      <c r="M812" s="2">
        <v>21124</v>
      </c>
      <c r="N812">
        <v>1.25</v>
      </c>
      <c r="O812" s="6">
        <v>1</v>
      </c>
      <c r="P812" s="3">
        <v>0.05</v>
      </c>
      <c r="Q812" t="s">
        <v>3</v>
      </c>
      <c r="R812" s="7">
        <f t="shared" si="36"/>
        <v>1.25</v>
      </c>
      <c r="S812" s="7">
        <f t="shared" si="37"/>
        <v>6.25E-2</v>
      </c>
      <c r="T812">
        <f>Table1[[#This Row],[Total price]]-Table1[[#This Row],[Discount Amount]]</f>
        <v>1.1875</v>
      </c>
      <c r="U812">
        <f t="shared" si="38"/>
        <v>1.1875</v>
      </c>
    </row>
    <row r="813" spans="1:21">
      <c r="A813">
        <v>812</v>
      </c>
      <c r="B813" s="3" t="s">
        <v>1933</v>
      </c>
      <c r="C813" s="3" t="s">
        <v>1932</v>
      </c>
      <c r="D813" s="3" t="s">
        <v>2866</v>
      </c>
      <c r="E813" s="3" t="s">
        <v>3780</v>
      </c>
      <c r="F813" s="3">
        <v>287</v>
      </c>
      <c r="G813" s="4">
        <v>40878.489583333336</v>
      </c>
      <c r="H813" s="3">
        <v>4</v>
      </c>
      <c r="I813" s="5">
        <v>2</v>
      </c>
      <c r="J813" t="s">
        <v>168</v>
      </c>
      <c r="K813" t="s">
        <v>4497</v>
      </c>
      <c r="L813">
        <v>536464</v>
      </c>
      <c r="M813" s="2">
        <v>22735</v>
      </c>
      <c r="N813">
        <v>1.65</v>
      </c>
      <c r="O813" s="6">
        <v>2</v>
      </c>
      <c r="P813" s="3">
        <v>0.05</v>
      </c>
      <c r="Q813" t="s">
        <v>3</v>
      </c>
      <c r="R813" s="7">
        <f t="shared" si="36"/>
        <v>3.3</v>
      </c>
      <c r="S813" s="7">
        <f t="shared" si="37"/>
        <v>0.16500000000000001</v>
      </c>
      <c r="T813">
        <f>Table1[[#This Row],[Total price]]-Table1[[#This Row],[Discount Amount]]</f>
        <v>3.1349999999999998</v>
      </c>
      <c r="U813">
        <f t="shared" si="38"/>
        <v>6.27</v>
      </c>
    </row>
    <row r="814" spans="1:21">
      <c r="A814">
        <v>813</v>
      </c>
      <c r="B814" s="3" t="s">
        <v>1931</v>
      </c>
      <c r="C814" s="3" t="s">
        <v>1671</v>
      </c>
      <c r="D814" s="3" t="s">
        <v>2866</v>
      </c>
      <c r="E814" s="3" t="s">
        <v>3781</v>
      </c>
      <c r="F814" s="3">
        <v>287</v>
      </c>
      <c r="G814" s="4">
        <v>40878.489583333336</v>
      </c>
      <c r="H814" s="3">
        <v>4</v>
      </c>
      <c r="I814" s="5">
        <v>20</v>
      </c>
      <c r="J814" t="s">
        <v>117</v>
      </c>
      <c r="K814" t="s">
        <v>4497</v>
      </c>
      <c r="L814">
        <v>536464</v>
      </c>
      <c r="M814" s="2">
        <v>22952</v>
      </c>
      <c r="N814">
        <v>0.55000000000000004</v>
      </c>
      <c r="O814" s="6">
        <v>2</v>
      </c>
      <c r="P814" s="3">
        <v>0.05</v>
      </c>
      <c r="Q814" t="s">
        <v>3</v>
      </c>
      <c r="R814" s="7">
        <f t="shared" si="36"/>
        <v>1.1000000000000001</v>
      </c>
      <c r="S814" s="7">
        <f t="shared" si="37"/>
        <v>5.5000000000000007E-2</v>
      </c>
      <c r="T814">
        <f>Table1[[#This Row],[Total price]]-Table1[[#This Row],[Discount Amount]]</f>
        <v>1.0450000000000002</v>
      </c>
      <c r="U814">
        <f t="shared" si="38"/>
        <v>2.0900000000000003</v>
      </c>
    </row>
    <row r="815" spans="1:21">
      <c r="A815">
        <v>814</v>
      </c>
      <c r="B815" s="3" t="s">
        <v>1930</v>
      </c>
      <c r="C815" s="3" t="s">
        <v>1183</v>
      </c>
      <c r="D815" s="3" t="s">
        <v>2866</v>
      </c>
      <c r="E815" s="3" t="s">
        <v>3782</v>
      </c>
      <c r="F815" s="3">
        <v>288</v>
      </c>
      <c r="G815" s="4">
        <v>40878.489583333336</v>
      </c>
      <c r="H815" s="3">
        <v>4</v>
      </c>
      <c r="I815" s="5">
        <v>4</v>
      </c>
      <c r="J815" t="s">
        <v>572</v>
      </c>
      <c r="K815" t="s">
        <v>4497</v>
      </c>
      <c r="L815">
        <v>536464</v>
      </c>
      <c r="M815" s="2">
        <v>22945</v>
      </c>
      <c r="N815">
        <v>0.85</v>
      </c>
      <c r="O815" s="6">
        <v>6</v>
      </c>
      <c r="P815" s="3">
        <v>0.2</v>
      </c>
      <c r="Q815" t="s">
        <v>3</v>
      </c>
      <c r="R815" s="7">
        <f t="shared" si="36"/>
        <v>5.0999999999999996</v>
      </c>
      <c r="S815" s="7">
        <f t="shared" si="37"/>
        <v>1.02</v>
      </c>
      <c r="T815">
        <f>Table1[[#This Row],[Total price]]-Table1[[#This Row],[Discount Amount]]</f>
        <v>4.08</v>
      </c>
      <c r="U815">
        <f t="shared" si="38"/>
        <v>24.48</v>
      </c>
    </row>
    <row r="816" spans="1:21">
      <c r="A816">
        <v>815</v>
      </c>
      <c r="B816" s="3" t="s">
        <v>1929</v>
      </c>
      <c r="C816" s="3" t="s">
        <v>1044</v>
      </c>
      <c r="D816" s="3" t="s">
        <v>2866</v>
      </c>
      <c r="E816" s="3" t="s">
        <v>3783</v>
      </c>
      <c r="F816" s="3">
        <v>288</v>
      </c>
      <c r="G816" s="4">
        <v>40878.489583333336</v>
      </c>
      <c r="H816" s="3">
        <v>4</v>
      </c>
      <c r="I816" s="5">
        <v>10</v>
      </c>
      <c r="J816" t="s">
        <v>741</v>
      </c>
      <c r="K816" t="s">
        <v>4497</v>
      </c>
      <c r="L816">
        <v>536464</v>
      </c>
      <c r="M816" s="2">
        <v>21816</v>
      </c>
      <c r="N816">
        <v>1.45</v>
      </c>
      <c r="O816" s="6">
        <v>2</v>
      </c>
      <c r="P816" s="3">
        <v>0.1</v>
      </c>
      <c r="Q816" t="s">
        <v>3</v>
      </c>
      <c r="R816" s="7">
        <f t="shared" si="36"/>
        <v>2.9</v>
      </c>
      <c r="S816" s="7">
        <f t="shared" si="37"/>
        <v>0.28999999999999998</v>
      </c>
      <c r="T816">
        <f>Table1[[#This Row],[Total price]]-Table1[[#This Row],[Discount Amount]]</f>
        <v>2.61</v>
      </c>
      <c r="U816">
        <f t="shared" si="38"/>
        <v>5.22</v>
      </c>
    </row>
    <row r="817" spans="1:21">
      <c r="A817">
        <v>816</v>
      </c>
      <c r="B817" s="3" t="s">
        <v>1231</v>
      </c>
      <c r="C817" s="3" t="s">
        <v>1928</v>
      </c>
      <c r="D817" s="3" t="s">
        <v>2866</v>
      </c>
      <c r="E817" s="3" t="s">
        <v>3784</v>
      </c>
      <c r="F817" s="3">
        <v>288</v>
      </c>
      <c r="G817" s="4">
        <v>40878.489583333336</v>
      </c>
      <c r="H817" s="3">
        <v>4</v>
      </c>
      <c r="I817" s="5">
        <v>7</v>
      </c>
      <c r="J817" t="s">
        <v>557</v>
      </c>
      <c r="K817" t="s">
        <v>4497</v>
      </c>
      <c r="L817">
        <v>536464</v>
      </c>
      <c r="M817" s="2">
        <v>21815</v>
      </c>
      <c r="N817">
        <v>1.45</v>
      </c>
      <c r="O817" s="6">
        <v>4</v>
      </c>
      <c r="P817" s="3">
        <v>0.05</v>
      </c>
      <c r="Q817" t="s">
        <v>3</v>
      </c>
      <c r="R817" s="7">
        <f t="shared" si="36"/>
        <v>5.8</v>
      </c>
      <c r="S817" s="7">
        <f t="shared" si="37"/>
        <v>0.28999999999999998</v>
      </c>
      <c r="T817">
        <f>Table1[[#This Row],[Total price]]-Table1[[#This Row],[Discount Amount]]</f>
        <v>5.51</v>
      </c>
      <c r="U817">
        <f t="shared" si="38"/>
        <v>22.04</v>
      </c>
    </row>
    <row r="818" spans="1:21">
      <c r="A818">
        <v>817</v>
      </c>
      <c r="B818" s="3" t="s">
        <v>1927</v>
      </c>
      <c r="C818" s="3" t="s">
        <v>1191</v>
      </c>
      <c r="D818" s="3" t="s">
        <v>3785</v>
      </c>
      <c r="E818" s="3" t="s">
        <v>3786</v>
      </c>
      <c r="F818" s="3">
        <v>289</v>
      </c>
      <c r="G818" s="4">
        <v>40878.489583333336</v>
      </c>
      <c r="H818" s="3">
        <v>4</v>
      </c>
      <c r="I818" s="5">
        <v>13</v>
      </c>
      <c r="J818" t="s">
        <v>435</v>
      </c>
      <c r="K818" t="s">
        <v>4497</v>
      </c>
      <c r="L818">
        <v>536464</v>
      </c>
      <c r="M818" s="2">
        <v>21814</v>
      </c>
      <c r="N818">
        <v>1.45</v>
      </c>
      <c r="O818" s="6">
        <v>2</v>
      </c>
      <c r="P818" s="3">
        <v>7.0000000000000007E-2</v>
      </c>
      <c r="Q818" t="s">
        <v>3</v>
      </c>
      <c r="R818" s="7">
        <f t="shared" si="36"/>
        <v>2.9</v>
      </c>
      <c r="S818" s="7">
        <f t="shared" si="37"/>
        <v>0.20300000000000001</v>
      </c>
      <c r="T818">
        <f>Table1[[#This Row],[Total price]]-Table1[[#This Row],[Discount Amount]]</f>
        <v>2.6970000000000001</v>
      </c>
      <c r="U818">
        <f t="shared" si="38"/>
        <v>5.3940000000000001</v>
      </c>
    </row>
    <row r="819" spans="1:21">
      <c r="A819">
        <v>818</v>
      </c>
      <c r="B819" s="3" t="s">
        <v>1926</v>
      </c>
      <c r="C819" s="3" t="s">
        <v>1925</v>
      </c>
      <c r="D819" s="3" t="s">
        <v>3787</v>
      </c>
      <c r="E819" s="3" t="s">
        <v>3788</v>
      </c>
      <c r="F819" s="3">
        <v>289</v>
      </c>
      <c r="G819" s="4">
        <v>40878.489583333336</v>
      </c>
      <c r="H819" s="3">
        <v>4</v>
      </c>
      <c r="I819" s="5">
        <v>24</v>
      </c>
      <c r="J819" t="s">
        <v>359</v>
      </c>
      <c r="K819" t="s">
        <v>4497</v>
      </c>
      <c r="L819">
        <v>536464</v>
      </c>
      <c r="M819" s="2">
        <v>10125</v>
      </c>
      <c r="N819">
        <v>0.85</v>
      </c>
      <c r="O819" s="6">
        <v>2</v>
      </c>
      <c r="P819" s="3">
        <v>0.2</v>
      </c>
      <c r="Q819" t="s">
        <v>3</v>
      </c>
      <c r="R819" s="7">
        <f t="shared" si="36"/>
        <v>1.7</v>
      </c>
      <c r="S819" s="7">
        <f t="shared" si="37"/>
        <v>0.34</v>
      </c>
      <c r="T819">
        <f>Table1[[#This Row],[Total price]]-Table1[[#This Row],[Discount Amount]]</f>
        <v>1.3599999999999999</v>
      </c>
      <c r="U819">
        <f t="shared" si="38"/>
        <v>2.7199999999999998</v>
      </c>
    </row>
    <row r="820" spans="1:21">
      <c r="A820">
        <v>819</v>
      </c>
      <c r="B820" s="3" t="s">
        <v>1924</v>
      </c>
      <c r="C820" s="3" t="s">
        <v>1508</v>
      </c>
      <c r="D820" s="3" t="s">
        <v>2866</v>
      </c>
      <c r="E820" s="3" t="s">
        <v>3789</v>
      </c>
      <c r="F820" s="3">
        <v>289</v>
      </c>
      <c r="G820" s="4">
        <v>40878.489583333336</v>
      </c>
      <c r="H820" s="3">
        <v>4</v>
      </c>
      <c r="I820" s="5">
        <v>17</v>
      </c>
      <c r="J820" t="s">
        <v>467</v>
      </c>
      <c r="K820" t="s">
        <v>4497</v>
      </c>
      <c r="L820">
        <v>536464</v>
      </c>
      <c r="M820" s="2">
        <v>22810</v>
      </c>
      <c r="N820">
        <v>2.95</v>
      </c>
      <c r="O820" s="6">
        <v>1</v>
      </c>
      <c r="P820" s="3">
        <v>0.2</v>
      </c>
      <c r="Q820" t="s">
        <v>3</v>
      </c>
      <c r="R820" s="7">
        <f t="shared" si="36"/>
        <v>2.95</v>
      </c>
      <c r="S820" s="7">
        <f t="shared" si="37"/>
        <v>0.59000000000000008</v>
      </c>
      <c r="T820">
        <f>Table1[[#This Row],[Total price]]-Table1[[#This Row],[Discount Amount]]</f>
        <v>2.3600000000000003</v>
      </c>
      <c r="U820">
        <f t="shared" si="38"/>
        <v>2.3600000000000003</v>
      </c>
    </row>
    <row r="821" spans="1:21">
      <c r="A821">
        <v>820</v>
      </c>
      <c r="B821" s="3" t="s">
        <v>1923</v>
      </c>
      <c r="C821" s="3" t="s">
        <v>1705</v>
      </c>
      <c r="D821" s="3" t="s">
        <v>2866</v>
      </c>
      <c r="E821" s="3" t="s">
        <v>3790</v>
      </c>
      <c r="F821" s="3">
        <v>290</v>
      </c>
      <c r="G821" s="4">
        <v>40878.489583333336</v>
      </c>
      <c r="H821" s="3">
        <v>4</v>
      </c>
      <c r="I821" s="5">
        <v>2</v>
      </c>
      <c r="J821" t="s">
        <v>370</v>
      </c>
      <c r="K821" t="s">
        <v>4497</v>
      </c>
      <c r="L821">
        <v>536464</v>
      </c>
      <c r="M821" s="2">
        <v>22573</v>
      </c>
      <c r="N821">
        <v>0.85</v>
      </c>
      <c r="O821" s="6">
        <v>1</v>
      </c>
      <c r="P821" s="3">
        <v>7.0000000000000007E-2</v>
      </c>
      <c r="Q821" t="s">
        <v>3</v>
      </c>
      <c r="R821" s="7">
        <f t="shared" si="36"/>
        <v>0.85</v>
      </c>
      <c r="S821" s="7">
        <f t="shared" si="37"/>
        <v>5.9500000000000004E-2</v>
      </c>
      <c r="T821">
        <f>Table1[[#This Row],[Total price]]-Table1[[#This Row],[Discount Amount]]</f>
        <v>0.79049999999999998</v>
      </c>
      <c r="U821">
        <f t="shared" si="38"/>
        <v>0.79049999999999998</v>
      </c>
    </row>
    <row r="822" spans="1:21">
      <c r="A822">
        <v>821</v>
      </c>
      <c r="B822" s="3" t="s">
        <v>1922</v>
      </c>
      <c r="C822" s="3" t="s">
        <v>1379</v>
      </c>
      <c r="D822" s="3" t="s">
        <v>2866</v>
      </c>
      <c r="E822" s="3" t="s">
        <v>3791</v>
      </c>
      <c r="F822" s="3">
        <v>290</v>
      </c>
      <c r="G822" s="4">
        <v>40878.489583333336</v>
      </c>
      <c r="H822" s="3">
        <v>4</v>
      </c>
      <c r="I822" s="5">
        <v>5</v>
      </c>
      <c r="J822" t="s">
        <v>141</v>
      </c>
      <c r="K822" t="s">
        <v>4497</v>
      </c>
      <c r="L822">
        <v>536464</v>
      </c>
      <c r="M822" s="2">
        <v>22577</v>
      </c>
      <c r="N822">
        <v>0.85</v>
      </c>
      <c r="O822" s="6">
        <v>1</v>
      </c>
      <c r="P822" s="3">
        <v>7.0000000000000007E-2</v>
      </c>
      <c r="Q822" t="s">
        <v>3</v>
      </c>
      <c r="R822" s="7">
        <f t="shared" si="36"/>
        <v>0.85</v>
      </c>
      <c r="S822" s="7">
        <f t="shared" si="37"/>
        <v>5.9500000000000004E-2</v>
      </c>
      <c r="T822">
        <f>Table1[[#This Row],[Total price]]-Table1[[#This Row],[Discount Amount]]</f>
        <v>0.79049999999999998</v>
      </c>
      <c r="U822">
        <f t="shared" si="38"/>
        <v>0.79049999999999998</v>
      </c>
    </row>
    <row r="823" spans="1:21">
      <c r="A823">
        <v>822</v>
      </c>
      <c r="B823" s="3" t="s">
        <v>1921</v>
      </c>
      <c r="C823" s="3" t="s">
        <v>1920</v>
      </c>
      <c r="D823" s="3" t="s">
        <v>2866</v>
      </c>
      <c r="E823" s="3" t="s">
        <v>3792</v>
      </c>
      <c r="F823" s="3">
        <v>290</v>
      </c>
      <c r="G823" s="4">
        <v>40878.489583333336</v>
      </c>
      <c r="H823" s="3">
        <v>4</v>
      </c>
      <c r="I823" s="5">
        <v>21</v>
      </c>
      <c r="J823" t="s">
        <v>548</v>
      </c>
      <c r="K823" t="s">
        <v>4497</v>
      </c>
      <c r="L823">
        <v>536464</v>
      </c>
      <c r="M823" s="2">
        <v>22603</v>
      </c>
      <c r="N823">
        <v>0.85</v>
      </c>
      <c r="O823" s="6">
        <v>2</v>
      </c>
      <c r="P823" s="3">
        <v>0.1</v>
      </c>
      <c r="Q823" t="s">
        <v>3</v>
      </c>
      <c r="R823" s="7">
        <f t="shared" si="36"/>
        <v>1.7</v>
      </c>
      <c r="S823" s="7">
        <f t="shared" si="37"/>
        <v>0.17</v>
      </c>
      <c r="T823">
        <f>Table1[[#This Row],[Total price]]-Table1[[#This Row],[Discount Amount]]</f>
        <v>1.53</v>
      </c>
      <c r="U823">
        <f t="shared" si="38"/>
        <v>3.06</v>
      </c>
    </row>
    <row r="824" spans="1:21">
      <c r="A824">
        <v>823</v>
      </c>
      <c r="B824" s="3" t="s">
        <v>1919</v>
      </c>
      <c r="C824" s="3" t="s">
        <v>963</v>
      </c>
      <c r="D824" s="3" t="s">
        <v>2866</v>
      </c>
      <c r="E824" s="3" t="s">
        <v>3793</v>
      </c>
      <c r="F824" s="3">
        <v>291</v>
      </c>
      <c r="G824" s="4">
        <v>40878.489583333336</v>
      </c>
      <c r="H824" s="3">
        <v>4</v>
      </c>
      <c r="I824" s="5">
        <v>6</v>
      </c>
      <c r="J824" t="s">
        <v>464</v>
      </c>
      <c r="K824" t="s">
        <v>4497</v>
      </c>
      <c r="L824">
        <v>536464</v>
      </c>
      <c r="M824" s="2">
        <v>22809</v>
      </c>
      <c r="N824">
        <v>2.95</v>
      </c>
      <c r="O824" s="6">
        <v>1</v>
      </c>
      <c r="P824" s="3">
        <v>0.05</v>
      </c>
      <c r="Q824" t="s">
        <v>3</v>
      </c>
      <c r="R824" s="7">
        <f t="shared" si="36"/>
        <v>2.95</v>
      </c>
      <c r="S824" s="7">
        <f t="shared" si="37"/>
        <v>0.14750000000000002</v>
      </c>
      <c r="T824">
        <f>Table1[[#This Row],[Total price]]-Table1[[#This Row],[Discount Amount]]</f>
        <v>2.8025000000000002</v>
      </c>
      <c r="U824">
        <f t="shared" si="38"/>
        <v>2.8025000000000002</v>
      </c>
    </row>
    <row r="825" spans="1:21">
      <c r="A825">
        <v>824</v>
      </c>
      <c r="B825" s="3" t="s">
        <v>1918</v>
      </c>
      <c r="C825" s="3" t="s">
        <v>902</v>
      </c>
      <c r="D825" s="3" t="s">
        <v>2866</v>
      </c>
      <c r="E825" s="3" t="s">
        <v>3794</v>
      </c>
      <c r="F825" s="3">
        <v>291</v>
      </c>
      <c r="G825" s="4">
        <v>40878.489583333336</v>
      </c>
      <c r="H825" s="3">
        <v>4</v>
      </c>
      <c r="I825" s="5">
        <v>21</v>
      </c>
      <c r="J825" t="s">
        <v>302</v>
      </c>
      <c r="K825" t="s">
        <v>4497</v>
      </c>
      <c r="L825">
        <v>536464</v>
      </c>
      <c r="M825" s="2">
        <v>20878</v>
      </c>
      <c r="N825">
        <v>1.25</v>
      </c>
      <c r="O825" s="6">
        <v>1</v>
      </c>
      <c r="P825" s="3">
        <v>7.0000000000000007E-2</v>
      </c>
      <c r="Q825" t="s">
        <v>3</v>
      </c>
      <c r="R825" s="7">
        <f t="shared" si="36"/>
        <v>1.25</v>
      </c>
      <c r="S825" s="7">
        <f t="shared" si="37"/>
        <v>8.7500000000000008E-2</v>
      </c>
      <c r="T825">
        <f>Table1[[#This Row],[Total price]]-Table1[[#This Row],[Discount Amount]]</f>
        <v>1.1625000000000001</v>
      </c>
      <c r="U825">
        <f t="shared" si="38"/>
        <v>1.1625000000000001</v>
      </c>
    </row>
    <row r="826" spans="1:21">
      <c r="A826">
        <v>825</v>
      </c>
      <c r="B826" s="3" t="s">
        <v>1779</v>
      </c>
      <c r="C826" s="3" t="s">
        <v>1917</v>
      </c>
      <c r="D826" s="3" t="s">
        <v>2866</v>
      </c>
      <c r="E826" s="3" t="s">
        <v>3795</v>
      </c>
      <c r="F826" s="3">
        <v>292</v>
      </c>
      <c r="G826" s="4">
        <v>40878.489583333336</v>
      </c>
      <c r="H826" s="3">
        <v>4</v>
      </c>
      <c r="I826" s="5">
        <v>18</v>
      </c>
      <c r="J826" t="s">
        <v>731</v>
      </c>
      <c r="K826" t="s">
        <v>4497</v>
      </c>
      <c r="L826">
        <v>536464</v>
      </c>
      <c r="M826" s="2">
        <v>20866</v>
      </c>
      <c r="N826">
        <v>1.25</v>
      </c>
      <c r="O826" s="6">
        <v>1</v>
      </c>
      <c r="P826" s="3">
        <v>0.1</v>
      </c>
      <c r="Q826" t="s">
        <v>3</v>
      </c>
      <c r="R826" s="7">
        <f t="shared" si="36"/>
        <v>1.25</v>
      </c>
      <c r="S826" s="7">
        <f t="shared" si="37"/>
        <v>0.125</v>
      </c>
      <c r="T826">
        <f>Table1[[#This Row],[Total price]]-Table1[[#This Row],[Discount Amount]]</f>
        <v>1.125</v>
      </c>
      <c r="U826">
        <f t="shared" si="38"/>
        <v>1.125</v>
      </c>
    </row>
    <row r="827" spans="1:21">
      <c r="A827">
        <v>826</v>
      </c>
      <c r="B827" s="3" t="s">
        <v>1916</v>
      </c>
      <c r="C827" s="3" t="s">
        <v>1915</v>
      </c>
      <c r="D827" s="3" t="s">
        <v>2866</v>
      </c>
      <c r="E827" s="3" t="s">
        <v>3796</v>
      </c>
      <c r="F827" s="3">
        <v>292</v>
      </c>
      <c r="G827" s="4">
        <v>40878.489583333336</v>
      </c>
      <c r="H827" s="3">
        <v>4</v>
      </c>
      <c r="I827" s="5">
        <v>4</v>
      </c>
      <c r="J827" t="s">
        <v>882</v>
      </c>
      <c r="K827" t="s">
        <v>4497</v>
      </c>
      <c r="L827">
        <v>536464</v>
      </c>
      <c r="M827" s="2">
        <v>85095</v>
      </c>
      <c r="N827">
        <v>1.95</v>
      </c>
      <c r="O827" s="6">
        <v>1</v>
      </c>
      <c r="P827" s="3">
        <v>7.0000000000000007E-2</v>
      </c>
      <c r="Q827" t="s">
        <v>3</v>
      </c>
      <c r="R827" s="7">
        <f t="shared" si="36"/>
        <v>1.95</v>
      </c>
      <c r="S827" s="7">
        <f t="shared" si="37"/>
        <v>0.13650000000000001</v>
      </c>
      <c r="T827">
        <f>Table1[[#This Row],[Total price]]-Table1[[#This Row],[Discount Amount]]</f>
        <v>1.8134999999999999</v>
      </c>
      <c r="U827">
        <f t="shared" si="38"/>
        <v>1.8134999999999999</v>
      </c>
    </row>
    <row r="828" spans="1:21">
      <c r="A828">
        <v>827</v>
      </c>
      <c r="B828" s="3" t="s">
        <v>1823</v>
      </c>
      <c r="C828" s="3" t="s">
        <v>1424</v>
      </c>
      <c r="D828" s="3" t="s">
        <v>2866</v>
      </c>
      <c r="E828" s="3" t="s">
        <v>3797</v>
      </c>
      <c r="F828" s="3">
        <v>292</v>
      </c>
      <c r="G828" s="4">
        <v>40878.489583333336</v>
      </c>
      <c r="H828" s="3">
        <v>4</v>
      </c>
      <c r="I828" s="5">
        <v>10</v>
      </c>
      <c r="J828" t="s">
        <v>88</v>
      </c>
      <c r="K828" t="s">
        <v>4497</v>
      </c>
      <c r="L828">
        <v>536464</v>
      </c>
      <c r="M828" s="2">
        <v>22333</v>
      </c>
      <c r="N828">
        <v>1.65</v>
      </c>
      <c r="O828" s="6">
        <v>1</v>
      </c>
      <c r="P828" s="3">
        <v>0.05</v>
      </c>
      <c r="Q828" t="s">
        <v>3</v>
      </c>
      <c r="R828" s="7">
        <f t="shared" si="36"/>
        <v>1.65</v>
      </c>
      <c r="S828" s="7">
        <f t="shared" si="37"/>
        <v>8.2500000000000004E-2</v>
      </c>
      <c r="T828">
        <f>Table1[[#This Row],[Total price]]-Table1[[#This Row],[Discount Amount]]</f>
        <v>1.5674999999999999</v>
      </c>
      <c r="U828">
        <f t="shared" si="38"/>
        <v>1.5674999999999999</v>
      </c>
    </row>
    <row r="829" spans="1:21">
      <c r="A829">
        <v>828</v>
      </c>
      <c r="B829" s="3" t="s">
        <v>1914</v>
      </c>
      <c r="C829" s="3" t="s">
        <v>1913</v>
      </c>
      <c r="D829" s="3" t="s">
        <v>2866</v>
      </c>
      <c r="E829" s="3" t="s">
        <v>3798</v>
      </c>
      <c r="F829" s="3">
        <v>293</v>
      </c>
      <c r="G829" s="4">
        <v>40878.489583333336</v>
      </c>
      <c r="H829" s="3">
        <v>4</v>
      </c>
      <c r="I829" s="5">
        <v>19</v>
      </c>
      <c r="J829" t="s">
        <v>325</v>
      </c>
      <c r="K829" t="s">
        <v>4497</v>
      </c>
      <c r="L829">
        <v>536464</v>
      </c>
      <c r="M829" s="2">
        <v>22557</v>
      </c>
      <c r="N829">
        <v>1.65</v>
      </c>
      <c r="O829" s="6">
        <v>1</v>
      </c>
      <c r="P829" s="3">
        <v>0.05</v>
      </c>
      <c r="Q829" t="s">
        <v>3</v>
      </c>
      <c r="R829" s="7">
        <f t="shared" si="36"/>
        <v>1.65</v>
      </c>
      <c r="S829" s="7">
        <f t="shared" si="37"/>
        <v>8.2500000000000004E-2</v>
      </c>
      <c r="T829">
        <f>Table1[[#This Row],[Total price]]-Table1[[#This Row],[Discount Amount]]</f>
        <v>1.5674999999999999</v>
      </c>
      <c r="U829">
        <f t="shared" si="38"/>
        <v>1.5674999999999999</v>
      </c>
    </row>
    <row r="830" spans="1:21">
      <c r="A830">
        <v>829</v>
      </c>
      <c r="B830" s="3" t="s">
        <v>1912</v>
      </c>
      <c r="C830" s="3" t="s">
        <v>1911</v>
      </c>
      <c r="D830" s="3" t="s">
        <v>2866</v>
      </c>
      <c r="E830" s="3" t="s">
        <v>3799</v>
      </c>
      <c r="F830" s="3">
        <v>293</v>
      </c>
      <c r="G830" s="4">
        <v>40878.489583333336</v>
      </c>
      <c r="H830" s="3">
        <v>4</v>
      </c>
      <c r="I830" s="5">
        <v>6</v>
      </c>
      <c r="J830" t="s">
        <v>254</v>
      </c>
      <c r="K830" t="s">
        <v>4497</v>
      </c>
      <c r="L830">
        <v>536464</v>
      </c>
      <c r="M830" s="2">
        <v>21584</v>
      </c>
      <c r="N830">
        <v>1.65</v>
      </c>
      <c r="O830" s="6">
        <v>1</v>
      </c>
      <c r="P830" s="3">
        <v>0.2</v>
      </c>
      <c r="Q830" t="s">
        <v>3</v>
      </c>
      <c r="R830" s="7">
        <f t="shared" si="36"/>
        <v>1.65</v>
      </c>
      <c r="S830" s="7">
        <f t="shared" si="37"/>
        <v>0.33</v>
      </c>
      <c r="T830">
        <f>Table1[[#This Row],[Total price]]-Table1[[#This Row],[Discount Amount]]</f>
        <v>1.3199999999999998</v>
      </c>
      <c r="U830">
        <f t="shared" si="38"/>
        <v>1.3199999999999998</v>
      </c>
    </row>
    <row r="831" spans="1:21">
      <c r="A831">
        <v>830</v>
      </c>
      <c r="B831" s="3" t="s">
        <v>1910</v>
      </c>
      <c r="C831" s="3" t="s">
        <v>1909</v>
      </c>
      <c r="D831" s="3" t="s">
        <v>2866</v>
      </c>
      <c r="E831" s="3" t="s">
        <v>3800</v>
      </c>
      <c r="F831" s="3">
        <v>294</v>
      </c>
      <c r="G831" s="4">
        <v>40878.489583333336</v>
      </c>
      <c r="H831" s="3">
        <v>4</v>
      </c>
      <c r="I831" s="5">
        <v>18</v>
      </c>
      <c r="J831" t="s">
        <v>158</v>
      </c>
      <c r="K831" t="s">
        <v>4497</v>
      </c>
      <c r="L831">
        <v>536464</v>
      </c>
      <c r="M831" s="2">
        <v>22866</v>
      </c>
      <c r="N831">
        <v>2.1</v>
      </c>
      <c r="O831" s="6">
        <v>1</v>
      </c>
      <c r="P831" s="3">
        <v>0.2</v>
      </c>
      <c r="Q831" t="s">
        <v>3</v>
      </c>
      <c r="R831" s="7">
        <f t="shared" si="36"/>
        <v>2.1</v>
      </c>
      <c r="S831" s="7">
        <f t="shared" si="37"/>
        <v>0.42000000000000004</v>
      </c>
      <c r="T831">
        <f>Table1[[#This Row],[Total price]]-Table1[[#This Row],[Discount Amount]]</f>
        <v>1.6800000000000002</v>
      </c>
      <c r="U831">
        <f t="shared" si="38"/>
        <v>1.6800000000000002</v>
      </c>
    </row>
    <row r="832" spans="1:21">
      <c r="A832">
        <v>831</v>
      </c>
      <c r="B832" s="3" t="s">
        <v>1908</v>
      </c>
      <c r="C832" s="3" t="s">
        <v>1157</v>
      </c>
      <c r="D832" s="3" t="s">
        <v>2866</v>
      </c>
      <c r="E832" s="3" t="s">
        <v>3801</v>
      </c>
      <c r="F832" s="3">
        <v>294</v>
      </c>
      <c r="G832" s="4">
        <v>40878.489583333336</v>
      </c>
      <c r="H832" s="3">
        <v>4</v>
      </c>
      <c r="I832" s="5">
        <v>14</v>
      </c>
      <c r="J832" t="s">
        <v>166</v>
      </c>
      <c r="K832" t="s">
        <v>4497</v>
      </c>
      <c r="L832">
        <v>536464</v>
      </c>
      <c r="M832" s="2">
        <v>22731</v>
      </c>
      <c r="N832">
        <v>1.25</v>
      </c>
      <c r="O832" s="6">
        <v>2</v>
      </c>
      <c r="P832" s="3">
        <v>0.2</v>
      </c>
      <c r="Q832" t="s">
        <v>3</v>
      </c>
      <c r="R832" s="7">
        <f t="shared" si="36"/>
        <v>2.5</v>
      </c>
      <c r="S832" s="7">
        <f t="shared" si="37"/>
        <v>0.5</v>
      </c>
      <c r="T832">
        <f>Table1[[#This Row],[Total price]]-Table1[[#This Row],[Discount Amount]]</f>
        <v>2</v>
      </c>
      <c r="U832">
        <f t="shared" si="38"/>
        <v>4</v>
      </c>
    </row>
    <row r="833" spans="1:21">
      <c r="A833">
        <v>832</v>
      </c>
      <c r="B833" s="3" t="s">
        <v>1907</v>
      </c>
      <c r="C833" s="3" t="s">
        <v>912</v>
      </c>
      <c r="D833" s="3" t="s">
        <v>2866</v>
      </c>
      <c r="E833" s="3" t="s">
        <v>3802</v>
      </c>
      <c r="F833" s="3">
        <v>294</v>
      </c>
      <c r="G833" s="4">
        <v>40878.489583333336</v>
      </c>
      <c r="H833" s="3">
        <v>4</v>
      </c>
      <c r="I833" s="5">
        <v>7</v>
      </c>
      <c r="J833" t="s">
        <v>158</v>
      </c>
      <c r="K833" t="s">
        <v>4497</v>
      </c>
      <c r="L833">
        <v>536464</v>
      </c>
      <c r="M833" s="2">
        <v>22866</v>
      </c>
      <c r="N833">
        <v>2.1</v>
      </c>
      <c r="O833" s="6">
        <v>1</v>
      </c>
      <c r="P833" s="3">
        <v>0.05</v>
      </c>
      <c r="Q833" t="s">
        <v>3</v>
      </c>
      <c r="R833" s="7">
        <f t="shared" si="36"/>
        <v>2.1</v>
      </c>
      <c r="S833" s="7">
        <f t="shared" si="37"/>
        <v>0.10500000000000001</v>
      </c>
      <c r="T833">
        <f>Table1[[#This Row],[Total price]]-Table1[[#This Row],[Discount Amount]]</f>
        <v>1.9950000000000001</v>
      </c>
      <c r="U833">
        <f t="shared" si="38"/>
        <v>1.9950000000000001</v>
      </c>
    </row>
    <row r="834" spans="1:21">
      <c r="A834">
        <v>833</v>
      </c>
      <c r="B834" s="3" t="s">
        <v>1906</v>
      </c>
      <c r="C834" s="3" t="s">
        <v>1346</v>
      </c>
      <c r="D834" s="3" t="s">
        <v>2866</v>
      </c>
      <c r="E834" s="3" t="s">
        <v>3803</v>
      </c>
      <c r="F834" s="3">
        <v>294</v>
      </c>
      <c r="G834" s="4">
        <v>40878.489583333336</v>
      </c>
      <c r="H834" s="3">
        <v>4</v>
      </c>
      <c r="I834" s="5">
        <v>25</v>
      </c>
      <c r="J834" t="s">
        <v>158</v>
      </c>
      <c r="K834" t="s">
        <v>4497</v>
      </c>
      <c r="L834">
        <v>536464</v>
      </c>
      <c r="M834" s="2">
        <v>22866</v>
      </c>
      <c r="N834">
        <v>2.1</v>
      </c>
      <c r="O834" s="6">
        <v>3</v>
      </c>
      <c r="P834" s="3">
        <v>0.2</v>
      </c>
      <c r="Q834" t="s">
        <v>3</v>
      </c>
      <c r="R834" s="7">
        <f t="shared" si="36"/>
        <v>6.3000000000000007</v>
      </c>
      <c r="S834" s="7">
        <f t="shared" si="37"/>
        <v>1.2600000000000002</v>
      </c>
      <c r="T834">
        <f>Table1[[#This Row],[Total price]]-Table1[[#This Row],[Discount Amount]]</f>
        <v>5.0400000000000009</v>
      </c>
      <c r="U834">
        <f t="shared" si="38"/>
        <v>15.120000000000003</v>
      </c>
    </row>
    <row r="835" spans="1:21">
      <c r="A835">
        <v>834</v>
      </c>
      <c r="B835" s="3" t="s">
        <v>1905</v>
      </c>
      <c r="C835" s="3" t="s">
        <v>1620</v>
      </c>
      <c r="D835" s="3" t="s">
        <v>2866</v>
      </c>
      <c r="E835" s="3" t="s">
        <v>3804</v>
      </c>
      <c r="F835" s="3">
        <v>295</v>
      </c>
      <c r="G835" s="4">
        <v>40878.489583333336</v>
      </c>
      <c r="H835" s="3">
        <v>4</v>
      </c>
      <c r="I835" s="5">
        <v>22</v>
      </c>
      <c r="J835" t="s">
        <v>839</v>
      </c>
      <c r="K835" t="s">
        <v>4497</v>
      </c>
      <c r="L835">
        <v>536464</v>
      </c>
      <c r="M835" s="2">
        <v>22558</v>
      </c>
      <c r="N835">
        <v>1.49</v>
      </c>
      <c r="O835" s="6">
        <v>2</v>
      </c>
      <c r="P835" s="3">
        <v>7.0000000000000007E-2</v>
      </c>
      <c r="Q835" t="s">
        <v>3</v>
      </c>
      <c r="R835" s="7">
        <f t="shared" ref="R835:R898" si="39">N835*O835</f>
        <v>2.98</v>
      </c>
      <c r="S835" s="7">
        <f t="shared" ref="S835:S898" si="40">R835*P835</f>
        <v>0.20860000000000001</v>
      </c>
      <c r="T835">
        <f>Table1[[#This Row],[Total price]]-Table1[[#This Row],[Discount Amount]]</f>
        <v>2.7713999999999999</v>
      </c>
      <c r="U835">
        <f t="shared" ref="U835:U898" si="41">T835*O835</f>
        <v>5.5427999999999997</v>
      </c>
    </row>
    <row r="836" spans="1:21">
      <c r="A836">
        <v>835</v>
      </c>
      <c r="B836" s="3" t="s">
        <v>1904</v>
      </c>
      <c r="C836" s="3" t="s">
        <v>1050</v>
      </c>
      <c r="D836" s="3" t="s">
        <v>2866</v>
      </c>
      <c r="E836" s="3" t="s">
        <v>3805</v>
      </c>
      <c r="F836" s="3">
        <v>296</v>
      </c>
      <c r="G836" s="4">
        <v>40878.489583333336</v>
      </c>
      <c r="H836" s="3">
        <v>4</v>
      </c>
      <c r="I836" s="5">
        <v>25</v>
      </c>
      <c r="J836" t="s">
        <v>841</v>
      </c>
      <c r="K836" t="s">
        <v>4497</v>
      </c>
      <c r="L836">
        <v>536464</v>
      </c>
      <c r="M836" s="2">
        <v>22956</v>
      </c>
      <c r="N836">
        <v>2.1</v>
      </c>
      <c r="O836" s="6">
        <v>1</v>
      </c>
      <c r="P836" s="3">
        <v>7.0000000000000007E-2</v>
      </c>
      <c r="Q836" t="s">
        <v>3</v>
      </c>
      <c r="R836" s="7">
        <f t="shared" si="39"/>
        <v>2.1</v>
      </c>
      <c r="S836" s="7">
        <f t="shared" si="40"/>
        <v>0.14700000000000002</v>
      </c>
      <c r="T836">
        <f>Table1[[#This Row],[Total price]]-Table1[[#This Row],[Discount Amount]]</f>
        <v>1.9530000000000001</v>
      </c>
      <c r="U836">
        <f t="shared" si="41"/>
        <v>1.9530000000000001</v>
      </c>
    </row>
    <row r="837" spans="1:21">
      <c r="A837">
        <v>836</v>
      </c>
      <c r="B837" s="3" t="s">
        <v>1903</v>
      </c>
      <c r="C837" s="3" t="s">
        <v>1902</v>
      </c>
      <c r="D837" s="3" t="s">
        <v>2866</v>
      </c>
      <c r="E837" s="3" t="s">
        <v>3806</v>
      </c>
      <c r="F837" s="3">
        <v>296</v>
      </c>
      <c r="G837" s="4">
        <v>40878.489583333336</v>
      </c>
      <c r="H837" s="3">
        <v>4</v>
      </c>
      <c r="I837" s="5">
        <v>12</v>
      </c>
      <c r="J837" t="s">
        <v>572</v>
      </c>
      <c r="K837" t="s">
        <v>4497</v>
      </c>
      <c r="L837">
        <v>536464</v>
      </c>
      <c r="M837" s="2">
        <v>22945</v>
      </c>
      <c r="N837">
        <v>0.85</v>
      </c>
      <c r="O837" s="6">
        <v>6</v>
      </c>
      <c r="P837" s="3">
        <v>0.1</v>
      </c>
      <c r="Q837" t="s">
        <v>3</v>
      </c>
      <c r="R837" s="7">
        <f t="shared" si="39"/>
        <v>5.0999999999999996</v>
      </c>
      <c r="S837" s="7">
        <f t="shared" si="40"/>
        <v>0.51</v>
      </c>
      <c r="T837">
        <f>Table1[[#This Row],[Total price]]-Table1[[#This Row],[Discount Amount]]</f>
        <v>4.59</v>
      </c>
      <c r="U837">
        <f t="shared" si="41"/>
        <v>27.54</v>
      </c>
    </row>
    <row r="838" spans="1:21">
      <c r="A838">
        <v>837</v>
      </c>
      <c r="B838" s="3" t="s">
        <v>1901</v>
      </c>
      <c r="C838" s="3" t="s">
        <v>1900</v>
      </c>
      <c r="D838" s="3" t="s">
        <v>2866</v>
      </c>
      <c r="E838" s="3" t="s">
        <v>3807</v>
      </c>
      <c r="F838" s="3">
        <v>296</v>
      </c>
      <c r="G838" s="4">
        <v>40878.489583333336</v>
      </c>
      <c r="H838" s="3">
        <v>4</v>
      </c>
      <c r="I838" s="5">
        <v>11</v>
      </c>
      <c r="J838" t="s">
        <v>323</v>
      </c>
      <c r="K838" t="s">
        <v>4497</v>
      </c>
      <c r="L838">
        <v>536464</v>
      </c>
      <c r="M838" s="2">
        <v>22582</v>
      </c>
      <c r="N838">
        <v>2.5499999999999998</v>
      </c>
      <c r="O838" s="6">
        <v>1</v>
      </c>
      <c r="P838" s="3">
        <v>0.1</v>
      </c>
      <c r="Q838" t="s">
        <v>3</v>
      </c>
      <c r="R838" s="7">
        <f t="shared" si="39"/>
        <v>2.5499999999999998</v>
      </c>
      <c r="S838" s="7">
        <f t="shared" si="40"/>
        <v>0.255</v>
      </c>
      <c r="T838">
        <f>Table1[[#This Row],[Total price]]-Table1[[#This Row],[Discount Amount]]</f>
        <v>2.2949999999999999</v>
      </c>
      <c r="U838">
        <f t="shared" si="41"/>
        <v>2.2949999999999999</v>
      </c>
    </row>
    <row r="839" spans="1:21">
      <c r="A839">
        <v>838</v>
      </c>
      <c r="B839" s="3" t="s">
        <v>1899</v>
      </c>
      <c r="C839" s="3" t="s">
        <v>1898</v>
      </c>
      <c r="D839" s="3" t="s">
        <v>2866</v>
      </c>
      <c r="E839" s="3" t="s">
        <v>3808</v>
      </c>
      <c r="F839" s="3">
        <v>296</v>
      </c>
      <c r="G839" s="4">
        <v>40878.489583333336</v>
      </c>
      <c r="H839" s="3">
        <v>4</v>
      </c>
      <c r="I839" s="5">
        <v>9</v>
      </c>
      <c r="J839" t="s">
        <v>363</v>
      </c>
      <c r="K839" t="s">
        <v>4497</v>
      </c>
      <c r="L839">
        <v>536464</v>
      </c>
      <c r="M839" s="2">
        <v>21212</v>
      </c>
      <c r="N839">
        <v>0.55000000000000004</v>
      </c>
      <c r="O839" s="6">
        <v>1</v>
      </c>
      <c r="P839" s="3">
        <v>0.2</v>
      </c>
      <c r="Q839" t="s">
        <v>3</v>
      </c>
      <c r="R839" s="7">
        <f t="shared" si="39"/>
        <v>0.55000000000000004</v>
      </c>
      <c r="S839" s="7">
        <f t="shared" si="40"/>
        <v>0.11000000000000001</v>
      </c>
      <c r="T839">
        <f>Table1[[#This Row],[Total price]]-Table1[[#This Row],[Discount Amount]]</f>
        <v>0.44000000000000006</v>
      </c>
      <c r="U839">
        <f t="shared" si="41"/>
        <v>0.44000000000000006</v>
      </c>
    </row>
    <row r="840" spans="1:21">
      <c r="A840">
        <v>839</v>
      </c>
      <c r="B840" s="3" t="s">
        <v>1897</v>
      </c>
      <c r="C840" s="3" t="s">
        <v>1658</v>
      </c>
      <c r="D840" s="3" t="s">
        <v>2866</v>
      </c>
      <c r="E840" s="3" t="s">
        <v>3809</v>
      </c>
      <c r="F840" s="3">
        <v>297</v>
      </c>
      <c r="G840" s="4">
        <v>40878.489583333336</v>
      </c>
      <c r="H840" s="3">
        <v>4</v>
      </c>
      <c r="I840" s="5">
        <v>4</v>
      </c>
      <c r="J840" t="s">
        <v>363</v>
      </c>
      <c r="K840" t="s">
        <v>4497</v>
      </c>
      <c r="L840">
        <v>536464</v>
      </c>
      <c r="M840" s="2">
        <v>21212</v>
      </c>
      <c r="N840">
        <v>0.55000000000000004</v>
      </c>
      <c r="O840" s="6">
        <v>2</v>
      </c>
      <c r="P840" s="3">
        <v>0.2</v>
      </c>
      <c r="Q840" t="s">
        <v>3</v>
      </c>
      <c r="R840" s="7">
        <f t="shared" si="39"/>
        <v>1.1000000000000001</v>
      </c>
      <c r="S840" s="7">
        <f t="shared" si="40"/>
        <v>0.22000000000000003</v>
      </c>
      <c r="T840">
        <f>Table1[[#This Row],[Total price]]-Table1[[#This Row],[Discount Amount]]</f>
        <v>0.88000000000000012</v>
      </c>
      <c r="U840">
        <f t="shared" si="41"/>
        <v>1.7600000000000002</v>
      </c>
    </row>
    <row r="841" spans="1:21">
      <c r="A841">
        <v>840</v>
      </c>
      <c r="B841" s="3" t="s">
        <v>1161</v>
      </c>
      <c r="C841" s="3" t="s">
        <v>1896</v>
      </c>
      <c r="D841" s="3" t="s">
        <v>2866</v>
      </c>
      <c r="E841" s="3" t="s">
        <v>3810</v>
      </c>
      <c r="F841" s="3">
        <v>298</v>
      </c>
      <c r="G841" s="4">
        <v>40878.489583333336</v>
      </c>
      <c r="H841" s="3">
        <v>4</v>
      </c>
      <c r="I841" s="5">
        <v>23</v>
      </c>
      <c r="J841" t="s">
        <v>291</v>
      </c>
      <c r="K841" t="s">
        <v>4497</v>
      </c>
      <c r="L841">
        <v>536464</v>
      </c>
      <c r="M841" s="2">
        <v>22585</v>
      </c>
      <c r="N841">
        <v>1.25</v>
      </c>
      <c r="O841" s="6">
        <v>3</v>
      </c>
      <c r="P841" s="3">
        <v>0.2</v>
      </c>
      <c r="Q841" t="s">
        <v>3</v>
      </c>
      <c r="R841" s="7">
        <f t="shared" si="39"/>
        <v>3.75</v>
      </c>
      <c r="S841" s="7">
        <f t="shared" si="40"/>
        <v>0.75</v>
      </c>
      <c r="T841">
        <f>Table1[[#This Row],[Total price]]-Table1[[#This Row],[Discount Amount]]</f>
        <v>3</v>
      </c>
      <c r="U841">
        <f t="shared" si="41"/>
        <v>9</v>
      </c>
    </row>
    <row r="842" spans="1:21">
      <c r="A842">
        <v>841</v>
      </c>
      <c r="B842" s="3" t="s">
        <v>1895</v>
      </c>
      <c r="C842" s="3" t="s">
        <v>1894</v>
      </c>
      <c r="D842" s="3" t="s">
        <v>2866</v>
      </c>
      <c r="E842" s="3" t="s">
        <v>3811</v>
      </c>
      <c r="F842" s="3">
        <v>298</v>
      </c>
      <c r="G842" s="4">
        <v>40878.489583333336</v>
      </c>
      <c r="H842" s="3">
        <v>4</v>
      </c>
      <c r="I842" s="5">
        <v>6</v>
      </c>
      <c r="J842" t="s">
        <v>422</v>
      </c>
      <c r="K842" t="s">
        <v>4497</v>
      </c>
      <c r="L842">
        <v>536464</v>
      </c>
      <c r="M842" s="2">
        <v>21121</v>
      </c>
      <c r="N842">
        <v>1.25</v>
      </c>
      <c r="O842" s="6">
        <v>1</v>
      </c>
      <c r="P842" s="3">
        <v>0.05</v>
      </c>
      <c r="Q842" t="s">
        <v>3</v>
      </c>
      <c r="R842" s="7">
        <f t="shared" si="39"/>
        <v>1.25</v>
      </c>
      <c r="S842" s="7">
        <f t="shared" si="40"/>
        <v>6.25E-2</v>
      </c>
      <c r="T842">
        <f>Table1[[#This Row],[Total price]]-Table1[[#This Row],[Discount Amount]]</f>
        <v>1.1875</v>
      </c>
      <c r="U842">
        <f t="shared" si="41"/>
        <v>1.1875</v>
      </c>
    </row>
    <row r="843" spans="1:21">
      <c r="A843">
        <v>842</v>
      </c>
      <c r="B843" s="3" t="s">
        <v>1893</v>
      </c>
      <c r="C843" s="3" t="s">
        <v>1775</v>
      </c>
      <c r="D843" s="3" t="s">
        <v>2866</v>
      </c>
      <c r="E843" s="3" t="s">
        <v>3812</v>
      </c>
      <c r="F843" s="3">
        <v>298</v>
      </c>
      <c r="G843" s="4">
        <v>40878.489583333336</v>
      </c>
      <c r="H843" s="3">
        <v>4</v>
      </c>
      <c r="I843" s="5">
        <v>22</v>
      </c>
      <c r="J843" t="s">
        <v>423</v>
      </c>
      <c r="K843" t="s">
        <v>4497</v>
      </c>
      <c r="L843">
        <v>536464</v>
      </c>
      <c r="M843" s="2">
        <v>21122</v>
      </c>
      <c r="N843">
        <v>1.25</v>
      </c>
      <c r="O843" s="6">
        <v>1</v>
      </c>
      <c r="P843" s="3">
        <v>0.2</v>
      </c>
      <c r="Q843" t="s">
        <v>3</v>
      </c>
      <c r="R843" s="7">
        <f t="shared" si="39"/>
        <v>1.25</v>
      </c>
      <c r="S843" s="7">
        <f t="shared" si="40"/>
        <v>0.25</v>
      </c>
      <c r="T843">
        <f>Table1[[#This Row],[Total price]]-Table1[[#This Row],[Discount Amount]]</f>
        <v>1</v>
      </c>
      <c r="U843">
        <f t="shared" si="41"/>
        <v>1</v>
      </c>
    </row>
    <row r="844" spans="1:21">
      <c r="A844">
        <v>843</v>
      </c>
      <c r="B844" s="3" t="s">
        <v>1892</v>
      </c>
      <c r="C844" s="3" t="s">
        <v>1891</v>
      </c>
      <c r="D844" s="3" t="s">
        <v>2866</v>
      </c>
      <c r="E844" s="3" t="s">
        <v>3813</v>
      </c>
      <c r="F844" s="3">
        <v>298</v>
      </c>
      <c r="G844" s="4">
        <v>40878.489583333336</v>
      </c>
      <c r="H844" s="3">
        <v>4</v>
      </c>
      <c r="I844" s="5">
        <v>9</v>
      </c>
      <c r="J844" t="s">
        <v>146</v>
      </c>
      <c r="K844" t="s">
        <v>4497</v>
      </c>
      <c r="L844">
        <v>536464</v>
      </c>
      <c r="M844" s="2">
        <v>22759</v>
      </c>
      <c r="N844">
        <v>1.65</v>
      </c>
      <c r="O844" s="6">
        <v>1</v>
      </c>
      <c r="P844" s="3">
        <v>7.0000000000000007E-2</v>
      </c>
      <c r="Q844" t="s">
        <v>3</v>
      </c>
      <c r="R844" s="7">
        <f t="shared" si="39"/>
        <v>1.65</v>
      </c>
      <c r="S844" s="7">
        <f t="shared" si="40"/>
        <v>0.11550000000000001</v>
      </c>
      <c r="T844">
        <f>Table1[[#This Row],[Total price]]-Table1[[#This Row],[Discount Amount]]</f>
        <v>1.5345</v>
      </c>
      <c r="U844">
        <f t="shared" si="41"/>
        <v>1.5345</v>
      </c>
    </row>
    <row r="845" spans="1:21">
      <c r="A845">
        <v>844</v>
      </c>
      <c r="B845" s="3" t="s">
        <v>1890</v>
      </c>
      <c r="C845" s="3" t="s">
        <v>1889</v>
      </c>
      <c r="D845" s="3" t="s">
        <v>2866</v>
      </c>
      <c r="E845" s="3" t="s">
        <v>3814</v>
      </c>
      <c r="F845" s="3">
        <v>298</v>
      </c>
      <c r="G845" s="4">
        <v>40878.489583333336</v>
      </c>
      <c r="H845" s="3">
        <v>4</v>
      </c>
      <c r="I845" s="5">
        <v>14</v>
      </c>
      <c r="J845" t="s">
        <v>557</v>
      </c>
      <c r="K845" t="s">
        <v>4497</v>
      </c>
      <c r="L845">
        <v>536464</v>
      </c>
      <c r="M845" s="2">
        <v>21815</v>
      </c>
      <c r="N845">
        <v>1.45</v>
      </c>
      <c r="O845" s="6">
        <v>1</v>
      </c>
      <c r="P845" s="3">
        <v>0.1</v>
      </c>
      <c r="Q845" t="s">
        <v>3</v>
      </c>
      <c r="R845" s="7">
        <f t="shared" si="39"/>
        <v>1.45</v>
      </c>
      <c r="S845" s="7">
        <f t="shared" si="40"/>
        <v>0.14499999999999999</v>
      </c>
      <c r="T845">
        <f>Table1[[#This Row],[Total price]]-Table1[[#This Row],[Discount Amount]]</f>
        <v>1.3049999999999999</v>
      </c>
      <c r="U845">
        <f t="shared" si="41"/>
        <v>1.3049999999999999</v>
      </c>
    </row>
    <row r="846" spans="1:21">
      <c r="A846">
        <v>845</v>
      </c>
      <c r="B846" s="3" t="s">
        <v>1888</v>
      </c>
      <c r="C846" s="3" t="s">
        <v>963</v>
      </c>
      <c r="D846" s="3" t="s">
        <v>2866</v>
      </c>
      <c r="E846" s="3" t="s">
        <v>3815</v>
      </c>
      <c r="F846" s="3">
        <v>299</v>
      </c>
      <c r="G846" s="4">
        <v>40878.489583333336</v>
      </c>
      <c r="H846" s="3">
        <v>4</v>
      </c>
      <c r="I846" s="5">
        <v>11</v>
      </c>
      <c r="J846" t="s">
        <v>615</v>
      </c>
      <c r="K846" t="s">
        <v>4497</v>
      </c>
      <c r="L846">
        <v>536464</v>
      </c>
      <c r="M846" s="2" t="s">
        <v>614</v>
      </c>
      <c r="N846">
        <v>0.85</v>
      </c>
      <c r="O846" s="6">
        <v>3</v>
      </c>
      <c r="P846" s="3">
        <v>0.05</v>
      </c>
      <c r="Q846" t="s">
        <v>3</v>
      </c>
      <c r="R846" s="7">
        <f t="shared" si="39"/>
        <v>2.5499999999999998</v>
      </c>
      <c r="S846" s="7">
        <f t="shared" si="40"/>
        <v>0.1275</v>
      </c>
      <c r="T846">
        <f>Table1[[#This Row],[Total price]]-Table1[[#This Row],[Discount Amount]]</f>
        <v>2.4224999999999999</v>
      </c>
      <c r="U846">
        <f t="shared" si="41"/>
        <v>7.2675000000000001</v>
      </c>
    </row>
    <row r="847" spans="1:21">
      <c r="A847">
        <v>846</v>
      </c>
      <c r="B847" s="3" t="s">
        <v>1887</v>
      </c>
      <c r="C847" s="3" t="s">
        <v>1002</v>
      </c>
      <c r="D847" s="3" t="s">
        <v>2866</v>
      </c>
      <c r="E847" s="3" t="s">
        <v>3816</v>
      </c>
      <c r="F847" s="3">
        <v>299</v>
      </c>
      <c r="G847" s="4">
        <v>40878.489583333336</v>
      </c>
      <c r="H847" s="3">
        <v>4</v>
      </c>
      <c r="I847" s="5">
        <v>10</v>
      </c>
      <c r="J847" t="s">
        <v>613</v>
      </c>
      <c r="K847" t="s">
        <v>4497</v>
      </c>
      <c r="L847">
        <v>536464</v>
      </c>
      <c r="M847" s="2" t="s">
        <v>612</v>
      </c>
      <c r="N847">
        <v>0.85</v>
      </c>
      <c r="O847" s="6">
        <v>5</v>
      </c>
      <c r="P847" s="3">
        <v>0.2</v>
      </c>
      <c r="Q847" t="s">
        <v>3</v>
      </c>
      <c r="R847" s="7">
        <f t="shared" si="39"/>
        <v>4.25</v>
      </c>
      <c r="S847" s="7">
        <f t="shared" si="40"/>
        <v>0.85000000000000009</v>
      </c>
      <c r="T847">
        <f>Table1[[#This Row],[Total price]]-Table1[[#This Row],[Discount Amount]]</f>
        <v>3.4</v>
      </c>
      <c r="U847">
        <f t="shared" si="41"/>
        <v>17</v>
      </c>
    </row>
    <row r="848" spans="1:21">
      <c r="A848">
        <v>847</v>
      </c>
      <c r="B848" s="3" t="s">
        <v>1886</v>
      </c>
      <c r="C848" s="3" t="s">
        <v>1696</v>
      </c>
      <c r="D848" s="3" t="s">
        <v>2866</v>
      </c>
      <c r="E848" s="3" t="s">
        <v>3817</v>
      </c>
      <c r="F848" s="3">
        <v>300</v>
      </c>
      <c r="G848" s="4">
        <v>40878.489583333336</v>
      </c>
      <c r="H848" s="3">
        <v>4</v>
      </c>
      <c r="I848" s="5">
        <v>16</v>
      </c>
      <c r="J848" t="s">
        <v>493</v>
      </c>
      <c r="K848" t="s">
        <v>4497</v>
      </c>
      <c r="L848">
        <v>536464</v>
      </c>
      <c r="M848" s="2">
        <v>22082</v>
      </c>
      <c r="N848">
        <v>1.65</v>
      </c>
      <c r="O848" s="6">
        <v>5</v>
      </c>
      <c r="P848" s="3">
        <v>0.1</v>
      </c>
      <c r="Q848" t="s">
        <v>3</v>
      </c>
      <c r="R848" s="7">
        <f t="shared" si="39"/>
        <v>8.25</v>
      </c>
      <c r="S848" s="7">
        <f t="shared" si="40"/>
        <v>0.82500000000000007</v>
      </c>
      <c r="T848">
        <f>Table1[[#This Row],[Total price]]-Table1[[#This Row],[Discount Amount]]</f>
        <v>7.4249999999999998</v>
      </c>
      <c r="U848">
        <f t="shared" si="41"/>
        <v>37.125</v>
      </c>
    </row>
    <row r="849" spans="1:21">
      <c r="A849">
        <v>848</v>
      </c>
      <c r="B849" s="3" t="s">
        <v>1885</v>
      </c>
      <c r="C849" s="3" t="s">
        <v>1620</v>
      </c>
      <c r="D849" s="3" t="s">
        <v>2866</v>
      </c>
      <c r="E849" s="3" t="s">
        <v>3818</v>
      </c>
      <c r="F849" s="3">
        <v>300</v>
      </c>
      <c r="G849" s="4">
        <v>40878.489583333336</v>
      </c>
      <c r="H849" s="3">
        <v>4</v>
      </c>
      <c r="I849" s="5">
        <v>9</v>
      </c>
      <c r="J849" t="s">
        <v>779</v>
      </c>
      <c r="K849" t="s">
        <v>4497</v>
      </c>
      <c r="L849">
        <v>536464</v>
      </c>
      <c r="M849" s="2">
        <v>22500</v>
      </c>
      <c r="N849">
        <v>4.95</v>
      </c>
      <c r="O849" s="6">
        <v>2</v>
      </c>
      <c r="P849" s="3">
        <v>0.1</v>
      </c>
      <c r="Q849" t="s">
        <v>3</v>
      </c>
      <c r="R849" s="7">
        <f t="shared" si="39"/>
        <v>9.9</v>
      </c>
      <c r="S849" s="7">
        <f t="shared" si="40"/>
        <v>0.9900000000000001</v>
      </c>
      <c r="T849">
        <f>Table1[[#This Row],[Total price]]-Table1[[#This Row],[Discount Amount]]</f>
        <v>8.91</v>
      </c>
      <c r="U849">
        <f t="shared" si="41"/>
        <v>17.82</v>
      </c>
    </row>
    <row r="850" spans="1:21">
      <c r="A850">
        <v>849</v>
      </c>
      <c r="B850" s="3" t="s">
        <v>1884</v>
      </c>
      <c r="C850" s="3" t="s">
        <v>1486</v>
      </c>
      <c r="D850" s="3" t="s">
        <v>2866</v>
      </c>
      <c r="E850" s="3" t="s">
        <v>3819</v>
      </c>
      <c r="F850" s="3">
        <v>300</v>
      </c>
      <c r="G850" s="4">
        <v>40878.489583333336</v>
      </c>
      <c r="H850" s="3">
        <v>4</v>
      </c>
      <c r="I850" s="5">
        <v>10</v>
      </c>
      <c r="J850" t="s">
        <v>267</v>
      </c>
      <c r="K850" t="s">
        <v>4497</v>
      </c>
      <c r="L850">
        <v>536464</v>
      </c>
      <c r="M850" s="2">
        <v>22742</v>
      </c>
      <c r="N850">
        <v>2.95</v>
      </c>
      <c r="O850" s="6">
        <v>1</v>
      </c>
      <c r="P850" s="3">
        <v>0.1</v>
      </c>
      <c r="Q850" t="s">
        <v>3</v>
      </c>
      <c r="R850" s="7">
        <f t="shared" si="39"/>
        <v>2.95</v>
      </c>
      <c r="S850" s="7">
        <f t="shared" si="40"/>
        <v>0.29500000000000004</v>
      </c>
      <c r="T850">
        <f>Table1[[#This Row],[Total price]]-Table1[[#This Row],[Discount Amount]]</f>
        <v>2.6550000000000002</v>
      </c>
      <c r="U850">
        <f t="shared" si="41"/>
        <v>2.6550000000000002</v>
      </c>
    </row>
    <row r="851" spans="1:21">
      <c r="A851">
        <v>850</v>
      </c>
      <c r="B851" s="3" t="s">
        <v>1883</v>
      </c>
      <c r="C851" s="3" t="s">
        <v>1882</v>
      </c>
      <c r="D851" s="3" t="s">
        <v>2866</v>
      </c>
      <c r="E851" s="3" t="s">
        <v>3820</v>
      </c>
      <c r="F851" s="3">
        <v>300</v>
      </c>
      <c r="G851" s="4">
        <v>40878.489583333336</v>
      </c>
      <c r="H851" s="3">
        <v>4</v>
      </c>
      <c r="I851" s="5">
        <v>11</v>
      </c>
      <c r="J851" t="s">
        <v>345</v>
      </c>
      <c r="K851" t="s">
        <v>4497</v>
      </c>
      <c r="L851">
        <v>536464</v>
      </c>
      <c r="M851" s="2">
        <v>21329</v>
      </c>
      <c r="N851">
        <v>1.65</v>
      </c>
      <c r="O851" s="6">
        <v>1</v>
      </c>
      <c r="P851" s="3">
        <v>0.2</v>
      </c>
      <c r="Q851" t="s">
        <v>3</v>
      </c>
      <c r="R851" s="7">
        <f t="shared" si="39"/>
        <v>1.65</v>
      </c>
      <c r="S851" s="7">
        <f t="shared" si="40"/>
        <v>0.33</v>
      </c>
      <c r="T851">
        <f>Table1[[#This Row],[Total price]]-Table1[[#This Row],[Discount Amount]]</f>
        <v>1.3199999999999998</v>
      </c>
      <c r="U851">
        <f t="shared" si="41"/>
        <v>1.3199999999999998</v>
      </c>
    </row>
    <row r="852" spans="1:21">
      <c r="A852">
        <v>851</v>
      </c>
      <c r="B852" s="3" t="s">
        <v>1881</v>
      </c>
      <c r="C852" s="3" t="s">
        <v>1880</v>
      </c>
      <c r="D852" s="3" t="s">
        <v>2866</v>
      </c>
      <c r="E852" s="3" t="s">
        <v>3821</v>
      </c>
      <c r="F852" s="3">
        <v>301</v>
      </c>
      <c r="G852" s="4">
        <v>40878.489583333336</v>
      </c>
      <c r="H852" s="3">
        <v>4</v>
      </c>
      <c r="I852" s="5">
        <v>6</v>
      </c>
      <c r="J852" t="s">
        <v>346</v>
      </c>
      <c r="K852" t="s">
        <v>4497</v>
      </c>
      <c r="L852">
        <v>536464</v>
      </c>
      <c r="M852" s="2">
        <v>21328</v>
      </c>
      <c r="N852">
        <v>1.65</v>
      </c>
      <c r="O852" s="6">
        <v>1</v>
      </c>
      <c r="P852" s="3">
        <v>0.05</v>
      </c>
      <c r="Q852" t="s">
        <v>3</v>
      </c>
      <c r="R852" s="7">
        <f t="shared" si="39"/>
        <v>1.65</v>
      </c>
      <c r="S852" s="7">
        <f t="shared" si="40"/>
        <v>8.2500000000000004E-2</v>
      </c>
      <c r="T852">
        <f>Table1[[#This Row],[Total price]]-Table1[[#This Row],[Discount Amount]]</f>
        <v>1.5674999999999999</v>
      </c>
      <c r="U852">
        <f t="shared" si="41"/>
        <v>1.5674999999999999</v>
      </c>
    </row>
    <row r="853" spans="1:21">
      <c r="A853">
        <v>852</v>
      </c>
      <c r="B853" s="3" t="s">
        <v>897</v>
      </c>
      <c r="C853" s="3" t="s">
        <v>1879</v>
      </c>
      <c r="D853" s="3" t="s">
        <v>2866</v>
      </c>
      <c r="E853" s="3" t="s">
        <v>3822</v>
      </c>
      <c r="F853" s="3">
        <v>301</v>
      </c>
      <c r="G853" s="4">
        <v>40878.489583333336</v>
      </c>
      <c r="H853" s="3">
        <v>4</v>
      </c>
      <c r="I853" s="5">
        <v>22</v>
      </c>
      <c r="J853" t="s">
        <v>347</v>
      </c>
      <c r="K853" t="s">
        <v>4497</v>
      </c>
      <c r="L853">
        <v>536464</v>
      </c>
      <c r="M853" s="2">
        <v>21327</v>
      </c>
      <c r="N853">
        <v>1.65</v>
      </c>
      <c r="O853" s="6">
        <v>1</v>
      </c>
      <c r="P853" s="3">
        <v>0.1</v>
      </c>
      <c r="Q853" t="s">
        <v>3</v>
      </c>
      <c r="R853" s="7">
        <f t="shared" si="39"/>
        <v>1.65</v>
      </c>
      <c r="S853" s="7">
        <f t="shared" si="40"/>
        <v>0.16500000000000001</v>
      </c>
      <c r="T853">
        <f>Table1[[#This Row],[Total price]]-Table1[[#This Row],[Discount Amount]]</f>
        <v>1.4849999999999999</v>
      </c>
      <c r="U853">
        <f t="shared" si="41"/>
        <v>1.4849999999999999</v>
      </c>
    </row>
    <row r="854" spans="1:21">
      <c r="A854">
        <v>853</v>
      </c>
      <c r="B854" s="3" t="s">
        <v>1878</v>
      </c>
      <c r="C854" s="3" t="s">
        <v>1038</v>
      </c>
      <c r="D854" s="3" t="s">
        <v>2866</v>
      </c>
      <c r="E854" s="3" t="s">
        <v>3823</v>
      </c>
      <c r="F854" s="3">
        <v>302</v>
      </c>
      <c r="G854" s="4">
        <v>40878.489583333336</v>
      </c>
      <c r="H854" s="3">
        <v>4</v>
      </c>
      <c r="I854" s="5">
        <v>24</v>
      </c>
      <c r="J854" t="s">
        <v>327</v>
      </c>
      <c r="K854" t="s">
        <v>4497</v>
      </c>
      <c r="L854">
        <v>536464</v>
      </c>
      <c r="M854" s="2">
        <v>21992</v>
      </c>
      <c r="N854">
        <v>2.95</v>
      </c>
      <c r="O854" s="6">
        <v>1</v>
      </c>
      <c r="P854" s="3">
        <v>0.2</v>
      </c>
      <c r="Q854" t="s">
        <v>3</v>
      </c>
      <c r="R854" s="7">
        <f t="shared" si="39"/>
        <v>2.95</v>
      </c>
      <c r="S854" s="7">
        <f t="shared" si="40"/>
        <v>0.59000000000000008</v>
      </c>
      <c r="T854">
        <f>Table1[[#This Row],[Total price]]-Table1[[#This Row],[Discount Amount]]</f>
        <v>2.3600000000000003</v>
      </c>
      <c r="U854">
        <f t="shared" si="41"/>
        <v>2.3600000000000003</v>
      </c>
    </row>
    <row r="855" spans="1:21">
      <c r="A855">
        <v>854</v>
      </c>
      <c r="B855" s="3" t="s">
        <v>1877</v>
      </c>
      <c r="C855" s="3" t="s">
        <v>1876</v>
      </c>
      <c r="D855" s="3" t="s">
        <v>3824</v>
      </c>
      <c r="E855" s="3" t="s">
        <v>3825</v>
      </c>
      <c r="F855" s="3">
        <v>302</v>
      </c>
      <c r="G855" s="4">
        <v>40878.489583333336</v>
      </c>
      <c r="H855" s="3">
        <v>4</v>
      </c>
      <c r="I855" s="5">
        <v>18</v>
      </c>
      <c r="J855" t="s">
        <v>636</v>
      </c>
      <c r="K855" t="s">
        <v>4497</v>
      </c>
      <c r="L855">
        <v>536464</v>
      </c>
      <c r="M855" s="2">
        <v>21738</v>
      </c>
      <c r="N855">
        <v>2.95</v>
      </c>
      <c r="O855" s="6">
        <v>1</v>
      </c>
      <c r="P855" s="3">
        <v>7.0000000000000007E-2</v>
      </c>
      <c r="Q855" t="s">
        <v>3</v>
      </c>
      <c r="R855" s="7">
        <f t="shared" si="39"/>
        <v>2.95</v>
      </c>
      <c r="S855" s="7">
        <f t="shared" si="40"/>
        <v>0.20650000000000004</v>
      </c>
      <c r="T855">
        <f>Table1[[#This Row],[Total price]]-Table1[[#This Row],[Discount Amount]]</f>
        <v>2.7435</v>
      </c>
      <c r="U855">
        <f t="shared" si="41"/>
        <v>2.7435</v>
      </c>
    </row>
    <row r="856" spans="1:21">
      <c r="A856">
        <v>855</v>
      </c>
      <c r="B856" s="3" t="s">
        <v>1875</v>
      </c>
      <c r="C856" s="3" t="s">
        <v>1874</v>
      </c>
      <c r="D856" s="3" t="s">
        <v>2866</v>
      </c>
      <c r="E856" s="3" t="s">
        <v>3826</v>
      </c>
      <c r="F856" s="3">
        <v>302</v>
      </c>
      <c r="G856" s="4">
        <v>40878.489583333336</v>
      </c>
      <c r="H856" s="3">
        <v>4</v>
      </c>
      <c r="I856" s="5">
        <v>2</v>
      </c>
      <c r="J856" t="s">
        <v>604</v>
      </c>
      <c r="K856" t="s">
        <v>4497</v>
      </c>
      <c r="L856">
        <v>536464</v>
      </c>
      <c r="M856" s="2" t="s">
        <v>603</v>
      </c>
      <c r="N856">
        <v>7.95</v>
      </c>
      <c r="O856" s="6">
        <v>1</v>
      </c>
      <c r="P856" s="3">
        <v>0.2</v>
      </c>
      <c r="Q856" t="s">
        <v>3</v>
      </c>
      <c r="R856" s="7">
        <f t="shared" si="39"/>
        <v>7.95</v>
      </c>
      <c r="S856" s="7">
        <f t="shared" si="40"/>
        <v>1.59</v>
      </c>
      <c r="T856">
        <f>Table1[[#This Row],[Total price]]-Table1[[#This Row],[Discount Amount]]</f>
        <v>6.36</v>
      </c>
      <c r="U856">
        <f t="shared" si="41"/>
        <v>6.36</v>
      </c>
    </row>
    <row r="857" spans="1:21">
      <c r="A857">
        <v>856</v>
      </c>
      <c r="B857" s="3" t="s">
        <v>1873</v>
      </c>
      <c r="C857" s="3" t="s">
        <v>1348</v>
      </c>
      <c r="D857" s="3" t="s">
        <v>2866</v>
      </c>
      <c r="E857" s="3" t="s">
        <v>3827</v>
      </c>
      <c r="F857" s="3">
        <v>303</v>
      </c>
      <c r="G857" s="4">
        <v>40878.489583333336</v>
      </c>
      <c r="H857" s="3">
        <v>4</v>
      </c>
      <c r="I857" s="5">
        <v>8</v>
      </c>
      <c r="J857" t="s">
        <v>341</v>
      </c>
      <c r="K857" t="s">
        <v>4497</v>
      </c>
      <c r="L857">
        <v>536464</v>
      </c>
      <c r="M857" s="2" t="s">
        <v>340</v>
      </c>
      <c r="N857">
        <v>1.95</v>
      </c>
      <c r="O857" s="6">
        <v>1</v>
      </c>
      <c r="P857" s="3">
        <v>0.05</v>
      </c>
      <c r="Q857" t="s">
        <v>3</v>
      </c>
      <c r="R857" s="7">
        <f t="shared" si="39"/>
        <v>1.95</v>
      </c>
      <c r="S857" s="7">
        <f t="shared" si="40"/>
        <v>9.7500000000000003E-2</v>
      </c>
      <c r="T857">
        <f>Table1[[#This Row],[Total price]]-Table1[[#This Row],[Discount Amount]]</f>
        <v>1.8525</v>
      </c>
      <c r="U857">
        <f t="shared" si="41"/>
        <v>1.8525</v>
      </c>
    </row>
    <row r="858" spans="1:21">
      <c r="A858">
        <v>857</v>
      </c>
      <c r="B858" s="3" t="s">
        <v>1872</v>
      </c>
      <c r="C858" s="3" t="s">
        <v>1725</v>
      </c>
      <c r="D858" s="3" t="s">
        <v>2866</v>
      </c>
      <c r="E858" s="3" t="s">
        <v>3828</v>
      </c>
      <c r="F858" s="3">
        <v>303</v>
      </c>
      <c r="G858" s="4">
        <v>40878.489583333336</v>
      </c>
      <c r="H858" s="3">
        <v>4</v>
      </c>
      <c r="I858" s="5">
        <v>24</v>
      </c>
      <c r="J858" t="s">
        <v>879</v>
      </c>
      <c r="K858" t="s">
        <v>4497</v>
      </c>
      <c r="L858">
        <v>536464</v>
      </c>
      <c r="M858" s="2">
        <v>22960</v>
      </c>
      <c r="N858">
        <v>4.25</v>
      </c>
      <c r="O858" s="6">
        <v>1</v>
      </c>
      <c r="P858" s="3">
        <v>0.05</v>
      </c>
      <c r="Q858" t="s">
        <v>3</v>
      </c>
      <c r="R858" s="7">
        <f t="shared" si="39"/>
        <v>4.25</v>
      </c>
      <c r="S858" s="7">
        <f t="shared" si="40"/>
        <v>0.21250000000000002</v>
      </c>
      <c r="T858">
        <f>Table1[[#This Row],[Total price]]-Table1[[#This Row],[Discount Amount]]</f>
        <v>4.0374999999999996</v>
      </c>
      <c r="U858">
        <f t="shared" si="41"/>
        <v>4.0374999999999996</v>
      </c>
    </row>
    <row r="859" spans="1:21">
      <c r="A859">
        <v>858</v>
      </c>
      <c r="B859" s="3" t="s">
        <v>1871</v>
      </c>
      <c r="C859" s="3" t="s">
        <v>1380</v>
      </c>
      <c r="D859" s="3" t="s">
        <v>2866</v>
      </c>
      <c r="E859" s="3" t="s">
        <v>3829</v>
      </c>
      <c r="F859" s="3">
        <v>304</v>
      </c>
      <c r="G859" s="4">
        <v>40878.489583333336</v>
      </c>
      <c r="H859" s="3">
        <v>4</v>
      </c>
      <c r="I859" s="5">
        <v>10</v>
      </c>
      <c r="J859" t="s">
        <v>613</v>
      </c>
      <c r="K859" t="s">
        <v>4497</v>
      </c>
      <c r="L859">
        <v>536464</v>
      </c>
      <c r="M859" s="2" t="s">
        <v>612</v>
      </c>
      <c r="N859">
        <v>0.85</v>
      </c>
      <c r="O859" s="6">
        <v>1</v>
      </c>
      <c r="P859" s="3">
        <v>0.05</v>
      </c>
      <c r="Q859" t="s">
        <v>3</v>
      </c>
      <c r="R859" s="7">
        <f t="shared" si="39"/>
        <v>0.85</v>
      </c>
      <c r="S859" s="7">
        <f t="shared" si="40"/>
        <v>4.2500000000000003E-2</v>
      </c>
      <c r="T859">
        <f>Table1[[#This Row],[Total price]]-Table1[[#This Row],[Discount Amount]]</f>
        <v>0.8075</v>
      </c>
      <c r="U859">
        <f t="shared" si="41"/>
        <v>0.8075</v>
      </c>
    </row>
    <row r="860" spans="1:21">
      <c r="A860">
        <v>859</v>
      </c>
      <c r="B860" s="3" t="s">
        <v>1870</v>
      </c>
      <c r="C860" s="3" t="s">
        <v>1869</v>
      </c>
      <c r="D860" s="3" t="s">
        <v>2866</v>
      </c>
      <c r="E860" s="3" t="s">
        <v>3830</v>
      </c>
      <c r="F860" s="3">
        <v>304</v>
      </c>
      <c r="G860" s="4">
        <v>40878.489583333336</v>
      </c>
      <c r="H860" s="3">
        <v>4</v>
      </c>
      <c r="I860" s="5">
        <v>7</v>
      </c>
      <c r="J860" t="s">
        <v>615</v>
      </c>
      <c r="K860" t="s">
        <v>4497</v>
      </c>
      <c r="L860">
        <v>536464</v>
      </c>
      <c r="M860" s="2" t="s">
        <v>614</v>
      </c>
      <c r="N860">
        <v>0.85</v>
      </c>
      <c r="O860" s="6">
        <v>2</v>
      </c>
      <c r="P860" s="3">
        <v>0.1</v>
      </c>
      <c r="Q860" t="s">
        <v>3</v>
      </c>
      <c r="R860" s="7">
        <f t="shared" si="39"/>
        <v>1.7</v>
      </c>
      <c r="S860" s="7">
        <f t="shared" si="40"/>
        <v>0.17</v>
      </c>
      <c r="T860">
        <f>Table1[[#This Row],[Total price]]-Table1[[#This Row],[Discount Amount]]</f>
        <v>1.53</v>
      </c>
      <c r="U860">
        <f t="shared" si="41"/>
        <v>3.06</v>
      </c>
    </row>
    <row r="861" spans="1:21">
      <c r="A861">
        <v>860</v>
      </c>
      <c r="B861" s="3" t="s">
        <v>1868</v>
      </c>
      <c r="C861" s="3" t="s">
        <v>1867</v>
      </c>
      <c r="D861" s="3" t="s">
        <v>2866</v>
      </c>
      <c r="E861" s="3" t="s">
        <v>3831</v>
      </c>
      <c r="F861" s="3">
        <v>304</v>
      </c>
      <c r="G861" s="4">
        <v>40878.489583333336</v>
      </c>
      <c r="H861" s="3">
        <v>4</v>
      </c>
      <c r="I861" s="5">
        <v>20</v>
      </c>
      <c r="J861" t="s">
        <v>158</v>
      </c>
      <c r="K861" t="s">
        <v>4497</v>
      </c>
      <c r="L861">
        <v>536464</v>
      </c>
      <c r="M861" s="2">
        <v>22866</v>
      </c>
      <c r="N861">
        <v>2.1</v>
      </c>
      <c r="O861" s="6">
        <v>1</v>
      </c>
      <c r="P861" s="3">
        <v>0.1</v>
      </c>
      <c r="Q861" t="s">
        <v>3</v>
      </c>
      <c r="R861" s="7">
        <f t="shared" si="39"/>
        <v>2.1</v>
      </c>
      <c r="S861" s="7">
        <f t="shared" si="40"/>
        <v>0.21000000000000002</v>
      </c>
      <c r="T861">
        <f>Table1[[#This Row],[Total price]]-Table1[[#This Row],[Discount Amount]]</f>
        <v>1.8900000000000001</v>
      </c>
      <c r="U861">
        <f t="shared" si="41"/>
        <v>1.8900000000000001</v>
      </c>
    </row>
    <row r="862" spans="1:21">
      <c r="A862">
        <v>861</v>
      </c>
      <c r="B862" s="3" t="s">
        <v>1866</v>
      </c>
      <c r="C862" s="3" t="s">
        <v>971</v>
      </c>
      <c r="D862" s="3" t="s">
        <v>2866</v>
      </c>
      <c r="E862" s="3" t="s">
        <v>3832</v>
      </c>
      <c r="F862" s="3">
        <v>305</v>
      </c>
      <c r="G862" s="4">
        <v>40878.489583333336</v>
      </c>
      <c r="H862" s="3">
        <v>4</v>
      </c>
      <c r="I862" s="5">
        <v>10</v>
      </c>
      <c r="J862" t="s">
        <v>770</v>
      </c>
      <c r="K862" t="s">
        <v>4497</v>
      </c>
      <c r="L862">
        <v>536464</v>
      </c>
      <c r="M862" s="2">
        <v>72818</v>
      </c>
      <c r="N862">
        <v>0.85</v>
      </c>
      <c r="O862" s="6">
        <v>1</v>
      </c>
      <c r="P862" s="3">
        <v>7.0000000000000007E-2</v>
      </c>
      <c r="Q862" t="s">
        <v>3</v>
      </c>
      <c r="R862" s="7">
        <f t="shared" si="39"/>
        <v>0.85</v>
      </c>
      <c r="S862" s="7">
        <f t="shared" si="40"/>
        <v>5.9500000000000004E-2</v>
      </c>
      <c r="T862">
        <f>Table1[[#This Row],[Total price]]-Table1[[#This Row],[Discount Amount]]</f>
        <v>0.79049999999999998</v>
      </c>
      <c r="U862">
        <f t="shared" si="41"/>
        <v>0.79049999999999998</v>
      </c>
    </row>
    <row r="863" spans="1:21">
      <c r="A863">
        <v>862</v>
      </c>
      <c r="B863" s="3" t="s">
        <v>1865</v>
      </c>
      <c r="C863" s="3" t="s">
        <v>1864</v>
      </c>
      <c r="D863" s="3" t="s">
        <v>2866</v>
      </c>
      <c r="E863" s="3" t="s">
        <v>3833</v>
      </c>
      <c r="F863" s="3">
        <v>305</v>
      </c>
      <c r="G863" s="4">
        <v>40878.489583333336</v>
      </c>
      <c r="H863" s="3">
        <v>4</v>
      </c>
      <c r="I863" s="5">
        <v>6</v>
      </c>
      <c r="J863" t="s">
        <v>435</v>
      </c>
      <c r="K863" t="s">
        <v>4497</v>
      </c>
      <c r="L863">
        <v>536464</v>
      </c>
      <c r="M863" s="2">
        <v>21814</v>
      </c>
      <c r="N863">
        <v>1.45</v>
      </c>
      <c r="O863" s="6">
        <v>8</v>
      </c>
      <c r="P863" s="3">
        <v>0.1</v>
      </c>
      <c r="Q863" t="s">
        <v>3</v>
      </c>
      <c r="R863" s="7">
        <f t="shared" si="39"/>
        <v>11.6</v>
      </c>
      <c r="S863" s="7">
        <f t="shared" si="40"/>
        <v>1.1599999999999999</v>
      </c>
      <c r="T863">
        <f>Table1[[#This Row],[Total price]]-Table1[[#This Row],[Discount Amount]]</f>
        <v>10.44</v>
      </c>
      <c r="U863">
        <f t="shared" si="41"/>
        <v>83.52</v>
      </c>
    </row>
    <row r="864" spans="1:21">
      <c r="A864">
        <v>863</v>
      </c>
      <c r="B864" s="3" t="s">
        <v>1863</v>
      </c>
      <c r="C864" s="3" t="s">
        <v>1862</v>
      </c>
      <c r="D864" s="3" t="s">
        <v>2866</v>
      </c>
      <c r="E864" s="3" t="s">
        <v>3834</v>
      </c>
      <c r="F864" s="3">
        <v>305</v>
      </c>
      <c r="G864" s="4">
        <v>40878.489583333336</v>
      </c>
      <c r="H864" s="3">
        <v>4</v>
      </c>
      <c r="I864" s="5">
        <v>3</v>
      </c>
      <c r="J864" t="s">
        <v>476</v>
      </c>
      <c r="K864" t="s">
        <v>4497</v>
      </c>
      <c r="L864">
        <v>536464</v>
      </c>
      <c r="M864" s="2">
        <v>22441</v>
      </c>
      <c r="N864">
        <v>2.1</v>
      </c>
      <c r="O864" s="6">
        <v>1</v>
      </c>
      <c r="P864" s="3">
        <v>0.2</v>
      </c>
      <c r="Q864" t="s">
        <v>3</v>
      </c>
      <c r="R864" s="7">
        <f t="shared" si="39"/>
        <v>2.1</v>
      </c>
      <c r="S864" s="7">
        <f t="shared" si="40"/>
        <v>0.42000000000000004</v>
      </c>
      <c r="T864">
        <f>Table1[[#This Row],[Total price]]-Table1[[#This Row],[Discount Amount]]</f>
        <v>1.6800000000000002</v>
      </c>
      <c r="U864">
        <f t="shared" si="41"/>
        <v>1.6800000000000002</v>
      </c>
    </row>
    <row r="865" spans="1:21">
      <c r="A865">
        <v>864</v>
      </c>
      <c r="B865" s="3" t="s">
        <v>1861</v>
      </c>
      <c r="C865" s="3" t="s">
        <v>1860</v>
      </c>
      <c r="D865" s="3" t="s">
        <v>3835</v>
      </c>
      <c r="E865" s="3" t="s">
        <v>3836</v>
      </c>
      <c r="F865" s="3">
        <v>306</v>
      </c>
      <c r="G865" s="4">
        <v>40878.489583333336</v>
      </c>
      <c r="H865" s="3">
        <v>4</v>
      </c>
      <c r="I865" s="5">
        <v>10</v>
      </c>
      <c r="J865" t="s">
        <v>674</v>
      </c>
      <c r="K865" t="s">
        <v>4497</v>
      </c>
      <c r="L865">
        <v>536464</v>
      </c>
      <c r="M865" s="2">
        <v>22312</v>
      </c>
      <c r="N865">
        <v>2.95</v>
      </c>
      <c r="O865" s="6">
        <v>1</v>
      </c>
      <c r="P865" s="3">
        <v>0.2</v>
      </c>
      <c r="Q865" t="s">
        <v>3</v>
      </c>
      <c r="R865" s="7">
        <f t="shared" si="39"/>
        <v>2.95</v>
      </c>
      <c r="S865" s="7">
        <f t="shared" si="40"/>
        <v>0.59000000000000008</v>
      </c>
      <c r="T865">
        <f>Table1[[#This Row],[Total price]]-Table1[[#This Row],[Discount Amount]]</f>
        <v>2.3600000000000003</v>
      </c>
      <c r="U865">
        <f t="shared" si="41"/>
        <v>2.3600000000000003</v>
      </c>
    </row>
    <row r="866" spans="1:21">
      <c r="A866">
        <v>865</v>
      </c>
      <c r="B866" s="3" t="s">
        <v>1859</v>
      </c>
      <c r="C866" s="3" t="s">
        <v>1403</v>
      </c>
      <c r="D866" s="3" t="s">
        <v>2866</v>
      </c>
      <c r="E866" s="3" t="s">
        <v>3837</v>
      </c>
      <c r="F866" s="3">
        <v>306</v>
      </c>
      <c r="G866" s="4">
        <v>40878.489583333336</v>
      </c>
      <c r="H866" s="3">
        <v>4</v>
      </c>
      <c r="I866" s="5">
        <v>22</v>
      </c>
      <c r="J866" t="s">
        <v>75</v>
      </c>
      <c r="K866" t="s">
        <v>4497</v>
      </c>
      <c r="L866">
        <v>536464</v>
      </c>
      <c r="M866" s="2">
        <v>22197</v>
      </c>
      <c r="N866">
        <v>0.85</v>
      </c>
      <c r="O866" s="6">
        <v>6</v>
      </c>
      <c r="P866" s="3">
        <v>7.0000000000000007E-2</v>
      </c>
      <c r="Q866" t="s">
        <v>3</v>
      </c>
      <c r="R866" s="7">
        <f t="shared" si="39"/>
        <v>5.0999999999999996</v>
      </c>
      <c r="S866" s="7">
        <f t="shared" si="40"/>
        <v>0.35699999999999998</v>
      </c>
      <c r="T866">
        <f>Table1[[#This Row],[Total price]]-Table1[[#This Row],[Discount Amount]]</f>
        <v>4.7429999999999994</v>
      </c>
      <c r="U866">
        <f t="shared" si="41"/>
        <v>28.457999999999998</v>
      </c>
    </row>
    <row r="867" spans="1:21">
      <c r="A867">
        <v>866</v>
      </c>
      <c r="B867" s="3" t="s">
        <v>1858</v>
      </c>
      <c r="C867" s="3" t="s">
        <v>1300</v>
      </c>
      <c r="D867" s="3" t="s">
        <v>2866</v>
      </c>
      <c r="E867" s="3" t="s">
        <v>3838</v>
      </c>
      <c r="F867" s="3">
        <v>307</v>
      </c>
      <c r="G867" s="4">
        <v>40878.489583333336</v>
      </c>
      <c r="H867" s="3">
        <v>4</v>
      </c>
      <c r="I867" s="5">
        <v>15</v>
      </c>
      <c r="J867" t="s">
        <v>610</v>
      </c>
      <c r="K867" t="s">
        <v>4497</v>
      </c>
      <c r="L867">
        <v>536464</v>
      </c>
      <c r="M867" s="2">
        <v>22663</v>
      </c>
      <c r="N867">
        <v>1.95</v>
      </c>
      <c r="O867" s="6">
        <v>1</v>
      </c>
      <c r="P867" s="3">
        <v>0.05</v>
      </c>
      <c r="Q867" t="s">
        <v>3</v>
      </c>
      <c r="R867" s="7">
        <f t="shared" si="39"/>
        <v>1.95</v>
      </c>
      <c r="S867" s="7">
        <f t="shared" si="40"/>
        <v>9.7500000000000003E-2</v>
      </c>
      <c r="T867">
        <f>Table1[[#This Row],[Total price]]-Table1[[#This Row],[Discount Amount]]</f>
        <v>1.8525</v>
      </c>
      <c r="U867">
        <f t="shared" si="41"/>
        <v>1.8525</v>
      </c>
    </row>
    <row r="868" spans="1:21">
      <c r="A868">
        <v>867</v>
      </c>
      <c r="B868" s="3" t="s">
        <v>1857</v>
      </c>
      <c r="C868" s="3" t="s">
        <v>1856</v>
      </c>
      <c r="D868" s="3" t="s">
        <v>2866</v>
      </c>
      <c r="E868" s="3" t="s">
        <v>3839</v>
      </c>
      <c r="F868" s="3">
        <v>308</v>
      </c>
      <c r="G868" s="4">
        <v>40878.489583333336</v>
      </c>
      <c r="H868" s="3">
        <v>4</v>
      </c>
      <c r="I868" s="5">
        <v>7</v>
      </c>
      <c r="J868" t="s">
        <v>879</v>
      </c>
      <c r="K868" t="s">
        <v>4497</v>
      </c>
      <c r="L868">
        <v>536466</v>
      </c>
      <c r="M868" s="2">
        <v>22960</v>
      </c>
      <c r="N868">
        <v>4.25</v>
      </c>
      <c r="O868" s="6">
        <v>6</v>
      </c>
      <c r="P868" s="3">
        <v>0.1</v>
      </c>
      <c r="Q868" t="s">
        <v>3</v>
      </c>
      <c r="R868" s="7">
        <f t="shared" si="39"/>
        <v>25.5</v>
      </c>
      <c r="S868" s="7">
        <f t="shared" si="40"/>
        <v>2.5500000000000003</v>
      </c>
      <c r="T868">
        <f>Table1[[#This Row],[Total price]]-Table1[[#This Row],[Discount Amount]]</f>
        <v>22.95</v>
      </c>
      <c r="U868">
        <f t="shared" si="41"/>
        <v>137.69999999999999</v>
      </c>
    </row>
    <row r="869" spans="1:21">
      <c r="A869">
        <v>868</v>
      </c>
      <c r="B869" s="3" t="s">
        <v>1855</v>
      </c>
      <c r="C869" s="3" t="s">
        <v>1854</v>
      </c>
      <c r="D869" s="3" t="s">
        <v>3840</v>
      </c>
      <c r="E869" s="3" t="s">
        <v>3841</v>
      </c>
      <c r="F869" s="3">
        <v>308</v>
      </c>
      <c r="G869" s="4">
        <v>40878.489583333336</v>
      </c>
      <c r="H869" s="3">
        <v>4</v>
      </c>
      <c r="I869" s="5">
        <v>18</v>
      </c>
      <c r="J869" t="s">
        <v>876</v>
      </c>
      <c r="K869" t="s">
        <v>4497</v>
      </c>
      <c r="L869">
        <v>536466</v>
      </c>
      <c r="M869" s="2">
        <v>22961</v>
      </c>
      <c r="N869">
        <v>1.45</v>
      </c>
      <c r="O869" s="6">
        <v>12</v>
      </c>
      <c r="P869" s="3">
        <v>0.2</v>
      </c>
      <c r="Q869" t="s">
        <v>3</v>
      </c>
      <c r="R869" s="7">
        <f t="shared" si="39"/>
        <v>17.399999999999999</v>
      </c>
      <c r="S869" s="7">
        <f t="shared" si="40"/>
        <v>3.48</v>
      </c>
      <c r="T869">
        <f>Table1[[#This Row],[Total price]]-Table1[[#This Row],[Discount Amount]]</f>
        <v>13.919999999999998</v>
      </c>
      <c r="U869">
        <f t="shared" si="41"/>
        <v>167.03999999999996</v>
      </c>
    </row>
    <row r="870" spans="1:21">
      <c r="A870">
        <v>869</v>
      </c>
      <c r="B870" s="3" t="s">
        <v>1853</v>
      </c>
      <c r="C870" s="3" t="s">
        <v>1350</v>
      </c>
      <c r="D870" s="3" t="s">
        <v>2866</v>
      </c>
      <c r="E870" s="3" t="s">
        <v>3842</v>
      </c>
      <c r="F870" s="3">
        <v>308</v>
      </c>
      <c r="G870" s="4">
        <v>40878.489583333336</v>
      </c>
      <c r="H870" s="3">
        <v>4</v>
      </c>
      <c r="I870" s="5">
        <v>14</v>
      </c>
      <c r="J870" t="s">
        <v>328</v>
      </c>
      <c r="K870" t="s">
        <v>4497</v>
      </c>
      <c r="L870">
        <v>536477</v>
      </c>
      <c r="M870" s="2">
        <v>21314</v>
      </c>
      <c r="N870">
        <v>1.85</v>
      </c>
      <c r="O870" s="6">
        <v>48</v>
      </c>
      <c r="P870" s="3">
        <v>0.2</v>
      </c>
      <c r="Q870" t="s">
        <v>3</v>
      </c>
      <c r="R870" s="7">
        <f t="shared" si="39"/>
        <v>88.800000000000011</v>
      </c>
      <c r="S870" s="7">
        <f t="shared" si="40"/>
        <v>17.760000000000002</v>
      </c>
      <c r="T870">
        <f>Table1[[#This Row],[Total price]]-Table1[[#This Row],[Discount Amount]]</f>
        <v>71.040000000000006</v>
      </c>
      <c r="U870">
        <f t="shared" si="41"/>
        <v>3409.92</v>
      </c>
    </row>
    <row r="871" spans="1:21">
      <c r="A871">
        <v>870</v>
      </c>
      <c r="B871" s="3" t="s">
        <v>1852</v>
      </c>
      <c r="C871" s="3" t="s">
        <v>1639</v>
      </c>
      <c r="D871" s="3" t="s">
        <v>2866</v>
      </c>
      <c r="E871" s="3" t="s">
        <v>3843</v>
      </c>
      <c r="F871" s="3">
        <v>309</v>
      </c>
      <c r="G871" s="4">
        <v>40878.489583333336</v>
      </c>
      <c r="H871" s="3">
        <v>4</v>
      </c>
      <c r="I871" s="5">
        <v>3</v>
      </c>
      <c r="J871" t="s">
        <v>73</v>
      </c>
      <c r="K871" t="s">
        <v>4497</v>
      </c>
      <c r="L871">
        <v>536477</v>
      </c>
      <c r="M871" s="2" t="s">
        <v>72</v>
      </c>
      <c r="N871">
        <v>3.39</v>
      </c>
      <c r="O871" s="6">
        <v>24</v>
      </c>
      <c r="P871" s="3">
        <v>0.05</v>
      </c>
      <c r="Q871" t="s">
        <v>3</v>
      </c>
      <c r="R871" s="7">
        <f t="shared" si="39"/>
        <v>81.36</v>
      </c>
      <c r="S871" s="7">
        <f t="shared" si="40"/>
        <v>4.0680000000000005</v>
      </c>
      <c r="T871">
        <f>Table1[[#This Row],[Total price]]-Table1[[#This Row],[Discount Amount]]</f>
        <v>77.292000000000002</v>
      </c>
      <c r="U871">
        <f t="shared" si="41"/>
        <v>1855.008</v>
      </c>
    </row>
    <row r="872" spans="1:21">
      <c r="A872">
        <v>871</v>
      </c>
      <c r="B872" s="3" t="s">
        <v>1851</v>
      </c>
      <c r="C872" s="3" t="s">
        <v>1850</v>
      </c>
      <c r="D872" s="3" t="s">
        <v>2866</v>
      </c>
      <c r="E872" s="3" t="s">
        <v>3844</v>
      </c>
      <c r="F872" s="3">
        <v>309</v>
      </c>
      <c r="G872" s="4">
        <v>40878.489583333336</v>
      </c>
      <c r="H872" s="3">
        <v>4</v>
      </c>
      <c r="I872" s="5">
        <v>12</v>
      </c>
      <c r="J872" t="s">
        <v>606</v>
      </c>
      <c r="K872" t="s">
        <v>4497</v>
      </c>
      <c r="L872">
        <v>536477</v>
      </c>
      <c r="M872" s="2">
        <v>21137</v>
      </c>
      <c r="N872">
        <v>3.39</v>
      </c>
      <c r="O872" s="6">
        <v>480</v>
      </c>
      <c r="P872" s="3">
        <v>0.05</v>
      </c>
      <c r="Q872" t="s">
        <v>7</v>
      </c>
      <c r="R872" s="7">
        <f t="shared" si="39"/>
        <v>1627.2</v>
      </c>
      <c r="S872" s="7">
        <f t="shared" si="40"/>
        <v>81.360000000000014</v>
      </c>
      <c r="T872">
        <f>Table1[[#This Row],[Total price]]-Table1[[#This Row],[Discount Amount]]</f>
        <v>1545.8400000000001</v>
      </c>
      <c r="U872">
        <f t="shared" si="41"/>
        <v>742003.20000000007</v>
      </c>
    </row>
    <row r="873" spans="1:21">
      <c r="A873">
        <v>872</v>
      </c>
      <c r="B873" s="3" t="s">
        <v>1849</v>
      </c>
      <c r="C873" s="3" t="s">
        <v>1848</v>
      </c>
      <c r="D873" s="3" t="s">
        <v>3845</v>
      </c>
      <c r="E873" s="3" t="s">
        <v>3846</v>
      </c>
      <c r="F873" s="3">
        <v>310</v>
      </c>
      <c r="G873" s="4">
        <v>40878.489583333336</v>
      </c>
      <c r="H873" s="3">
        <v>4</v>
      </c>
      <c r="I873" s="5">
        <v>7</v>
      </c>
      <c r="J873" t="s">
        <v>577</v>
      </c>
      <c r="K873" t="s">
        <v>4497</v>
      </c>
      <c r="L873">
        <v>536477</v>
      </c>
      <c r="M873" s="2">
        <v>22041</v>
      </c>
      <c r="N873">
        <v>2.1</v>
      </c>
      <c r="O873" s="6">
        <v>48</v>
      </c>
      <c r="P873" s="3">
        <v>7.0000000000000007E-2</v>
      </c>
      <c r="Q873" t="s">
        <v>3</v>
      </c>
      <c r="R873" s="7">
        <f t="shared" si="39"/>
        <v>100.80000000000001</v>
      </c>
      <c r="S873" s="7">
        <f t="shared" si="40"/>
        <v>7.0560000000000018</v>
      </c>
      <c r="T873">
        <f>Table1[[#This Row],[Total price]]-Table1[[#This Row],[Discount Amount]]</f>
        <v>93.744000000000014</v>
      </c>
      <c r="U873">
        <f t="shared" si="41"/>
        <v>4499.7120000000004</v>
      </c>
    </row>
    <row r="874" spans="1:21">
      <c r="A874">
        <v>873</v>
      </c>
      <c r="B874" s="3" t="s">
        <v>1847</v>
      </c>
      <c r="C874" s="3" t="s">
        <v>1703</v>
      </c>
      <c r="D874" s="3" t="s">
        <v>2866</v>
      </c>
      <c r="E874" s="3" t="s">
        <v>3847</v>
      </c>
      <c r="F874" s="3">
        <v>310</v>
      </c>
      <c r="G874" s="4">
        <v>40878.489583333336</v>
      </c>
      <c r="H874" s="3">
        <v>4</v>
      </c>
      <c r="I874" s="5">
        <v>14</v>
      </c>
      <c r="J874" t="s">
        <v>260</v>
      </c>
      <c r="K874" t="s">
        <v>4497</v>
      </c>
      <c r="L874">
        <v>536477</v>
      </c>
      <c r="M874" s="2">
        <v>20979</v>
      </c>
      <c r="N874">
        <v>1.25</v>
      </c>
      <c r="O874" s="6">
        <v>16</v>
      </c>
      <c r="P874" s="3">
        <v>0.1</v>
      </c>
      <c r="Q874" t="s">
        <v>3</v>
      </c>
      <c r="R874" s="7">
        <f t="shared" si="39"/>
        <v>20</v>
      </c>
      <c r="S874" s="7">
        <f t="shared" si="40"/>
        <v>2</v>
      </c>
      <c r="T874">
        <f>Table1[[#This Row],[Total price]]-Table1[[#This Row],[Discount Amount]]</f>
        <v>18</v>
      </c>
      <c r="U874">
        <f t="shared" si="41"/>
        <v>288</v>
      </c>
    </row>
    <row r="875" spans="1:21">
      <c r="A875">
        <v>874</v>
      </c>
      <c r="B875" s="3" t="s">
        <v>976</v>
      </c>
      <c r="C875" s="3" t="s">
        <v>1846</v>
      </c>
      <c r="D875" s="3" t="s">
        <v>2866</v>
      </c>
      <c r="E875" s="3" t="s">
        <v>3848</v>
      </c>
      <c r="F875" s="3">
        <v>310</v>
      </c>
      <c r="G875" s="4">
        <v>40878.489583333336</v>
      </c>
      <c r="H875" s="3">
        <v>4</v>
      </c>
      <c r="I875" s="5">
        <v>5</v>
      </c>
      <c r="J875" t="s">
        <v>450</v>
      </c>
      <c r="K875" t="s">
        <v>4497</v>
      </c>
      <c r="L875">
        <v>536477</v>
      </c>
      <c r="M875" s="2">
        <v>20977</v>
      </c>
      <c r="N875">
        <v>1.25</v>
      </c>
      <c r="O875" s="6">
        <v>16</v>
      </c>
      <c r="P875" s="3">
        <v>0.2</v>
      </c>
      <c r="Q875" t="s">
        <v>3</v>
      </c>
      <c r="R875" s="7">
        <f t="shared" si="39"/>
        <v>20</v>
      </c>
      <c r="S875" s="7">
        <f t="shared" si="40"/>
        <v>4</v>
      </c>
      <c r="T875">
        <f>Table1[[#This Row],[Total price]]-Table1[[#This Row],[Discount Amount]]</f>
        <v>16</v>
      </c>
      <c r="U875">
        <f t="shared" si="41"/>
        <v>256</v>
      </c>
    </row>
    <row r="876" spans="1:21">
      <c r="A876">
        <v>875</v>
      </c>
      <c r="B876" s="3" t="s">
        <v>1845</v>
      </c>
      <c r="C876" s="3" t="s">
        <v>1844</v>
      </c>
      <c r="D876" s="3" t="s">
        <v>2866</v>
      </c>
      <c r="E876" s="3" t="s">
        <v>3849</v>
      </c>
      <c r="F876" s="3">
        <v>310</v>
      </c>
      <c r="G876" s="4">
        <v>40878.489583333336</v>
      </c>
      <c r="H876" s="3">
        <v>4</v>
      </c>
      <c r="I876" s="5">
        <v>8</v>
      </c>
      <c r="J876" t="s">
        <v>170</v>
      </c>
      <c r="K876" t="s">
        <v>4497</v>
      </c>
      <c r="L876">
        <v>536477</v>
      </c>
      <c r="M876" s="2">
        <v>22619</v>
      </c>
      <c r="N876">
        <v>3.75</v>
      </c>
      <c r="O876" s="6">
        <v>4</v>
      </c>
      <c r="P876" s="3">
        <v>0.2</v>
      </c>
      <c r="Q876" t="s">
        <v>3</v>
      </c>
      <c r="R876" s="7">
        <f t="shared" si="39"/>
        <v>15</v>
      </c>
      <c r="S876" s="7">
        <f t="shared" si="40"/>
        <v>3</v>
      </c>
      <c r="T876">
        <f>Table1[[#This Row],[Total price]]-Table1[[#This Row],[Discount Amount]]</f>
        <v>12</v>
      </c>
      <c r="U876">
        <f t="shared" si="41"/>
        <v>48</v>
      </c>
    </row>
    <row r="877" spans="1:21">
      <c r="A877">
        <v>876</v>
      </c>
      <c r="B877" s="3" t="s">
        <v>1843</v>
      </c>
      <c r="C877" s="3" t="s">
        <v>1842</v>
      </c>
      <c r="D877" s="3" t="s">
        <v>2866</v>
      </c>
      <c r="E877" s="3" t="s">
        <v>3850</v>
      </c>
      <c r="F877" s="3">
        <v>311</v>
      </c>
      <c r="G877" s="4">
        <v>40878.489583333336</v>
      </c>
      <c r="H877" s="3">
        <v>4</v>
      </c>
      <c r="I877" s="5">
        <v>17</v>
      </c>
      <c r="J877" t="s">
        <v>200</v>
      </c>
      <c r="K877" t="s">
        <v>4497</v>
      </c>
      <c r="L877">
        <v>536477</v>
      </c>
      <c r="M877" s="2">
        <v>22571</v>
      </c>
      <c r="N877">
        <v>0.72</v>
      </c>
      <c r="O877" s="6">
        <v>96</v>
      </c>
      <c r="P877" s="3">
        <v>0.05</v>
      </c>
      <c r="Q877" t="s">
        <v>7</v>
      </c>
      <c r="R877" s="7">
        <f t="shared" si="39"/>
        <v>69.12</v>
      </c>
      <c r="S877" s="7">
        <f t="shared" si="40"/>
        <v>3.4560000000000004</v>
      </c>
      <c r="T877">
        <f>Table1[[#This Row],[Total price]]-Table1[[#This Row],[Discount Amount]]</f>
        <v>65.664000000000001</v>
      </c>
      <c r="U877">
        <f t="shared" si="41"/>
        <v>6303.7440000000006</v>
      </c>
    </row>
    <row r="878" spans="1:21">
      <c r="A878">
        <v>877</v>
      </c>
      <c r="B878" s="3" t="s">
        <v>1841</v>
      </c>
      <c r="C878" s="3" t="s">
        <v>1044</v>
      </c>
      <c r="D878" s="3" t="s">
        <v>2866</v>
      </c>
      <c r="E878" s="3" t="s">
        <v>3851</v>
      </c>
      <c r="F878" s="3">
        <v>311</v>
      </c>
      <c r="G878" s="4">
        <v>40878.489583333336</v>
      </c>
      <c r="H878" s="3">
        <v>4</v>
      </c>
      <c r="I878" s="5">
        <v>5</v>
      </c>
      <c r="J878" t="s">
        <v>142</v>
      </c>
      <c r="K878" t="s">
        <v>4497</v>
      </c>
      <c r="L878">
        <v>536477</v>
      </c>
      <c r="M878" s="2">
        <v>22595</v>
      </c>
      <c r="N878">
        <v>0.72</v>
      </c>
      <c r="O878" s="6">
        <v>144</v>
      </c>
      <c r="P878" s="3">
        <v>0.2</v>
      </c>
      <c r="Q878" t="s">
        <v>7</v>
      </c>
      <c r="R878" s="7">
        <f t="shared" si="39"/>
        <v>103.67999999999999</v>
      </c>
      <c r="S878" s="7">
        <f t="shared" si="40"/>
        <v>20.736000000000001</v>
      </c>
      <c r="T878">
        <f>Table1[[#This Row],[Total price]]-Table1[[#This Row],[Discount Amount]]</f>
        <v>82.943999999999988</v>
      </c>
      <c r="U878">
        <f t="shared" si="41"/>
        <v>11943.935999999998</v>
      </c>
    </row>
    <row r="879" spans="1:21">
      <c r="A879">
        <v>878</v>
      </c>
      <c r="B879" s="3" t="s">
        <v>1840</v>
      </c>
      <c r="C879" s="3" t="s">
        <v>1102</v>
      </c>
      <c r="D879" s="3" t="s">
        <v>2866</v>
      </c>
      <c r="E879" s="3" t="s">
        <v>3852</v>
      </c>
      <c r="F879" s="3">
        <v>312</v>
      </c>
      <c r="G879" s="4">
        <v>40878.489583333336</v>
      </c>
      <c r="H879" s="3">
        <v>4</v>
      </c>
      <c r="I879" s="5">
        <v>24</v>
      </c>
      <c r="J879" t="s">
        <v>172</v>
      </c>
      <c r="K879" t="s">
        <v>4497</v>
      </c>
      <c r="L879">
        <v>536477</v>
      </c>
      <c r="M879" s="2">
        <v>22593</v>
      </c>
      <c r="N879">
        <v>0.72</v>
      </c>
      <c r="O879" s="6">
        <v>144</v>
      </c>
      <c r="P879" s="3">
        <v>0.05</v>
      </c>
      <c r="Q879" t="s">
        <v>3</v>
      </c>
      <c r="R879" s="7">
        <f t="shared" si="39"/>
        <v>103.67999999999999</v>
      </c>
      <c r="S879" s="7">
        <f t="shared" si="40"/>
        <v>5.1840000000000002</v>
      </c>
      <c r="T879">
        <f>Table1[[#This Row],[Total price]]-Table1[[#This Row],[Discount Amount]]</f>
        <v>98.495999999999995</v>
      </c>
      <c r="U879">
        <f t="shared" si="41"/>
        <v>14183.423999999999</v>
      </c>
    </row>
    <row r="880" spans="1:21">
      <c r="A880">
        <v>879</v>
      </c>
      <c r="B880" s="3" t="s">
        <v>1839</v>
      </c>
      <c r="C880" s="3" t="s">
        <v>1838</v>
      </c>
      <c r="D880" s="3" t="s">
        <v>2866</v>
      </c>
      <c r="E880" s="3" t="s">
        <v>3853</v>
      </c>
      <c r="F880" s="3">
        <v>312</v>
      </c>
      <c r="G880" s="4">
        <v>40878.489583333336</v>
      </c>
      <c r="H880" s="3">
        <v>4</v>
      </c>
      <c r="I880" s="5">
        <v>14</v>
      </c>
      <c r="J880" t="s">
        <v>28</v>
      </c>
      <c r="K880" t="s">
        <v>4497</v>
      </c>
      <c r="L880">
        <v>536477</v>
      </c>
      <c r="M880" s="2">
        <v>22633</v>
      </c>
      <c r="N880">
        <v>2.1</v>
      </c>
      <c r="O880" s="6">
        <v>12</v>
      </c>
      <c r="P880" s="3">
        <v>7.0000000000000007E-2</v>
      </c>
      <c r="Q880" t="s">
        <v>3</v>
      </c>
      <c r="R880" s="7">
        <f t="shared" si="39"/>
        <v>25.200000000000003</v>
      </c>
      <c r="S880" s="7">
        <f t="shared" si="40"/>
        <v>1.7640000000000005</v>
      </c>
      <c r="T880">
        <f>Table1[[#This Row],[Total price]]-Table1[[#This Row],[Discount Amount]]</f>
        <v>23.436000000000003</v>
      </c>
      <c r="U880">
        <f t="shared" si="41"/>
        <v>281.23200000000003</v>
      </c>
    </row>
    <row r="881" spans="1:21">
      <c r="A881">
        <v>880</v>
      </c>
      <c r="B881" s="3" t="s">
        <v>1363</v>
      </c>
      <c r="C881" s="3" t="s">
        <v>1837</v>
      </c>
      <c r="D881" s="3" t="s">
        <v>2866</v>
      </c>
      <c r="E881" s="3" t="s">
        <v>3854</v>
      </c>
      <c r="F881" s="3">
        <v>312</v>
      </c>
      <c r="G881" s="4">
        <v>40878.489583333336</v>
      </c>
      <c r="H881" s="3">
        <v>4</v>
      </c>
      <c r="I881" s="5">
        <v>16</v>
      </c>
      <c r="J881" t="s">
        <v>26</v>
      </c>
      <c r="K881" t="s">
        <v>4497</v>
      </c>
      <c r="L881">
        <v>536477</v>
      </c>
      <c r="M881" s="2">
        <v>22632</v>
      </c>
      <c r="N881">
        <v>2.1</v>
      </c>
      <c r="O881" s="6">
        <v>12</v>
      </c>
      <c r="P881" s="3">
        <v>0.05</v>
      </c>
      <c r="Q881" t="s">
        <v>3</v>
      </c>
      <c r="R881" s="7">
        <f t="shared" si="39"/>
        <v>25.200000000000003</v>
      </c>
      <c r="S881" s="7">
        <f t="shared" si="40"/>
        <v>1.2600000000000002</v>
      </c>
      <c r="T881">
        <f>Table1[[#This Row],[Total price]]-Table1[[#This Row],[Discount Amount]]</f>
        <v>23.94</v>
      </c>
      <c r="U881">
        <f t="shared" si="41"/>
        <v>287.28000000000003</v>
      </c>
    </row>
    <row r="882" spans="1:21">
      <c r="A882">
        <v>881</v>
      </c>
      <c r="B882" s="3" t="s">
        <v>1836</v>
      </c>
      <c r="C882" s="3" t="s">
        <v>1714</v>
      </c>
      <c r="D882" s="3" t="s">
        <v>2866</v>
      </c>
      <c r="E882" s="3" t="s">
        <v>3855</v>
      </c>
      <c r="F882" s="3">
        <v>313</v>
      </c>
      <c r="G882" s="4">
        <v>40878.489583333336</v>
      </c>
      <c r="H882" s="3">
        <v>4</v>
      </c>
      <c r="I882" s="5">
        <v>4</v>
      </c>
      <c r="J882" t="s">
        <v>81</v>
      </c>
      <c r="K882" t="s">
        <v>4497</v>
      </c>
      <c r="L882">
        <v>536477</v>
      </c>
      <c r="M882" s="2">
        <v>22423</v>
      </c>
      <c r="N882">
        <v>10.95</v>
      </c>
      <c r="O882" s="6">
        <v>16</v>
      </c>
      <c r="P882" s="3">
        <v>7.0000000000000007E-2</v>
      </c>
      <c r="Q882" t="s">
        <v>3</v>
      </c>
      <c r="R882" s="7">
        <f t="shared" si="39"/>
        <v>175.2</v>
      </c>
      <c r="S882" s="7">
        <f t="shared" si="40"/>
        <v>12.264000000000001</v>
      </c>
      <c r="T882">
        <f>Table1[[#This Row],[Total price]]-Table1[[#This Row],[Discount Amount]]</f>
        <v>162.93599999999998</v>
      </c>
      <c r="U882">
        <f t="shared" si="41"/>
        <v>2606.9759999999997</v>
      </c>
    </row>
    <row r="883" spans="1:21">
      <c r="A883">
        <v>882</v>
      </c>
      <c r="B883" s="3" t="s">
        <v>1835</v>
      </c>
      <c r="C883" s="3" t="s">
        <v>1578</v>
      </c>
      <c r="D883" s="3" t="s">
        <v>2866</v>
      </c>
      <c r="E883" s="3" t="s">
        <v>3856</v>
      </c>
      <c r="F883" s="3">
        <v>313</v>
      </c>
      <c r="G883" s="4">
        <v>40878.489583333336</v>
      </c>
      <c r="H883" s="3">
        <v>4</v>
      </c>
      <c r="I883" s="5">
        <v>10</v>
      </c>
      <c r="J883" t="s">
        <v>34</v>
      </c>
      <c r="K883" t="s">
        <v>4497</v>
      </c>
      <c r="L883">
        <v>536477</v>
      </c>
      <c r="M883" s="2">
        <v>22411</v>
      </c>
      <c r="N883">
        <v>1.95</v>
      </c>
      <c r="O883" s="6">
        <v>10</v>
      </c>
      <c r="P883" s="3">
        <v>7.0000000000000007E-2</v>
      </c>
      <c r="Q883" t="s">
        <v>3</v>
      </c>
      <c r="R883" s="7">
        <f t="shared" si="39"/>
        <v>19.5</v>
      </c>
      <c r="S883" s="7">
        <f t="shared" si="40"/>
        <v>1.3650000000000002</v>
      </c>
      <c r="T883">
        <f>Table1[[#This Row],[Total price]]-Table1[[#This Row],[Discount Amount]]</f>
        <v>18.134999999999998</v>
      </c>
      <c r="U883">
        <f t="shared" si="41"/>
        <v>181.34999999999997</v>
      </c>
    </row>
    <row r="884" spans="1:21">
      <c r="A884">
        <v>883</v>
      </c>
      <c r="B884" s="3" t="s">
        <v>1834</v>
      </c>
      <c r="C884" s="3" t="s">
        <v>1833</v>
      </c>
      <c r="D884" s="3" t="s">
        <v>3857</v>
      </c>
      <c r="E884" s="3" t="s">
        <v>3858</v>
      </c>
      <c r="F884" s="3">
        <v>314</v>
      </c>
      <c r="G884" s="4">
        <v>40878.489583333336</v>
      </c>
      <c r="H884" s="3">
        <v>4</v>
      </c>
      <c r="I884" s="5">
        <v>5</v>
      </c>
      <c r="J884" t="s">
        <v>161</v>
      </c>
      <c r="K884" t="s">
        <v>4497</v>
      </c>
      <c r="L884">
        <v>536488</v>
      </c>
      <c r="M884" s="2">
        <v>22738</v>
      </c>
      <c r="N884">
        <v>1.65</v>
      </c>
      <c r="O884" s="6">
        <v>5</v>
      </c>
      <c r="P884" s="3">
        <v>7.0000000000000007E-2</v>
      </c>
      <c r="Q884" t="s">
        <v>3</v>
      </c>
      <c r="R884" s="7">
        <f t="shared" si="39"/>
        <v>8.25</v>
      </c>
      <c r="S884" s="7">
        <f t="shared" si="40"/>
        <v>0.57750000000000001</v>
      </c>
      <c r="T884">
        <f>Table1[[#This Row],[Total price]]-Table1[[#This Row],[Discount Amount]]</f>
        <v>7.6725000000000003</v>
      </c>
      <c r="U884">
        <f t="shared" si="41"/>
        <v>38.362500000000004</v>
      </c>
    </row>
    <row r="885" spans="1:21">
      <c r="A885">
        <v>884</v>
      </c>
      <c r="B885" s="3" t="s">
        <v>1832</v>
      </c>
      <c r="C885" s="3" t="s">
        <v>1268</v>
      </c>
      <c r="D885" s="3" t="s">
        <v>2866</v>
      </c>
      <c r="E885" s="3" t="s">
        <v>3859</v>
      </c>
      <c r="F885" s="3">
        <v>314</v>
      </c>
      <c r="G885" s="4">
        <v>40878.489583333336</v>
      </c>
      <c r="H885" s="3">
        <v>4</v>
      </c>
      <c r="I885" s="5">
        <v>9</v>
      </c>
      <c r="J885" t="s">
        <v>279</v>
      </c>
      <c r="K885" t="s">
        <v>4497</v>
      </c>
      <c r="L885">
        <v>536488</v>
      </c>
      <c r="M885" s="2">
        <v>21621</v>
      </c>
      <c r="N885">
        <v>8.5</v>
      </c>
      <c r="O885" s="6">
        <v>1</v>
      </c>
      <c r="P885" s="3">
        <v>0.05</v>
      </c>
      <c r="Q885" t="s">
        <v>3</v>
      </c>
      <c r="R885" s="7">
        <f t="shared" si="39"/>
        <v>8.5</v>
      </c>
      <c r="S885" s="7">
        <f t="shared" si="40"/>
        <v>0.42500000000000004</v>
      </c>
      <c r="T885">
        <f>Table1[[#This Row],[Total price]]-Table1[[#This Row],[Discount Amount]]</f>
        <v>8.0749999999999993</v>
      </c>
      <c r="U885">
        <f t="shared" si="41"/>
        <v>8.0749999999999993</v>
      </c>
    </row>
    <row r="886" spans="1:21">
      <c r="A886">
        <v>885</v>
      </c>
      <c r="B886" s="3" t="s">
        <v>1831</v>
      </c>
      <c r="C886" s="3" t="s">
        <v>1830</v>
      </c>
      <c r="D886" s="3" t="s">
        <v>2866</v>
      </c>
      <c r="E886" s="3" t="s">
        <v>3860</v>
      </c>
      <c r="F886" s="3">
        <v>314</v>
      </c>
      <c r="G886" s="4">
        <v>40878.489583333336</v>
      </c>
      <c r="H886" s="3">
        <v>3</v>
      </c>
      <c r="I886" s="5">
        <v>22</v>
      </c>
      <c r="J886" t="s">
        <v>879</v>
      </c>
      <c r="K886" t="s">
        <v>4497</v>
      </c>
      <c r="L886">
        <v>536488</v>
      </c>
      <c r="M886" s="2">
        <v>22960</v>
      </c>
      <c r="N886">
        <v>4.25</v>
      </c>
      <c r="O886" s="6">
        <v>8</v>
      </c>
      <c r="P886" s="3">
        <v>0.2</v>
      </c>
      <c r="Q886" t="s">
        <v>3</v>
      </c>
      <c r="R886" s="7">
        <f t="shared" si="39"/>
        <v>34</v>
      </c>
      <c r="S886" s="7">
        <f t="shared" si="40"/>
        <v>6.8000000000000007</v>
      </c>
      <c r="T886">
        <f>Table1[[#This Row],[Total price]]-Table1[[#This Row],[Discount Amount]]</f>
        <v>27.2</v>
      </c>
      <c r="U886">
        <f t="shared" si="41"/>
        <v>217.6</v>
      </c>
    </row>
    <row r="887" spans="1:21">
      <c r="A887">
        <v>886</v>
      </c>
      <c r="B887" s="3" t="s">
        <v>1829</v>
      </c>
      <c r="C887" s="3" t="s">
        <v>1397</v>
      </c>
      <c r="D887" s="3" t="s">
        <v>2866</v>
      </c>
      <c r="E887" s="3" t="s">
        <v>3861</v>
      </c>
      <c r="F887" s="3">
        <v>314</v>
      </c>
      <c r="G887" s="4">
        <v>40878.489583333336</v>
      </c>
      <c r="H887" s="3">
        <v>4</v>
      </c>
      <c r="I887" s="5">
        <v>7</v>
      </c>
      <c r="J887" t="s">
        <v>493</v>
      </c>
      <c r="K887" t="s">
        <v>4497</v>
      </c>
      <c r="L887">
        <v>536488</v>
      </c>
      <c r="M887" s="2">
        <v>22082</v>
      </c>
      <c r="N887">
        <v>1.65</v>
      </c>
      <c r="O887" s="6">
        <v>5</v>
      </c>
      <c r="P887" s="3">
        <v>7.0000000000000007E-2</v>
      </c>
      <c r="Q887" t="s">
        <v>3</v>
      </c>
      <c r="R887" s="7">
        <f t="shared" si="39"/>
        <v>8.25</v>
      </c>
      <c r="S887" s="7">
        <f t="shared" si="40"/>
        <v>0.57750000000000001</v>
      </c>
      <c r="T887">
        <f>Table1[[#This Row],[Total price]]-Table1[[#This Row],[Discount Amount]]</f>
        <v>7.6725000000000003</v>
      </c>
      <c r="U887">
        <f t="shared" si="41"/>
        <v>38.362500000000004</v>
      </c>
    </row>
    <row r="888" spans="1:21">
      <c r="A888">
        <v>887</v>
      </c>
      <c r="B888" s="3" t="s">
        <v>1828</v>
      </c>
      <c r="C888" s="3" t="s">
        <v>1144</v>
      </c>
      <c r="D888" s="3" t="s">
        <v>2866</v>
      </c>
      <c r="E888" s="3" t="s">
        <v>3862</v>
      </c>
      <c r="F888" s="3">
        <v>315</v>
      </c>
      <c r="G888" s="4">
        <v>40878.489583333336</v>
      </c>
      <c r="H888" s="3">
        <v>4</v>
      </c>
      <c r="I888" s="5">
        <v>11</v>
      </c>
      <c r="J888" t="s">
        <v>633</v>
      </c>
      <c r="K888" t="s">
        <v>4497</v>
      </c>
      <c r="L888">
        <v>536488</v>
      </c>
      <c r="M888" s="2" t="s">
        <v>632</v>
      </c>
      <c r="N888">
        <v>3.75</v>
      </c>
      <c r="O888" s="6">
        <v>1</v>
      </c>
      <c r="P888" s="3">
        <v>0.2</v>
      </c>
      <c r="Q888" t="s">
        <v>3</v>
      </c>
      <c r="R888" s="7">
        <f t="shared" si="39"/>
        <v>3.75</v>
      </c>
      <c r="S888" s="7">
        <f t="shared" si="40"/>
        <v>0.75</v>
      </c>
      <c r="T888">
        <f>Table1[[#This Row],[Total price]]-Table1[[#This Row],[Discount Amount]]</f>
        <v>3</v>
      </c>
      <c r="U888">
        <f t="shared" si="41"/>
        <v>3</v>
      </c>
    </row>
    <row r="889" spans="1:21">
      <c r="A889">
        <v>888</v>
      </c>
      <c r="B889" s="3" t="s">
        <v>1827</v>
      </c>
      <c r="C889" s="3" t="s">
        <v>1826</v>
      </c>
      <c r="D889" s="3" t="s">
        <v>2866</v>
      </c>
      <c r="E889" s="3" t="s">
        <v>3863</v>
      </c>
      <c r="F889" s="3">
        <v>315</v>
      </c>
      <c r="G889" s="4">
        <v>40878.489583333336</v>
      </c>
      <c r="H889" s="3">
        <v>4</v>
      </c>
      <c r="I889" s="5">
        <v>9</v>
      </c>
      <c r="J889" t="s">
        <v>627</v>
      </c>
      <c r="K889" t="s">
        <v>4497</v>
      </c>
      <c r="L889">
        <v>536488</v>
      </c>
      <c r="M889" s="2" t="s">
        <v>626</v>
      </c>
      <c r="N889">
        <v>2.95</v>
      </c>
      <c r="O889" s="6">
        <v>1</v>
      </c>
      <c r="P889" s="3">
        <v>0.1</v>
      </c>
      <c r="Q889" t="s">
        <v>3</v>
      </c>
      <c r="R889" s="7">
        <f t="shared" si="39"/>
        <v>2.95</v>
      </c>
      <c r="S889" s="7">
        <f t="shared" si="40"/>
        <v>0.29500000000000004</v>
      </c>
      <c r="T889">
        <f>Table1[[#This Row],[Total price]]-Table1[[#This Row],[Discount Amount]]</f>
        <v>2.6550000000000002</v>
      </c>
      <c r="U889">
        <f t="shared" si="41"/>
        <v>2.6550000000000002</v>
      </c>
    </row>
    <row r="890" spans="1:21">
      <c r="A890">
        <v>889</v>
      </c>
      <c r="B890" s="3" t="s">
        <v>1825</v>
      </c>
      <c r="C890" s="3" t="s">
        <v>1035</v>
      </c>
      <c r="D890" s="3" t="s">
        <v>2866</v>
      </c>
      <c r="E890" s="3" t="s">
        <v>3864</v>
      </c>
      <c r="F890" s="3">
        <v>316</v>
      </c>
      <c r="G890" s="4">
        <v>40878.489583333336</v>
      </c>
      <c r="H890" s="3">
        <v>4</v>
      </c>
      <c r="I890" s="5">
        <v>2</v>
      </c>
      <c r="J890" t="s">
        <v>683</v>
      </c>
      <c r="K890" t="s">
        <v>4497</v>
      </c>
      <c r="L890">
        <v>536488</v>
      </c>
      <c r="M890" s="2">
        <v>21592</v>
      </c>
      <c r="N890">
        <v>1.25</v>
      </c>
      <c r="O890" s="6">
        <v>1</v>
      </c>
      <c r="P890" s="3">
        <v>0.2</v>
      </c>
      <c r="Q890" t="s">
        <v>3</v>
      </c>
      <c r="R890" s="7">
        <f t="shared" si="39"/>
        <v>1.25</v>
      </c>
      <c r="S890" s="7">
        <f t="shared" si="40"/>
        <v>0.25</v>
      </c>
      <c r="T890">
        <f>Table1[[#This Row],[Total price]]-Table1[[#This Row],[Discount Amount]]</f>
        <v>1</v>
      </c>
      <c r="U890">
        <f t="shared" si="41"/>
        <v>1</v>
      </c>
    </row>
    <row r="891" spans="1:21">
      <c r="A891">
        <v>890</v>
      </c>
      <c r="B891" s="3" t="s">
        <v>1824</v>
      </c>
      <c r="C891" s="3" t="s">
        <v>1823</v>
      </c>
      <c r="D891" s="3" t="s">
        <v>2866</v>
      </c>
      <c r="E891" s="3" t="s">
        <v>3865</v>
      </c>
      <c r="F891" s="3">
        <v>316</v>
      </c>
      <c r="G891" s="4">
        <v>40878.489583333336</v>
      </c>
      <c r="H891" s="3">
        <v>4</v>
      </c>
      <c r="I891" s="5">
        <v>16</v>
      </c>
      <c r="J891" t="s">
        <v>302</v>
      </c>
      <c r="K891" t="s">
        <v>4497</v>
      </c>
      <c r="L891">
        <v>536488</v>
      </c>
      <c r="M891" s="2">
        <v>20878</v>
      </c>
      <c r="N891">
        <v>1.25</v>
      </c>
      <c r="O891" s="6">
        <v>2</v>
      </c>
      <c r="P891" s="3">
        <v>0.1</v>
      </c>
      <c r="Q891" t="s">
        <v>3</v>
      </c>
      <c r="R891" s="7">
        <f t="shared" si="39"/>
        <v>2.5</v>
      </c>
      <c r="S891" s="7">
        <f t="shared" si="40"/>
        <v>0.25</v>
      </c>
      <c r="T891">
        <f>Table1[[#This Row],[Total price]]-Table1[[#This Row],[Discount Amount]]</f>
        <v>2.25</v>
      </c>
      <c r="U891">
        <f t="shared" si="41"/>
        <v>4.5</v>
      </c>
    </row>
    <row r="892" spans="1:21">
      <c r="A892">
        <v>891</v>
      </c>
      <c r="B892" s="3" t="s">
        <v>1822</v>
      </c>
      <c r="C892" s="3" t="s">
        <v>1821</v>
      </c>
      <c r="D892" s="3" t="s">
        <v>2866</v>
      </c>
      <c r="E892" s="3" t="s">
        <v>3866</v>
      </c>
      <c r="F892" s="3">
        <v>316</v>
      </c>
      <c r="G892" s="4">
        <v>40878.489583333336</v>
      </c>
      <c r="H892" s="3">
        <v>4</v>
      </c>
      <c r="I892" s="5">
        <v>20</v>
      </c>
      <c r="J892" t="s">
        <v>56</v>
      </c>
      <c r="K892" t="s">
        <v>4497</v>
      </c>
      <c r="L892">
        <v>536488</v>
      </c>
      <c r="M892" s="2">
        <v>84347</v>
      </c>
      <c r="N892">
        <v>2.5499999999999998</v>
      </c>
      <c r="O892" s="6">
        <v>1</v>
      </c>
      <c r="P892" s="3">
        <v>0.1</v>
      </c>
      <c r="Q892" t="s">
        <v>3</v>
      </c>
      <c r="R892" s="7">
        <f t="shared" si="39"/>
        <v>2.5499999999999998</v>
      </c>
      <c r="S892" s="7">
        <f t="shared" si="40"/>
        <v>0.255</v>
      </c>
      <c r="T892">
        <f>Table1[[#This Row],[Total price]]-Table1[[#This Row],[Discount Amount]]</f>
        <v>2.2949999999999999</v>
      </c>
      <c r="U892">
        <f t="shared" si="41"/>
        <v>2.2949999999999999</v>
      </c>
    </row>
    <row r="893" spans="1:21">
      <c r="A893">
        <v>892</v>
      </c>
      <c r="B893" s="3" t="s">
        <v>1820</v>
      </c>
      <c r="C893" s="3" t="s">
        <v>967</v>
      </c>
      <c r="D893" s="3" t="s">
        <v>2866</v>
      </c>
      <c r="E893" s="3" t="s">
        <v>3867</v>
      </c>
      <c r="F893" s="3">
        <v>316</v>
      </c>
      <c r="G893" s="4">
        <v>40878.489583333336</v>
      </c>
      <c r="H893" s="3">
        <v>4</v>
      </c>
      <c r="I893" s="5">
        <v>19</v>
      </c>
      <c r="J893" t="s">
        <v>56</v>
      </c>
      <c r="K893" t="s">
        <v>4497</v>
      </c>
      <c r="L893">
        <v>536488</v>
      </c>
      <c r="M893" s="2">
        <v>84347</v>
      </c>
      <c r="N893">
        <v>2.5499999999999998</v>
      </c>
      <c r="O893" s="6">
        <v>1</v>
      </c>
      <c r="P893" s="3">
        <v>0.2</v>
      </c>
      <c r="Q893" t="s">
        <v>3</v>
      </c>
      <c r="R893" s="7">
        <f t="shared" si="39"/>
        <v>2.5499999999999998</v>
      </c>
      <c r="S893" s="7">
        <f t="shared" si="40"/>
        <v>0.51</v>
      </c>
      <c r="T893">
        <f>Table1[[#This Row],[Total price]]-Table1[[#This Row],[Discount Amount]]</f>
        <v>2.04</v>
      </c>
      <c r="U893">
        <f t="shared" si="41"/>
        <v>2.04</v>
      </c>
    </row>
    <row r="894" spans="1:21">
      <c r="A894">
        <v>893</v>
      </c>
      <c r="B894" s="3" t="s">
        <v>1819</v>
      </c>
      <c r="C894" s="3" t="s">
        <v>1818</v>
      </c>
      <c r="D894" s="3" t="s">
        <v>2866</v>
      </c>
      <c r="E894" s="3" t="s">
        <v>3868</v>
      </c>
      <c r="F894" s="3">
        <v>316</v>
      </c>
      <c r="G894" s="4">
        <v>40878.489583333336</v>
      </c>
      <c r="H894" s="3">
        <v>4</v>
      </c>
      <c r="I894" s="5">
        <v>17</v>
      </c>
      <c r="J894" t="s">
        <v>648</v>
      </c>
      <c r="K894" t="s">
        <v>4497</v>
      </c>
      <c r="L894">
        <v>536488</v>
      </c>
      <c r="M894" s="2">
        <v>21577</v>
      </c>
      <c r="N894">
        <v>2.25</v>
      </c>
      <c r="O894" s="6">
        <v>1</v>
      </c>
      <c r="P894" s="3">
        <v>0.05</v>
      </c>
      <c r="Q894" t="s">
        <v>3</v>
      </c>
      <c r="R894" s="7">
        <f t="shared" si="39"/>
        <v>2.25</v>
      </c>
      <c r="S894" s="7">
        <f t="shared" si="40"/>
        <v>0.1125</v>
      </c>
      <c r="T894">
        <f>Table1[[#This Row],[Total price]]-Table1[[#This Row],[Discount Amount]]</f>
        <v>2.1375000000000002</v>
      </c>
      <c r="U894">
        <f t="shared" si="41"/>
        <v>2.1375000000000002</v>
      </c>
    </row>
    <row r="895" spans="1:21">
      <c r="A895">
        <v>894</v>
      </c>
      <c r="B895" s="3" t="s">
        <v>1274</v>
      </c>
      <c r="C895" s="3" t="s">
        <v>1817</v>
      </c>
      <c r="D895" s="3" t="s">
        <v>2866</v>
      </c>
      <c r="E895" s="3" t="s">
        <v>3869</v>
      </c>
      <c r="F895" s="3">
        <v>317</v>
      </c>
      <c r="G895" s="4">
        <v>40878.489583333336</v>
      </c>
      <c r="H895" s="3">
        <v>4</v>
      </c>
      <c r="I895" s="5">
        <v>10</v>
      </c>
      <c r="J895" t="s">
        <v>129</v>
      </c>
      <c r="K895" t="s">
        <v>4497</v>
      </c>
      <c r="L895">
        <v>536488</v>
      </c>
      <c r="M895" s="2">
        <v>22909</v>
      </c>
      <c r="N895">
        <v>0.85</v>
      </c>
      <c r="O895" s="6">
        <v>1</v>
      </c>
      <c r="P895" s="3">
        <v>0.2</v>
      </c>
      <c r="Q895" t="s">
        <v>3</v>
      </c>
      <c r="R895" s="7">
        <f t="shared" si="39"/>
        <v>0.85</v>
      </c>
      <c r="S895" s="7">
        <f t="shared" si="40"/>
        <v>0.17</v>
      </c>
      <c r="T895">
        <f>Table1[[#This Row],[Total price]]-Table1[[#This Row],[Discount Amount]]</f>
        <v>0.67999999999999994</v>
      </c>
      <c r="U895">
        <f t="shared" si="41"/>
        <v>0.67999999999999994</v>
      </c>
    </row>
    <row r="896" spans="1:21">
      <c r="A896">
        <v>895</v>
      </c>
      <c r="B896" s="3" t="s">
        <v>1816</v>
      </c>
      <c r="C896" s="3" t="s">
        <v>1788</v>
      </c>
      <c r="D896" s="3" t="s">
        <v>2866</v>
      </c>
      <c r="E896" s="3" t="s">
        <v>3870</v>
      </c>
      <c r="F896" s="3">
        <v>317</v>
      </c>
      <c r="G896" s="4">
        <v>40878.489583333336</v>
      </c>
      <c r="H896" s="3">
        <v>4</v>
      </c>
      <c r="I896" s="5">
        <v>22</v>
      </c>
      <c r="J896" t="s">
        <v>762</v>
      </c>
      <c r="K896" t="s">
        <v>4497</v>
      </c>
      <c r="L896">
        <v>536488</v>
      </c>
      <c r="M896" s="2">
        <v>22087</v>
      </c>
      <c r="N896">
        <v>2.95</v>
      </c>
      <c r="O896" s="6">
        <v>1</v>
      </c>
      <c r="P896" s="3">
        <v>0.05</v>
      </c>
      <c r="Q896" t="s">
        <v>3</v>
      </c>
      <c r="R896" s="7">
        <f t="shared" si="39"/>
        <v>2.95</v>
      </c>
      <c r="S896" s="7">
        <f t="shared" si="40"/>
        <v>0.14750000000000002</v>
      </c>
      <c r="T896">
        <f>Table1[[#This Row],[Total price]]-Table1[[#This Row],[Discount Amount]]</f>
        <v>2.8025000000000002</v>
      </c>
      <c r="U896">
        <f t="shared" si="41"/>
        <v>2.8025000000000002</v>
      </c>
    </row>
    <row r="897" spans="1:21">
      <c r="A897">
        <v>896</v>
      </c>
      <c r="B897" s="3" t="s">
        <v>1815</v>
      </c>
      <c r="C897" s="3" t="s">
        <v>1223</v>
      </c>
      <c r="D897" s="3" t="s">
        <v>3871</v>
      </c>
      <c r="E897" s="3" t="s">
        <v>3872</v>
      </c>
      <c r="F897" s="3">
        <v>317</v>
      </c>
      <c r="G897" s="4">
        <v>40878.489583333336</v>
      </c>
      <c r="H897" s="3">
        <v>4</v>
      </c>
      <c r="I897" s="5">
        <v>15</v>
      </c>
      <c r="J897" t="s">
        <v>408</v>
      </c>
      <c r="K897" t="s">
        <v>4497</v>
      </c>
      <c r="L897">
        <v>536488</v>
      </c>
      <c r="M897" s="2">
        <v>22651</v>
      </c>
      <c r="N897">
        <v>0.85</v>
      </c>
      <c r="O897" s="6">
        <v>2</v>
      </c>
      <c r="P897" s="3">
        <v>0.05</v>
      </c>
      <c r="Q897" t="s">
        <v>3</v>
      </c>
      <c r="R897" s="7">
        <f t="shared" si="39"/>
        <v>1.7</v>
      </c>
      <c r="S897" s="7">
        <f t="shared" si="40"/>
        <v>8.5000000000000006E-2</v>
      </c>
      <c r="T897">
        <f>Table1[[#This Row],[Total price]]-Table1[[#This Row],[Discount Amount]]</f>
        <v>1.615</v>
      </c>
      <c r="U897">
        <f t="shared" si="41"/>
        <v>3.23</v>
      </c>
    </row>
    <row r="898" spans="1:21">
      <c r="A898">
        <v>897</v>
      </c>
      <c r="B898" s="3" t="s">
        <v>1814</v>
      </c>
      <c r="C898" s="3" t="s">
        <v>1813</v>
      </c>
      <c r="D898" s="3" t="s">
        <v>3873</v>
      </c>
      <c r="E898" s="3" t="s">
        <v>3874</v>
      </c>
      <c r="F898" s="3">
        <v>317</v>
      </c>
      <c r="G898" s="4">
        <v>40878.489583333336</v>
      </c>
      <c r="H898" s="3">
        <v>4</v>
      </c>
      <c r="I898" s="5">
        <v>13</v>
      </c>
      <c r="J898" t="s">
        <v>769</v>
      </c>
      <c r="K898" t="s">
        <v>4497</v>
      </c>
      <c r="L898">
        <v>536488</v>
      </c>
      <c r="M898" s="2">
        <v>22713</v>
      </c>
      <c r="N898">
        <v>0.42</v>
      </c>
      <c r="O898" s="6">
        <v>12</v>
      </c>
      <c r="P898" s="3">
        <v>0.2</v>
      </c>
      <c r="Q898" t="s">
        <v>3</v>
      </c>
      <c r="R898" s="7">
        <f t="shared" si="39"/>
        <v>5.04</v>
      </c>
      <c r="S898" s="7">
        <f t="shared" si="40"/>
        <v>1.008</v>
      </c>
      <c r="T898">
        <f>Table1[[#This Row],[Total price]]-Table1[[#This Row],[Discount Amount]]</f>
        <v>4.032</v>
      </c>
      <c r="U898">
        <f t="shared" si="41"/>
        <v>48.384</v>
      </c>
    </row>
    <row r="899" spans="1:21">
      <c r="A899">
        <v>898</v>
      </c>
      <c r="B899" s="3" t="s">
        <v>1812</v>
      </c>
      <c r="C899" s="3" t="s">
        <v>1282</v>
      </c>
      <c r="D899" s="3" t="s">
        <v>3875</v>
      </c>
      <c r="E899" s="3" t="s">
        <v>3876</v>
      </c>
      <c r="F899" s="3">
        <v>318</v>
      </c>
      <c r="G899" s="4">
        <v>40878.489583333336</v>
      </c>
      <c r="H899" s="3">
        <v>4</v>
      </c>
      <c r="I899" s="5">
        <v>13</v>
      </c>
      <c r="J899" t="s">
        <v>63</v>
      </c>
      <c r="K899" t="s">
        <v>4497</v>
      </c>
      <c r="L899">
        <v>536488</v>
      </c>
      <c r="M899" s="2">
        <v>22910</v>
      </c>
      <c r="N899">
        <v>2.95</v>
      </c>
      <c r="O899" s="6">
        <v>1</v>
      </c>
      <c r="P899" s="3">
        <v>0.1</v>
      </c>
      <c r="Q899" t="s">
        <v>3</v>
      </c>
      <c r="R899" s="7">
        <f t="shared" ref="R899:R962" si="42">N899*O899</f>
        <v>2.95</v>
      </c>
      <c r="S899" s="7">
        <f t="shared" ref="S899:S962" si="43">R899*P899</f>
        <v>0.29500000000000004</v>
      </c>
      <c r="T899">
        <f>Table1[[#This Row],[Total price]]-Table1[[#This Row],[Discount Amount]]</f>
        <v>2.6550000000000002</v>
      </c>
      <c r="U899">
        <f t="shared" ref="U899:U962" si="44">T899*O899</f>
        <v>2.6550000000000002</v>
      </c>
    </row>
    <row r="900" spans="1:21">
      <c r="A900">
        <v>899</v>
      </c>
      <c r="B900" s="3" t="s">
        <v>1811</v>
      </c>
      <c r="C900" s="3" t="s">
        <v>1810</v>
      </c>
      <c r="D900" s="3" t="s">
        <v>2866</v>
      </c>
      <c r="E900" s="3" t="s">
        <v>3877</v>
      </c>
      <c r="F900" s="3">
        <v>318</v>
      </c>
      <c r="G900" s="4">
        <v>40878.489583333336</v>
      </c>
      <c r="H900" s="3">
        <v>4</v>
      </c>
      <c r="I900" s="5">
        <v>25</v>
      </c>
      <c r="J900" t="s">
        <v>818</v>
      </c>
      <c r="K900" t="s">
        <v>4497</v>
      </c>
      <c r="L900">
        <v>536488</v>
      </c>
      <c r="M900" s="2">
        <v>21370</v>
      </c>
      <c r="N900">
        <v>6.35</v>
      </c>
      <c r="O900" s="6">
        <v>2</v>
      </c>
      <c r="P900" s="3">
        <v>0.2</v>
      </c>
      <c r="Q900" t="s">
        <v>3</v>
      </c>
      <c r="R900" s="7">
        <f t="shared" si="42"/>
        <v>12.7</v>
      </c>
      <c r="S900" s="7">
        <f t="shared" si="43"/>
        <v>2.54</v>
      </c>
      <c r="T900">
        <f>Table1[[#This Row],[Total price]]-Table1[[#This Row],[Discount Amount]]</f>
        <v>10.16</v>
      </c>
      <c r="U900">
        <f t="shared" si="44"/>
        <v>20.32</v>
      </c>
    </row>
    <row r="901" spans="1:21">
      <c r="A901">
        <v>900</v>
      </c>
      <c r="B901" s="3" t="s">
        <v>1809</v>
      </c>
      <c r="C901" s="3" t="s">
        <v>1175</v>
      </c>
      <c r="D901" s="3" t="s">
        <v>2866</v>
      </c>
      <c r="E901" s="3" t="s">
        <v>3878</v>
      </c>
      <c r="F901" s="3">
        <v>318</v>
      </c>
      <c r="G901" s="4">
        <v>40878.489583333336</v>
      </c>
      <c r="H901" s="3">
        <v>4</v>
      </c>
      <c r="I901" s="5">
        <v>9</v>
      </c>
      <c r="J901" t="s">
        <v>783</v>
      </c>
      <c r="K901" t="s">
        <v>4497</v>
      </c>
      <c r="L901">
        <v>536488</v>
      </c>
      <c r="M901" s="2">
        <v>21367</v>
      </c>
      <c r="N901">
        <v>2.5499999999999998</v>
      </c>
      <c r="O901" s="6">
        <v>1</v>
      </c>
      <c r="P901" s="3">
        <v>0.05</v>
      </c>
      <c r="Q901" t="s">
        <v>3</v>
      </c>
      <c r="R901" s="7">
        <f t="shared" si="42"/>
        <v>2.5499999999999998</v>
      </c>
      <c r="S901" s="7">
        <f t="shared" si="43"/>
        <v>0.1275</v>
      </c>
      <c r="T901">
        <f>Table1[[#This Row],[Total price]]-Table1[[#This Row],[Discount Amount]]</f>
        <v>2.4224999999999999</v>
      </c>
      <c r="U901">
        <f t="shared" si="44"/>
        <v>2.4224999999999999</v>
      </c>
    </row>
    <row r="902" spans="1:21">
      <c r="A902">
        <v>901</v>
      </c>
      <c r="B902" s="3" t="s">
        <v>1808</v>
      </c>
      <c r="C902" s="3" t="s">
        <v>1807</v>
      </c>
      <c r="D902" s="3" t="s">
        <v>2866</v>
      </c>
      <c r="E902" s="3" t="s">
        <v>3879</v>
      </c>
      <c r="F902" s="3">
        <v>319</v>
      </c>
      <c r="G902" s="4">
        <v>40878.489583333336</v>
      </c>
      <c r="H902" s="3">
        <v>4</v>
      </c>
      <c r="I902" s="5">
        <v>11</v>
      </c>
      <c r="J902" t="s">
        <v>357</v>
      </c>
      <c r="K902" t="s">
        <v>4497</v>
      </c>
      <c r="L902">
        <v>536488</v>
      </c>
      <c r="M902" s="2">
        <v>22376</v>
      </c>
      <c r="N902">
        <v>4.25</v>
      </c>
      <c r="O902" s="6">
        <v>1</v>
      </c>
      <c r="P902" s="3">
        <v>7.0000000000000007E-2</v>
      </c>
      <c r="Q902" t="s">
        <v>3</v>
      </c>
      <c r="R902" s="7">
        <f t="shared" si="42"/>
        <v>4.25</v>
      </c>
      <c r="S902" s="7">
        <f t="shared" si="43"/>
        <v>0.29750000000000004</v>
      </c>
      <c r="T902">
        <f>Table1[[#This Row],[Total price]]-Table1[[#This Row],[Discount Amount]]</f>
        <v>3.9525000000000001</v>
      </c>
      <c r="U902">
        <f t="shared" si="44"/>
        <v>3.9525000000000001</v>
      </c>
    </row>
    <row r="903" spans="1:21">
      <c r="A903">
        <v>902</v>
      </c>
      <c r="B903" s="3" t="s">
        <v>1806</v>
      </c>
      <c r="C903" s="3" t="s">
        <v>1805</v>
      </c>
      <c r="D903" s="3" t="s">
        <v>2866</v>
      </c>
      <c r="E903" s="3" t="s">
        <v>3880</v>
      </c>
      <c r="F903" s="3">
        <v>319</v>
      </c>
      <c r="G903" s="4">
        <v>40878.489583333336</v>
      </c>
      <c r="H903" s="3">
        <v>4</v>
      </c>
      <c r="I903" s="5">
        <v>21</v>
      </c>
      <c r="J903" t="s">
        <v>876</v>
      </c>
      <c r="K903" t="s">
        <v>4497</v>
      </c>
      <c r="L903">
        <v>536488</v>
      </c>
      <c r="M903" s="2">
        <v>22961</v>
      </c>
      <c r="N903">
        <v>1.45</v>
      </c>
      <c r="O903" s="6">
        <v>1</v>
      </c>
      <c r="P903" s="3">
        <v>0.2</v>
      </c>
      <c r="Q903" t="s">
        <v>3</v>
      </c>
      <c r="R903" s="7">
        <f t="shared" si="42"/>
        <v>1.45</v>
      </c>
      <c r="S903" s="7">
        <f t="shared" si="43"/>
        <v>0.28999999999999998</v>
      </c>
      <c r="T903">
        <f>Table1[[#This Row],[Total price]]-Table1[[#This Row],[Discount Amount]]</f>
        <v>1.1599999999999999</v>
      </c>
      <c r="U903">
        <f t="shared" si="44"/>
        <v>1.1599999999999999</v>
      </c>
    </row>
    <row r="904" spans="1:21">
      <c r="A904">
        <v>903</v>
      </c>
      <c r="B904" s="3" t="s">
        <v>1804</v>
      </c>
      <c r="C904" s="3" t="s">
        <v>1745</v>
      </c>
      <c r="D904" s="3" t="s">
        <v>2866</v>
      </c>
      <c r="E904" s="3" t="s">
        <v>3881</v>
      </c>
      <c r="F904" s="3">
        <v>319</v>
      </c>
      <c r="G904" s="4">
        <v>40878.489583333336</v>
      </c>
      <c r="H904" s="3">
        <v>4</v>
      </c>
      <c r="I904" s="5">
        <v>15</v>
      </c>
      <c r="J904" t="s">
        <v>483</v>
      </c>
      <c r="K904" t="s">
        <v>4497</v>
      </c>
      <c r="L904">
        <v>536488</v>
      </c>
      <c r="M904" s="2">
        <v>21895</v>
      </c>
      <c r="N904">
        <v>4.25</v>
      </c>
      <c r="O904" s="6">
        <v>1</v>
      </c>
      <c r="P904" s="3">
        <v>0.1</v>
      </c>
      <c r="Q904" t="s">
        <v>3</v>
      </c>
      <c r="R904" s="7">
        <f t="shared" si="42"/>
        <v>4.25</v>
      </c>
      <c r="S904" s="7">
        <f t="shared" si="43"/>
        <v>0.42500000000000004</v>
      </c>
      <c r="T904">
        <f>Table1[[#This Row],[Total price]]-Table1[[#This Row],[Discount Amount]]</f>
        <v>3.8250000000000002</v>
      </c>
      <c r="U904">
        <f t="shared" si="44"/>
        <v>3.8250000000000002</v>
      </c>
    </row>
    <row r="905" spans="1:21">
      <c r="A905">
        <v>904</v>
      </c>
      <c r="B905" s="3" t="s">
        <v>1803</v>
      </c>
      <c r="C905" s="3" t="s">
        <v>1802</v>
      </c>
      <c r="D905" s="3" t="s">
        <v>3882</v>
      </c>
      <c r="E905" s="3" t="s">
        <v>3883</v>
      </c>
      <c r="F905" s="3">
        <v>319</v>
      </c>
      <c r="G905" s="4">
        <v>40878.489583333336</v>
      </c>
      <c r="H905" s="3">
        <v>4</v>
      </c>
      <c r="I905" s="5">
        <v>23</v>
      </c>
      <c r="J905" t="s">
        <v>556</v>
      </c>
      <c r="K905" t="s">
        <v>4497</v>
      </c>
      <c r="L905">
        <v>536488</v>
      </c>
      <c r="M905" s="2">
        <v>22468</v>
      </c>
      <c r="N905">
        <v>6.75</v>
      </c>
      <c r="O905" s="6">
        <v>1</v>
      </c>
      <c r="P905" s="3">
        <v>0.05</v>
      </c>
      <c r="Q905" t="s">
        <v>3</v>
      </c>
      <c r="R905" s="7">
        <f t="shared" si="42"/>
        <v>6.75</v>
      </c>
      <c r="S905" s="7">
        <f t="shared" si="43"/>
        <v>0.33750000000000002</v>
      </c>
      <c r="T905">
        <f>Table1[[#This Row],[Total price]]-Table1[[#This Row],[Discount Amount]]</f>
        <v>6.4124999999999996</v>
      </c>
      <c r="U905">
        <f t="shared" si="44"/>
        <v>6.4124999999999996</v>
      </c>
    </row>
    <row r="906" spans="1:21">
      <c r="A906">
        <v>905</v>
      </c>
      <c r="B906" s="3" t="s">
        <v>1801</v>
      </c>
      <c r="C906" s="3" t="s">
        <v>1800</v>
      </c>
      <c r="D906" s="3" t="s">
        <v>2866</v>
      </c>
      <c r="E906" s="3" t="s">
        <v>3884</v>
      </c>
      <c r="F906" s="3">
        <v>320</v>
      </c>
      <c r="G906" s="4">
        <v>40878.489583333336</v>
      </c>
      <c r="H906" s="3">
        <v>4</v>
      </c>
      <c r="I906" s="5">
        <v>2</v>
      </c>
      <c r="J906" t="s">
        <v>148</v>
      </c>
      <c r="K906" t="s">
        <v>4497</v>
      </c>
      <c r="L906">
        <v>536488</v>
      </c>
      <c r="M906" s="2">
        <v>21034</v>
      </c>
      <c r="N906">
        <v>0.95</v>
      </c>
      <c r="O906" s="6">
        <v>1</v>
      </c>
      <c r="P906" s="3">
        <v>0.1</v>
      </c>
      <c r="Q906" t="s">
        <v>3</v>
      </c>
      <c r="R906" s="7">
        <f t="shared" si="42"/>
        <v>0.95</v>
      </c>
      <c r="S906" s="7">
        <f t="shared" si="43"/>
        <v>9.5000000000000001E-2</v>
      </c>
      <c r="T906">
        <f>Table1[[#This Row],[Total price]]-Table1[[#This Row],[Discount Amount]]</f>
        <v>0.85499999999999998</v>
      </c>
      <c r="U906">
        <f t="shared" si="44"/>
        <v>0.85499999999999998</v>
      </c>
    </row>
    <row r="907" spans="1:21">
      <c r="A907">
        <v>906</v>
      </c>
      <c r="B907" s="3" t="s">
        <v>1799</v>
      </c>
      <c r="C907" s="3" t="s">
        <v>1798</v>
      </c>
      <c r="D907" s="3" t="s">
        <v>2866</v>
      </c>
      <c r="E907" s="3" t="s">
        <v>3885</v>
      </c>
      <c r="F907" s="3">
        <v>321</v>
      </c>
      <c r="G907" s="4">
        <v>40878.489583333336</v>
      </c>
      <c r="H907" s="3">
        <v>4</v>
      </c>
      <c r="I907" s="5">
        <v>4</v>
      </c>
      <c r="J907" t="s">
        <v>644</v>
      </c>
      <c r="K907" t="s">
        <v>4497</v>
      </c>
      <c r="L907">
        <v>536488</v>
      </c>
      <c r="M907" s="2">
        <v>22372</v>
      </c>
      <c r="N907">
        <v>4.25</v>
      </c>
      <c r="O907" s="6">
        <v>1</v>
      </c>
      <c r="P907" s="3">
        <v>0.2</v>
      </c>
      <c r="Q907" t="s">
        <v>3</v>
      </c>
      <c r="R907" s="7">
        <f t="shared" si="42"/>
        <v>4.25</v>
      </c>
      <c r="S907" s="7">
        <f t="shared" si="43"/>
        <v>0.85000000000000009</v>
      </c>
      <c r="T907">
        <f>Table1[[#This Row],[Total price]]-Table1[[#This Row],[Discount Amount]]</f>
        <v>3.4</v>
      </c>
      <c r="U907">
        <f t="shared" si="44"/>
        <v>3.4</v>
      </c>
    </row>
    <row r="908" spans="1:21">
      <c r="A908">
        <v>907</v>
      </c>
      <c r="B908" s="3" t="s">
        <v>1797</v>
      </c>
      <c r="C908" s="3" t="s">
        <v>1796</v>
      </c>
      <c r="D908" s="3" t="s">
        <v>2866</v>
      </c>
      <c r="E908" s="3" t="s">
        <v>3886</v>
      </c>
      <c r="F908" s="3">
        <v>321</v>
      </c>
      <c r="G908" s="4">
        <v>40878.489583333336</v>
      </c>
      <c r="H908" s="3">
        <v>4</v>
      </c>
      <c r="I908" s="5">
        <v>12</v>
      </c>
      <c r="J908" t="s">
        <v>237</v>
      </c>
      <c r="K908" t="s">
        <v>4497</v>
      </c>
      <c r="L908">
        <v>536488</v>
      </c>
      <c r="M908" s="2">
        <v>22867</v>
      </c>
      <c r="N908">
        <v>2.1</v>
      </c>
      <c r="O908" s="6">
        <v>1</v>
      </c>
      <c r="P908" s="3">
        <v>0.2</v>
      </c>
      <c r="Q908" t="s">
        <v>3</v>
      </c>
      <c r="R908" s="7">
        <f t="shared" si="42"/>
        <v>2.1</v>
      </c>
      <c r="S908" s="7">
        <f t="shared" si="43"/>
        <v>0.42000000000000004</v>
      </c>
      <c r="T908">
        <f>Table1[[#This Row],[Total price]]-Table1[[#This Row],[Discount Amount]]</f>
        <v>1.6800000000000002</v>
      </c>
      <c r="U908">
        <f t="shared" si="44"/>
        <v>1.6800000000000002</v>
      </c>
    </row>
    <row r="909" spans="1:21">
      <c r="A909">
        <v>908</v>
      </c>
      <c r="B909" s="3" t="s">
        <v>1795</v>
      </c>
      <c r="C909" s="3" t="s">
        <v>1794</v>
      </c>
      <c r="D909" s="3" t="s">
        <v>2866</v>
      </c>
      <c r="E909" s="3" t="s">
        <v>3887</v>
      </c>
      <c r="F909" s="3">
        <v>321</v>
      </c>
      <c r="G909" s="4">
        <v>40878.489583333336</v>
      </c>
      <c r="H909" s="3">
        <v>4</v>
      </c>
      <c r="I909" s="5">
        <v>26</v>
      </c>
      <c r="J909" t="s">
        <v>851</v>
      </c>
      <c r="K909" t="s">
        <v>4497</v>
      </c>
      <c r="L909">
        <v>536488</v>
      </c>
      <c r="M909" s="2">
        <v>22144</v>
      </c>
      <c r="N909">
        <v>2.1</v>
      </c>
      <c r="O909" s="6">
        <v>1</v>
      </c>
      <c r="P909" s="3">
        <v>0.2</v>
      </c>
      <c r="Q909" t="s">
        <v>3</v>
      </c>
      <c r="R909" s="7">
        <f t="shared" si="42"/>
        <v>2.1</v>
      </c>
      <c r="S909" s="7">
        <f t="shared" si="43"/>
        <v>0.42000000000000004</v>
      </c>
      <c r="T909">
        <f>Table1[[#This Row],[Total price]]-Table1[[#This Row],[Discount Amount]]</f>
        <v>1.6800000000000002</v>
      </c>
      <c r="U909">
        <f t="shared" si="44"/>
        <v>1.6800000000000002</v>
      </c>
    </row>
    <row r="910" spans="1:21">
      <c r="A910">
        <v>909</v>
      </c>
      <c r="B910" s="3" t="s">
        <v>1793</v>
      </c>
      <c r="C910" s="3" t="s">
        <v>1029</v>
      </c>
      <c r="D910" s="3" t="s">
        <v>2866</v>
      </c>
      <c r="E910" s="3" t="s">
        <v>3888</v>
      </c>
      <c r="F910" s="3">
        <v>321</v>
      </c>
      <c r="G910" s="4">
        <v>40878.489583333336</v>
      </c>
      <c r="H910" s="3">
        <v>4</v>
      </c>
      <c r="I910" s="5">
        <v>23</v>
      </c>
      <c r="J910" t="s">
        <v>803</v>
      </c>
      <c r="K910" t="s">
        <v>4497</v>
      </c>
      <c r="L910">
        <v>536488</v>
      </c>
      <c r="M910" s="2">
        <v>21190</v>
      </c>
      <c r="N910">
        <v>1.65</v>
      </c>
      <c r="O910" s="6">
        <v>1</v>
      </c>
      <c r="P910" s="3">
        <v>0.2</v>
      </c>
      <c r="Q910" t="s">
        <v>3</v>
      </c>
      <c r="R910" s="7">
        <f t="shared" si="42"/>
        <v>1.65</v>
      </c>
      <c r="S910" s="7">
        <f t="shared" si="43"/>
        <v>0.33</v>
      </c>
      <c r="T910">
        <f>Table1[[#This Row],[Total price]]-Table1[[#This Row],[Discount Amount]]</f>
        <v>1.3199999999999998</v>
      </c>
      <c r="U910">
        <f t="shared" si="44"/>
        <v>1.3199999999999998</v>
      </c>
    </row>
    <row r="911" spans="1:21">
      <c r="A911">
        <v>910</v>
      </c>
      <c r="B911" s="3" t="s">
        <v>1792</v>
      </c>
      <c r="C911" s="3" t="s">
        <v>1791</v>
      </c>
      <c r="D911" s="3" t="s">
        <v>2866</v>
      </c>
      <c r="E911" s="3" t="s">
        <v>3889</v>
      </c>
      <c r="F911" s="3">
        <v>322</v>
      </c>
      <c r="G911" s="4">
        <v>40878.489583333336</v>
      </c>
      <c r="H911" s="3">
        <v>4</v>
      </c>
      <c r="I911" s="5">
        <v>13</v>
      </c>
      <c r="J911" t="s">
        <v>499</v>
      </c>
      <c r="K911" t="s">
        <v>4497</v>
      </c>
      <c r="L911">
        <v>536488</v>
      </c>
      <c r="M911" s="2">
        <v>21894</v>
      </c>
      <c r="N911">
        <v>1.25</v>
      </c>
      <c r="O911" s="6">
        <v>3</v>
      </c>
      <c r="P911" s="3">
        <v>0.2</v>
      </c>
      <c r="Q911" t="s">
        <v>3</v>
      </c>
      <c r="R911" s="7">
        <f t="shared" si="42"/>
        <v>3.75</v>
      </c>
      <c r="S911" s="7">
        <f t="shared" si="43"/>
        <v>0.75</v>
      </c>
      <c r="T911">
        <f>Table1[[#This Row],[Total price]]-Table1[[#This Row],[Discount Amount]]</f>
        <v>3</v>
      </c>
      <c r="U911">
        <f t="shared" si="44"/>
        <v>9</v>
      </c>
    </row>
    <row r="912" spans="1:21">
      <c r="A912">
        <v>911</v>
      </c>
      <c r="B912" s="3" t="s">
        <v>1790</v>
      </c>
      <c r="C912" s="3" t="s">
        <v>1220</v>
      </c>
      <c r="D912" s="3" t="s">
        <v>2866</v>
      </c>
      <c r="E912" s="3" t="s">
        <v>3890</v>
      </c>
      <c r="F912" s="3">
        <v>322</v>
      </c>
      <c r="G912" s="4">
        <v>40878.489583333336</v>
      </c>
      <c r="H912" s="3">
        <v>4</v>
      </c>
      <c r="I912" s="5">
        <v>21</v>
      </c>
      <c r="J912" t="s">
        <v>732</v>
      </c>
      <c r="K912" t="s">
        <v>4497</v>
      </c>
      <c r="L912">
        <v>536488</v>
      </c>
      <c r="M912" s="2">
        <v>70007</v>
      </c>
      <c r="N912">
        <v>1.65</v>
      </c>
      <c r="O912" s="6">
        <v>3</v>
      </c>
      <c r="P912" s="3">
        <v>7.0000000000000007E-2</v>
      </c>
      <c r="Q912" t="s">
        <v>3</v>
      </c>
      <c r="R912" s="7">
        <f t="shared" si="42"/>
        <v>4.9499999999999993</v>
      </c>
      <c r="S912" s="7">
        <f t="shared" si="43"/>
        <v>0.34649999999999997</v>
      </c>
      <c r="T912">
        <f>Table1[[#This Row],[Total price]]-Table1[[#This Row],[Discount Amount]]</f>
        <v>4.6034999999999995</v>
      </c>
      <c r="U912">
        <f t="shared" si="44"/>
        <v>13.810499999999998</v>
      </c>
    </row>
    <row r="913" spans="1:21">
      <c r="A913">
        <v>912</v>
      </c>
      <c r="B913" s="3" t="s">
        <v>1789</v>
      </c>
      <c r="C913" s="3" t="s">
        <v>1788</v>
      </c>
      <c r="D913" s="3" t="s">
        <v>2866</v>
      </c>
      <c r="E913" s="3" t="s">
        <v>3891</v>
      </c>
      <c r="F913" s="3">
        <v>323</v>
      </c>
      <c r="G913" s="4">
        <v>40878.489583333336</v>
      </c>
      <c r="H913" s="3">
        <v>4</v>
      </c>
      <c r="I913" s="5">
        <v>13</v>
      </c>
      <c r="J913" t="s">
        <v>232</v>
      </c>
      <c r="K913" t="s">
        <v>4497</v>
      </c>
      <c r="L913">
        <v>536488</v>
      </c>
      <c r="M913" s="2">
        <v>22940</v>
      </c>
      <c r="N913">
        <v>4.25</v>
      </c>
      <c r="O913" s="6">
        <v>1</v>
      </c>
      <c r="P913" s="3">
        <v>7.0000000000000007E-2</v>
      </c>
      <c r="Q913" t="s">
        <v>3</v>
      </c>
      <c r="R913" s="7">
        <f t="shared" si="42"/>
        <v>4.25</v>
      </c>
      <c r="S913" s="7">
        <f t="shared" si="43"/>
        <v>0.29750000000000004</v>
      </c>
      <c r="T913">
        <f>Table1[[#This Row],[Total price]]-Table1[[#This Row],[Discount Amount]]</f>
        <v>3.9525000000000001</v>
      </c>
      <c r="U913">
        <f t="shared" si="44"/>
        <v>3.9525000000000001</v>
      </c>
    </row>
    <row r="914" spans="1:21">
      <c r="A914">
        <v>913</v>
      </c>
      <c r="B914" s="3" t="s">
        <v>1787</v>
      </c>
      <c r="C914" s="3" t="s">
        <v>1786</v>
      </c>
      <c r="D914" s="3" t="s">
        <v>2866</v>
      </c>
      <c r="E914" s="3" t="s">
        <v>3892</v>
      </c>
      <c r="F914" s="3">
        <v>323</v>
      </c>
      <c r="G914" s="4">
        <v>40878.489583333336</v>
      </c>
      <c r="H914" s="3">
        <v>4</v>
      </c>
      <c r="I914" s="5">
        <v>26</v>
      </c>
      <c r="J914" t="s">
        <v>732</v>
      </c>
      <c r="K914" t="s">
        <v>4497</v>
      </c>
      <c r="L914">
        <v>536488</v>
      </c>
      <c r="M914" s="2">
        <v>70007</v>
      </c>
      <c r="N914">
        <v>1.65</v>
      </c>
      <c r="O914" s="6">
        <v>1</v>
      </c>
      <c r="P914" s="3">
        <v>0.1</v>
      </c>
      <c r="Q914" t="s">
        <v>3</v>
      </c>
      <c r="R914" s="7">
        <f t="shared" si="42"/>
        <v>1.65</v>
      </c>
      <c r="S914" s="7">
        <f t="shared" si="43"/>
        <v>0.16500000000000001</v>
      </c>
      <c r="T914">
        <f>Table1[[#This Row],[Total price]]-Table1[[#This Row],[Discount Amount]]</f>
        <v>1.4849999999999999</v>
      </c>
      <c r="U914">
        <f t="shared" si="44"/>
        <v>1.4849999999999999</v>
      </c>
    </row>
    <row r="915" spans="1:21">
      <c r="A915">
        <v>914</v>
      </c>
      <c r="B915" s="3" t="s">
        <v>1785</v>
      </c>
      <c r="C915" s="3" t="s">
        <v>1476</v>
      </c>
      <c r="D915" s="3" t="s">
        <v>2866</v>
      </c>
      <c r="E915" s="3" t="s">
        <v>3893</v>
      </c>
      <c r="F915" s="3">
        <v>324</v>
      </c>
      <c r="G915" s="4">
        <v>40878.489583333336</v>
      </c>
      <c r="H915" s="3">
        <v>4</v>
      </c>
      <c r="I915" s="5">
        <v>2</v>
      </c>
      <c r="J915" t="s">
        <v>56</v>
      </c>
      <c r="K915" t="s">
        <v>4498</v>
      </c>
      <c r="L915">
        <v>536488</v>
      </c>
      <c r="M915" s="2">
        <v>84347</v>
      </c>
      <c r="N915">
        <v>2.5499999999999998</v>
      </c>
      <c r="O915" s="6">
        <v>3</v>
      </c>
      <c r="P915" s="3">
        <v>0.1</v>
      </c>
      <c r="Q915" t="s">
        <v>3</v>
      </c>
      <c r="R915" s="7">
        <f t="shared" si="42"/>
        <v>7.6499999999999995</v>
      </c>
      <c r="S915" s="7">
        <f t="shared" si="43"/>
        <v>0.76500000000000001</v>
      </c>
      <c r="T915">
        <f>Table1[[#This Row],[Total price]]-Table1[[#This Row],[Discount Amount]]</f>
        <v>6.8849999999999998</v>
      </c>
      <c r="U915">
        <f t="shared" si="44"/>
        <v>20.655000000000001</v>
      </c>
    </row>
    <row r="916" spans="1:21">
      <c r="A916">
        <v>915</v>
      </c>
      <c r="B916" s="3" t="s">
        <v>1784</v>
      </c>
      <c r="C916" s="3" t="s">
        <v>1783</v>
      </c>
      <c r="D916" s="3" t="s">
        <v>3894</v>
      </c>
      <c r="E916" s="3" t="s">
        <v>3895</v>
      </c>
      <c r="F916" s="3">
        <v>324</v>
      </c>
      <c r="G916" s="4">
        <v>40878.489583333336</v>
      </c>
      <c r="H916" s="3">
        <v>4</v>
      </c>
      <c r="I916" s="5">
        <v>17</v>
      </c>
      <c r="J916" t="s">
        <v>447</v>
      </c>
      <c r="K916" t="s">
        <v>4498</v>
      </c>
      <c r="L916">
        <v>536488</v>
      </c>
      <c r="M916" s="2">
        <v>22150</v>
      </c>
      <c r="N916">
        <v>1.95</v>
      </c>
      <c r="O916" s="6">
        <v>1</v>
      </c>
      <c r="P916" s="3">
        <v>0.2</v>
      </c>
      <c r="Q916" t="s">
        <v>3</v>
      </c>
      <c r="R916" s="7">
        <f t="shared" si="42"/>
        <v>1.95</v>
      </c>
      <c r="S916" s="7">
        <f t="shared" si="43"/>
        <v>0.39</v>
      </c>
      <c r="T916">
        <f>Table1[[#This Row],[Total price]]-Table1[[#This Row],[Discount Amount]]</f>
        <v>1.56</v>
      </c>
      <c r="U916">
        <f t="shared" si="44"/>
        <v>1.56</v>
      </c>
    </row>
    <row r="917" spans="1:21">
      <c r="A917">
        <v>916</v>
      </c>
      <c r="B917" s="3" t="s">
        <v>1782</v>
      </c>
      <c r="C917" s="3" t="s">
        <v>1781</v>
      </c>
      <c r="D917" s="3" t="s">
        <v>2866</v>
      </c>
      <c r="E917" s="3" t="s">
        <v>3896</v>
      </c>
      <c r="F917" s="3">
        <v>324</v>
      </c>
      <c r="G917" s="4">
        <v>40878.489583333336</v>
      </c>
      <c r="H917" s="3">
        <v>4</v>
      </c>
      <c r="I917" s="5">
        <v>22</v>
      </c>
      <c r="J917" t="s">
        <v>139</v>
      </c>
      <c r="K917" t="s">
        <v>4498</v>
      </c>
      <c r="L917">
        <v>536488</v>
      </c>
      <c r="M917" s="2">
        <v>22149</v>
      </c>
      <c r="N917">
        <v>2.1</v>
      </c>
      <c r="O917" s="6">
        <v>2</v>
      </c>
      <c r="P917" s="3">
        <v>0.2</v>
      </c>
      <c r="Q917" t="s">
        <v>3</v>
      </c>
      <c r="R917" s="7">
        <f t="shared" si="42"/>
        <v>4.2</v>
      </c>
      <c r="S917" s="7">
        <f t="shared" si="43"/>
        <v>0.84000000000000008</v>
      </c>
      <c r="T917">
        <f>Table1[[#This Row],[Total price]]-Table1[[#This Row],[Discount Amount]]</f>
        <v>3.3600000000000003</v>
      </c>
      <c r="U917">
        <f t="shared" si="44"/>
        <v>6.7200000000000006</v>
      </c>
    </row>
    <row r="918" spans="1:21">
      <c r="A918">
        <v>917</v>
      </c>
      <c r="B918" s="3" t="s">
        <v>1780</v>
      </c>
      <c r="C918" s="3" t="s">
        <v>1543</v>
      </c>
      <c r="D918" s="3" t="s">
        <v>3897</v>
      </c>
      <c r="E918" s="3" t="s">
        <v>3898</v>
      </c>
      <c r="F918" s="3">
        <v>324</v>
      </c>
      <c r="G918" s="4">
        <v>40878.489583333336</v>
      </c>
      <c r="H918" s="3">
        <v>4</v>
      </c>
      <c r="I918" s="5">
        <v>19</v>
      </c>
      <c r="J918" t="s">
        <v>851</v>
      </c>
      <c r="K918" t="s">
        <v>4498</v>
      </c>
      <c r="L918">
        <v>536488</v>
      </c>
      <c r="M918" s="2">
        <v>22144</v>
      </c>
      <c r="N918">
        <v>2.1</v>
      </c>
      <c r="O918" s="6">
        <v>2</v>
      </c>
      <c r="P918" s="3">
        <v>0.05</v>
      </c>
      <c r="Q918" t="s">
        <v>3</v>
      </c>
      <c r="R918" s="7">
        <f t="shared" si="42"/>
        <v>4.2</v>
      </c>
      <c r="S918" s="7">
        <f t="shared" si="43"/>
        <v>0.21000000000000002</v>
      </c>
      <c r="T918">
        <f>Table1[[#This Row],[Total price]]-Table1[[#This Row],[Discount Amount]]</f>
        <v>3.99</v>
      </c>
      <c r="U918">
        <f t="shared" si="44"/>
        <v>7.98</v>
      </c>
    </row>
    <row r="919" spans="1:21">
      <c r="A919">
        <v>918</v>
      </c>
      <c r="B919" s="3" t="s">
        <v>1779</v>
      </c>
      <c r="C919" s="3" t="s">
        <v>1778</v>
      </c>
      <c r="D919" s="3" t="s">
        <v>2866</v>
      </c>
      <c r="E919" s="3" t="s">
        <v>3899</v>
      </c>
      <c r="F919" s="3">
        <v>324</v>
      </c>
      <c r="G919" s="4">
        <v>40878.489583333336</v>
      </c>
      <c r="H919" s="3">
        <v>4</v>
      </c>
      <c r="I919" s="5">
        <v>12</v>
      </c>
      <c r="J919" t="s">
        <v>595</v>
      </c>
      <c r="K919" t="s">
        <v>4498</v>
      </c>
      <c r="L919">
        <v>536500</v>
      </c>
      <c r="M919" s="2">
        <v>21622</v>
      </c>
      <c r="N919">
        <v>4.95</v>
      </c>
      <c r="O919" s="6">
        <v>10</v>
      </c>
      <c r="P919" s="3">
        <v>0.05</v>
      </c>
      <c r="Q919" t="s">
        <v>3</v>
      </c>
      <c r="R919" s="7">
        <f t="shared" si="42"/>
        <v>49.5</v>
      </c>
      <c r="S919" s="7">
        <f t="shared" si="43"/>
        <v>2.4750000000000001</v>
      </c>
      <c r="T919">
        <f>Table1[[#This Row],[Total price]]-Table1[[#This Row],[Discount Amount]]</f>
        <v>47.024999999999999</v>
      </c>
      <c r="U919">
        <f t="shared" si="44"/>
        <v>470.25</v>
      </c>
    </row>
    <row r="920" spans="1:21">
      <c r="A920">
        <v>919</v>
      </c>
      <c r="B920" s="3" t="s">
        <v>1663</v>
      </c>
      <c r="C920" s="3" t="s">
        <v>1777</v>
      </c>
      <c r="D920" s="3" t="s">
        <v>2866</v>
      </c>
      <c r="E920" s="3" t="s">
        <v>3900</v>
      </c>
      <c r="F920" s="3">
        <v>325</v>
      </c>
      <c r="G920" s="4">
        <v>40878.489583333336</v>
      </c>
      <c r="H920" s="3">
        <v>4</v>
      </c>
      <c r="I920" s="5">
        <v>7</v>
      </c>
      <c r="J920" t="s">
        <v>594</v>
      </c>
      <c r="K920" t="s">
        <v>4498</v>
      </c>
      <c r="L920">
        <v>536500</v>
      </c>
      <c r="M920" s="2" t="s">
        <v>593</v>
      </c>
      <c r="N920">
        <v>1.55</v>
      </c>
      <c r="O920" s="6">
        <v>10</v>
      </c>
      <c r="P920" s="3">
        <v>0.05</v>
      </c>
      <c r="Q920" t="s">
        <v>3</v>
      </c>
      <c r="R920" s="7">
        <f t="shared" si="42"/>
        <v>15.5</v>
      </c>
      <c r="S920" s="7">
        <f t="shared" si="43"/>
        <v>0.77500000000000002</v>
      </c>
      <c r="T920">
        <f>Table1[[#This Row],[Total price]]-Table1[[#This Row],[Discount Amount]]</f>
        <v>14.725</v>
      </c>
      <c r="U920">
        <f t="shared" si="44"/>
        <v>147.25</v>
      </c>
    </row>
    <row r="921" spans="1:21">
      <c r="A921">
        <v>920</v>
      </c>
      <c r="B921" s="3" t="s">
        <v>1776</v>
      </c>
      <c r="C921" s="3" t="s">
        <v>1775</v>
      </c>
      <c r="D921" s="3" t="s">
        <v>2866</v>
      </c>
      <c r="E921" s="3" t="s">
        <v>3901</v>
      </c>
      <c r="F921" s="3">
        <v>325</v>
      </c>
      <c r="G921" s="4">
        <v>40878.489583333336</v>
      </c>
      <c r="H921" s="3">
        <v>4</v>
      </c>
      <c r="I921" s="5">
        <v>12</v>
      </c>
      <c r="J921" t="s">
        <v>619</v>
      </c>
      <c r="K921" t="s">
        <v>4498</v>
      </c>
      <c r="L921">
        <v>536500</v>
      </c>
      <c r="M921" s="2">
        <v>22630</v>
      </c>
      <c r="N921">
        <v>1.95</v>
      </c>
      <c r="O921" s="6">
        <v>2</v>
      </c>
      <c r="P921" s="3">
        <v>0.2</v>
      </c>
      <c r="Q921" t="s">
        <v>3</v>
      </c>
      <c r="R921" s="7">
        <f t="shared" si="42"/>
        <v>3.9</v>
      </c>
      <c r="S921" s="7">
        <f t="shared" si="43"/>
        <v>0.78</v>
      </c>
      <c r="T921">
        <f>Table1[[#This Row],[Total price]]-Table1[[#This Row],[Discount Amount]]</f>
        <v>3.12</v>
      </c>
      <c r="U921">
        <f t="shared" si="44"/>
        <v>6.24</v>
      </c>
    </row>
    <row r="922" spans="1:21">
      <c r="A922">
        <v>921</v>
      </c>
      <c r="B922" s="3" t="s">
        <v>1774</v>
      </c>
      <c r="C922" s="3" t="s">
        <v>1306</v>
      </c>
      <c r="D922" s="3" t="s">
        <v>2866</v>
      </c>
      <c r="E922" s="3" t="s">
        <v>3902</v>
      </c>
      <c r="F922" s="3">
        <v>325</v>
      </c>
      <c r="G922" s="4">
        <v>40878.489583333336</v>
      </c>
      <c r="H922" s="3">
        <v>4</v>
      </c>
      <c r="I922" s="5">
        <v>6</v>
      </c>
      <c r="J922" t="s">
        <v>225</v>
      </c>
      <c r="K922" t="s">
        <v>4498</v>
      </c>
      <c r="L922">
        <v>536500</v>
      </c>
      <c r="M922" s="2">
        <v>22616</v>
      </c>
      <c r="N922">
        <v>0.28999999999999998</v>
      </c>
      <c r="O922" s="6">
        <v>12</v>
      </c>
      <c r="P922" s="3">
        <v>0.2</v>
      </c>
      <c r="Q922" t="s">
        <v>3</v>
      </c>
      <c r="R922" s="7">
        <f t="shared" si="42"/>
        <v>3.4799999999999995</v>
      </c>
      <c r="S922" s="7">
        <f t="shared" si="43"/>
        <v>0.69599999999999995</v>
      </c>
      <c r="T922">
        <f>Table1[[#This Row],[Total price]]-Table1[[#This Row],[Discount Amount]]</f>
        <v>2.7839999999999998</v>
      </c>
      <c r="U922">
        <f t="shared" si="44"/>
        <v>33.408000000000001</v>
      </c>
    </row>
    <row r="923" spans="1:21">
      <c r="A923">
        <v>922</v>
      </c>
      <c r="B923" s="3" t="s">
        <v>1773</v>
      </c>
      <c r="C923" s="3" t="s">
        <v>1693</v>
      </c>
      <c r="D923" s="3" t="s">
        <v>2866</v>
      </c>
      <c r="E923" s="3" t="s">
        <v>3903</v>
      </c>
      <c r="F923" s="3">
        <v>326</v>
      </c>
      <c r="G923" s="4">
        <v>40878.489583333336</v>
      </c>
      <c r="H923" s="3">
        <v>4</v>
      </c>
      <c r="I923" s="5">
        <v>12</v>
      </c>
      <c r="J923" t="s">
        <v>650</v>
      </c>
      <c r="K923" t="s">
        <v>4498</v>
      </c>
      <c r="L923">
        <v>536500</v>
      </c>
      <c r="M923" s="2">
        <v>22712</v>
      </c>
      <c r="N923">
        <v>0.42</v>
      </c>
      <c r="O923" s="6">
        <v>12</v>
      </c>
      <c r="P923" s="3">
        <v>0.1</v>
      </c>
      <c r="Q923" t="s">
        <v>3</v>
      </c>
      <c r="R923" s="7">
        <f t="shared" si="42"/>
        <v>5.04</v>
      </c>
      <c r="S923" s="7">
        <f t="shared" si="43"/>
        <v>0.504</v>
      </c>
      <c r="T923">
        <f>Table1[[#This Row],[Total price]]-Table1[[#This Row],[Discount Amount]]</f>
        <v>4.5359999999999996</v>
      </c>
      <c r="U923">
        <f t="shared" si="44"/>
        <v>54.431999999999995</v>
      </c>
    </row>
    <row r="924" spans="1:21">
      <c r="A924">
        <v>923</v>
      </c>
      <c r="B924" s="3" t="s">
        <v>1615</v>
      </c>
      <c r="C924" s="3" t="s">
        <v>1772</v>
      </c>
      <c r="D924" s="3" t="s">
        <v>2866</v>
      </c>
      <c r="E924" s="3" t="s">
        <v>3904</v>
      </c>
      <c r="F924" s="3">
        <v>326</v>
      </c>
      <c r="G924" s="4">
        <v>40878.489583333336</v>
      </c>
      <c r="H924" s="3">
        <v>4</v>
      </c>
      <c r="I924" s="5">
        <v>23</v>
      </c>
      <c r="J924" t="s">
        <v>869</v>
      </c>
      <c r="K924" t="s">
        <v>4498</v>
      </c>
      <c r="L924">
        <v>536500</v>
      </c>
      <c r="M924" s="2">
        <v>22983</v>
      </c>
      <c r="N924">
        <v>0.42</v>
      </c>
      <c r="O924" s="6">
        <v>12</v>
      </c>
      <c r="P924" s="3">
        <v>7.0000000000000007E-2</v>
      </c>
      <c r="Q924" t="s">
        <v>3</v>
      </c>
      <c r="R924" s="7">
        <f t="shared" si="42"/>
        <v>5.04</v>
      </c>
      <c r="S924" s="7">
        <f t="shared" si="43"/>
        <v>0.35280000000000006</v>
      </c>
      <c r="T924">
        <f>Table1[[#This Row],[Total price]]-Table1[[#This Row],[Discount Amount]]</f>
        <v>4.6871999999999998</v>
      </c>
      <c r="U924">
        <f t="shared" si="44"/>
        <v>56.246399999999994</v>
      </c>
    </row>
    <row r="925" spans="1:21">
      <c r="A925">
        <v>924</v>
      </c>
      <c r="B925" s="3" t="s">
        <v>1771</v>
      </c>
      <c r="C925" s="3" t="s">
        <v>1208</v>
      </c>
      <c r="D925" s="3" t="s">
        <v>2866</v>
      </c>
      <c r="E925" s="3" t="s">
        <v>3905</v>
      </c>
      <c r="F925" s="3">
        <v>327</v>
      </c>
      <c r="G925" s="4">
        <v>40878.489583333336</v>
      </c>
      <c r="H925" s="3">
        <v>3</v>
      </c>
      <c r="I925" s="5">
        <v>12</v>
      </c>
      <c r="J925" t="s">
        <v>649</v>
      </c>
      <c r="K925" t="s">
        <v>4498</v>
      </c>
      <c r="L925">
        <v>536500</v>
      </c>
      <c r="M925" s="2">
        <v>22024</v>
      </c>
      <c r="N925">
        <v>0.42</v>
      </c>
      <c r="O925" s="6">
        <v>12</v>
      </c>
      <c r="P925" s="3">
        <v>7.0000000000000007E-2</v>
      </c>
      <c r="Q925" t="s">
        <v>3</v>
      </c>
      <c r="R925" s="7">
        <f t="shared" si="42"/>
        <v>5.04</v>
      </c>
      <c r="S925" s="7">
        <f t="shared" si="43"/>
        <v>0.35280000000000006</v>
      </c>
      <c r="T925">
        <f>Table1[[#This Row],[Total price]]-Table1[[#This Row],[Discount Amount]]</f>
        <v>4.6871999999999998</v>
      </c>
      <c r="U925">
        <f t="shared" si="44"/>
        <v>56.246399999999994</v>
      </c>
    </row>
    <row r="926" spans="1:21">
      <c r="A926">
        <v>925</v>
      </c>
      <c r="B926" s="3" t="s">
        <v>1770</v>
      </c>
      <c r="C926" s="3" t="s">
        <v>1769</v>
      </c>
      <c r="D926" s="3" t="s">
        <v>2866</v>
      </c>
      <c r="E926" s="3" t="s">
        <v>3906</v>
      </c>
      <c r="F926" s="3">
        <v>327</v>
      </c>
      <c r="G926" s="4">
        <v>40878.489583333336</v>
      </c>
      <c r="H926" s="3">
        <v>4</v>
      </c>
      <c r="I926" s="5">
        <v>13</v>
      </c>
      <c r="J926" t="s">
        <v>14</v>
      </c>
      <c r="K926" t="s">
        <v>4498</v>
      </c>
      <c r="L926">
        <v>536500</v>
      </c>
      <c r="M926" s="2">
        <v>22113</v>
      </c>
      <c r="N926">
        <v>3.75</v>
      </c>
      <c r="O926" s="6">
        <v>3</v>
      </c>
      <c r="P926" s="3">
        <v>7.0000000000000007E-2</v>
      </c>
      <c r="Q926" t="s">
        <v>3</v>
      </c>
      <c r="R926" s="7">
        <f t="shared" si="42"/>
        <v>11.25</v>
      </c>
      <c r="S926" s="7">
        <f t="shared" si="43"/>
        <v>0.78750000000000009</v>
      </c>
      <c r="T926">
        <f>Table1[[#This Row],[Total price]]-Table1[[#This Row],[Discount Amount]]</f>
        <v>10.4625</v>
      </c>
      <c r="U926">
        <f t="shared" si="44"/>
        <v>31.387500000000003</v>
      </c>
    </row>
    <row r="927" spans="1:21">
      <c r="A927">
        <v>926</v>
      </c>
      <c r="B927" s="3" t="s">
        <v>1768</v>
      </c>
      <c r="C927" s="3" t="s">
        <v>1767</v>
      </c>
      <c r="D927" s="3" t="s">
        <v>3907</v>
      </c>
      <c r="E927" s="3" t="s">
        <v>3908</v>
      </c>
      <c r="F927" s="3">
        <v>327</v>
      </c>
      <c r="G927" s="4">
        <v>40878.489583333336</v>
      </c>
      <c r="H927" s="3">
        <v>4</v>
      </c>
      <c r="I927" s="5">
        <v>4</v>
      </c>
      <c r="J927" t="s">
        <v>73</v>
      </c>
      <c r="K927" t="s">
        <v>4498</v>
      </c>
      <c r="L927">
        <v>536500</v>
      </c>
      <c r="M927" s="2" t="s">
        <v>72</v>
      </c>
      <c r="N927">
        <v>3.75</v>
      </c>
      <c r="O927" s="6">
        <v>2</v>
      </c>
      <c r="P927" s="3">
        <v>0.05</v>
      </c>
      <c r="Q927" t="s">
        <v>3</v>
      </c>
      <c r="R927" s="7">
        <f t="shared" si="42"/>
        <v>7.5</v>
      </c>
      <c r="S927" s="7">
        <f t="shared" si="43"/>
        <v>0.375</v>
      </c>
      <c r="T927">
        <f>Table1[[#This Row],[Total price]]-Table1[[#This Row],[Discount Amount]]</f>
        <v>7.125</v>
      </c>
      <c r="U927">
        <f t="shared" si="44"/>
        <v>14.25</v>
      </c>
    </row>
    <row r="928" spans="1:21">
      <c r="A928">
        <v>927</v>
      </c>
      <c r="B928" s="3" t="s">
        <v>1766</v>
      </c>
      <c r="C928" s="3" t="s">
        <v>981</v>
      </c>
      <c r="D928" s="3" t="s">
        <v>3909</v>
      </c>
      <c r="E928" s="3" t="s">
        <v>3910</v>
      </c>
      <c r="F928" s="3">
        <v>328</v>
      </c>
      <c r="G928" s="4">
        <v>40878.489583333336</v>
      </c>
      <c r="H928" s="3">
        <v>4</v>
      </c>
      <c r="I928" s="5">
        <v>6</v>
      </c>
      <c r="J928" t="s">
        <v>74</v>
      </c>
      <c r="K928" t="s">
        <v>4498</v>
      </c>
      <c r="L928">
        <v>536500</v>
      </c>
      <c r="M928" s="2">
        <v>21488</v>
      </c>
      <c r="N928">
        <v>3.95</v>
      </c>
      <c r="O928" s="6">
        <v>2</v>
      </c>
      <c r="P928" s="3">
        <v>0.1</v>
      </c>
      <c r="Q928" t="s">
        <v>3</v>
      </c>
      <c r="R928" s="7">
        <f t="shared" si="42"/>
        <v>7.9</v>
      </c>
      <c r="S928" s="7">
        <f t="shared" si="43"/>
        <v>0.79</v>
      </c>
      <c r="T928">
        <f>Table1[[#This Row],[Total price]]-Table1[[#This Row],[Discount Amount]]</f>
        <v>7.11</v>
      </c>
      <c r="U928">
        <f t="shared" si="44"/>
        <v>14.22</v>
      </c>
    </row>
    <row r="929" spans="1:21">
      <c r="A929">
        <v>928</v>
      </c>
      <c r="B929" s="3" t="s">
        <v>1765</v>
      </c>
      <c r="C929" s="3" t="s">
        <v>1081</v>
      </c>
      <c r="D929" s="3" t="s">
        <v>2866</v>
      </c>
      <c r="E929" s="3" t="s">
        <v>3911</v>
      </c>
      <c r="F929" s="3">
        <v>329</v>
      </c>
      <c r="G929" s="4">
        <v>40878.489583333336</v>
      </c>
      <c r="H929" s="3">
        <v>4</v>
      </c>
      <c r="I929" s="5">
        <v>14</v>
      </c>
      <c r="J929" t="s">
        <v>513</v>
      </c>
      <c r="K929" t="s">
        <v>4498</v>
      </c>
      <c r="L929">
        <v>536500</v>
      </c>
      <c r="M929" s="2">
        <v>22900</v>
      </c>
      <c r="N929">
        <v>2.95</v>
      </c>
      <c r="O929" s="6">
        <v>7</v>
      </c>
      <c r="P929" s="3">
        <v>7.0000000000000007E-2</v>
      </c>
      <c r="Q929" t="s">
        <v>3</v>
      </c>
      <c r="R929" s="7">
        <f t="shared" si="42"/>
        <v>20.650000000000002</v>
      </c>
      <c r="S929" s="7">
        <f t="shared" si="43"/>
        <v>1.4455000000000002</v>
      </c>
      <c r="T929">
        <f>Table1[[#This Row],[Total price]]-Table1[[#This Row],[Discount Amount]]</f>
        <v>19.204500000000003</v>
      </c>
      <c r="U929">
        <f t="shared" si="44"/>
        <v>134.43150000000003</v>
      </c>
    </row>
    <row r="930" spans="1:21">
      <c r="A930">
        <v>929</v>
      </c>
      <c r="B930" s="3" t="s">
        <v>1764</v>
      </c>
      <c r="C930" s="3" t="s">
        <v>1121</v>
      </c>
      <c r="D930" s="3" t="s">
        <v>2866</v>
      </c>
      <c r="E930" s="3" t="s">
        <v>3912</v>
      </c>
      <c r="F930" s="3">
        <v>329</v>
      </c>
      <c r="G930" s="4">
        <v>40878.489583333336</v>
      </c>
      <c r="H930" s="3">
        <v>4</v>
      </c>
      <c r="I930" s="5">
        <v>8</v>
      </c>
      <c r="J930" t="s">
        <v>119</v>
      </c>
      <c r="K930" t="s">
        <v>4498</v>
      </c>
      <c r="L930">
        <v>536500</v>
      </c>
      <c r="M930" s="2">
        <v>22895</v>
      </c>
      <c r="N930">
        <v>2.95</v>
      </c>
      <c r="O930" s="6">
        <v>3</v>
      </c>
      <c r="P930" s="3">
        <v>0.05</v>
      </c>
      <c r="Q930" t="s">
        <v>3</v>
      </c>
      <c r="R930" s="7">
        <f t="shared" si="42"/>
        <v>8.8500000000000014</v>
      </c>
      <c r="S930" s="7">
        <f t="shared" si="43"/>
        <v>0.44250000000000012</v>
      </c>
      <c r="T930">
        <f>Table1[[#This Row],[Total price]]-Table1[[#This Row],[Discount Amount]]</f>
        <v>8.4075000000000006</v>
      </c>
      <c r="U930">
        <f t="shared" si="44"/>
        <v>25.222500000000004</v>
      </c>
    </row>
    <row r="931" spans="1:21">
      <c r="A931">
        <v>930</v>
      </c>
      <c r="B931" s="3" t="s">
        <v>1763</v>
      </c>
      <c r="C931" s="3" t="s">
        <v>1512</v>
      </c>
      <c r="D931" s="3" t="s">
        <v>2866</v>
      </c>
      <c r="E931" s="3" t="s">
        <v>3913</v>
      </c>
      <c r="F931" s="3">
        <v>329</v>
      </c>
      <c r="G931" s="4">
        <v>40878.489583333336</v>
      </c>
      <c r="H931" s="3">
        <v>4</v>
      </c>
      <c r="I931" s="5">
        <v>23</v>
      </c>
      <c r="J931" t="s">
        <v>196</v>
      </c>
      <c r="K931" t="s">
        <v>4498</v>
      </c>
      <c r="L931">
        <v>536500</v>
      </c>
      <c r="M931" s="2">
        <v>21035</v>
      </c>
      <c r="N931">
        <v>2.95</v>
      </c>
      <c r="O931" s="6">
        <v>3</v>
      </c>
      <c r="P931" s="3">
        <v>0.2</v>
      </c>
      <c r="Q931" t="s">
        <v>3</v>
      </c>
      <c r="R931" s="7">
        <f t="shared" si="42"/>
        <v>8.8500000000000014</v>
      </c>
      <c r="S931" s="7">
        <f t="shared" si="43"/>
        <v>1.7700000000000005</v>
      </c>
      <c r="T931">
        <f>Table1[[#This Row],[Total price]]-Table1[[#This Row],[Discount Amount]]</f>
        <v>7.080000000000001</v>
      </c>
      <c r="U931">
        <f t="shared" si="44"/>
        <v>21.240000000000002</v>
      </c>
    </row>
    <row r="932" spans="1:21">
      <c r="A932">
        <v>931</v>
      </c>
      <c r="B932" s="3" t="s">
        <v>1762</v>
      </c>
      <c r="C932" s="3" t="s">
        <v>1761</v>
      </c>
      <c r="D932" s="3" t="s">
        <v>2866</v>
      </c>
      <c r="E932" s="3" t="s">
        <v>3914</v>
      </c>
      <c r="F932" s="3">
        <v>329</v>
      </c>
      <c r="G932" s="4">
        <v>40878.489583333336</v>
      </c>
      <c r="H932" s="3">
        <v>4</v>
      </c>
      <c r="I932" s="5">
        <v>17</v>
      </c>
      <c r="J932" t="s">
        <v>332</v>
      </c>
      <c r="K932" t="s">
        <v>4498</v>
      </c>
      <c r="L932">
        <v>536500</v>
      </c>
      <c r="M932" s="2">
        <v>21755</v>
      </c>
      <c r="N932">
        <v>5.95</v>
      </c>
      <c r="O932" s="6">
        <v>6</v>
      </c>
      <c r="P932" s="3">
        <v>7.0000000000000007E-2</v>
      </c>
      <c r="Q932" t="s">
        <v>3</v>
      </c>
      <c r="R932" s="7">
        <f t="shared" si="42"/>
        <v>35.700000000000003</v>
      </c>
      <c r="S932" s="7">
        <f t="shared" si="43"/>
        <v>2.4990000000000006</v>
      </c>
      <c r="T932">
        <f>Table1[[#This Row],[Total price]]-Table1[[#This Row],[Discount Amount]]</f>
        <v>33.201000000000001</v>
      </c>
      <c r="U932">
        <f t="shared" si="44"/>
        <v>199.20600000000002</v>
      </c>
    </row>
    <row r="933" spans="1:21">
      <c r="A933">
        <v>932</v>
      </c>
      <c r="B933" s="3" t="s">
        <v>1760</v>
      </c>
      <c r="C933" s="3" t="s">
        <v>1624</v>
      </c>
      <c r="D933" s="3" t="s">
        <v>2866</v>
      </c>
      <c r="E933" s="3" t="s">
        <v>3915</v>
      </c>
      <c r="F933" s="3">
        <v>329</v>
      </c>
      <c r="G933" s="4">
        <v>40878.489583333336</v>
      </c>
      <c r="H933" s="3">
        <v>4</v>
      </c>
      <c r="I933" s="5">
        <v>26</v>
      </c>
      <c r="J933" t="s">
        <v>396</v>
      </c>
      <c r="K933" t="s">
        <v>4498</v>
      </c>
      <c r="L933">
        <v>536500</v>
      </c>
      <c r="M933" s="2">
        <v>21754</v>
      </c>
      <c r="N933">
        <v>5.95</v>
      </c>
      <c r="O933" s="6">
        <v>6</v>
      </c>
      <c r="P933" s="3">
        <v>0.05</v>
      </c>
      <c r="Q933" t="s">
        <v>3</v>
      </c>
      <c r="R933" s="7">
        <f t="shared" si="42"/>
        <v>35.700000000000003</v>
      </c>
      <c r="S933" s="7">
        <f t="shared" si="43"/>
        <v>1.7850000000000001</v>
      </c>
      <c r="T933">
        <f>Table1[[#This Row],[Total price]]-Table1[[#This Row],[Discount Amount]]</f>
        <v>33.915000000000006</v>
      </c>
      <c r="U933">
        <f t="shared" si="44"/>
        <v>203.49000000000004</v>
      </c>
    </row>
    <row r="934" spans="1:21">
      <c r="A934">
        <v>933</v>
      </c>
      <c r="B934" s="3" t="s">
        <v>1759</v>
      </c>
      <c r="C934" s="3" t="s">
        <v>1758</v>
      </c>
      <c r="D934" s="3" t="s">
        <v>2866</v>
      </c>
      <c r="E934" s="3" t="s">
        <v>3916</v>
      </c>
      <c r="F934" s="3">
        <v>330</v>
      </c>
      <c r="G934" s="4">
        <v>40878.489583333336</v>
      </c>
      <c r="H934" s="3">
        <v>4</v>
      </c>
      <c r="I934" s="5">
        <v>21</v>
      </c>
      <c r="J934" t="s">
        <v>21</v>
      </c>
      <c r="K934" t="s">
        <v>4498</v>
      </c>
      <c r="L934">
        <v>536502</v>
      </c>
      <c r="M934" s="2">
        <v>84879</v>
      </c>
      <c r="N934">
        <v>1.69</v>
      </c>
      <c r="O934" s="6">
        <v>16</v>
      </c>
      <c r="P934" s="3">
        <v>0.05</v>
      </c>
      <c r="Q934" t="s">
        <v>3</v>
      </c>
      <c r="R934" s="7">
        <f t="shared" si="42"/>
        <v>27.04</v>
      </c>
      <c r="S934" s="7">
        <f t="shared" si="43"/>
        <v>1.3520000000000001</v>
      </c>
      <c r="T934">
        <f>Table1[[#This Row],[Total price]]-Table1[[#This Row],[Discount Amount]]</f>
        <v>25.687999999999999</v>
      </c>
      <c r="U934">
        <f t="shared" si="44"/>
        <v>411.00799999999998</v>
      </c>
    </row>
    <row r="935" spans="1:21">
      <c r="A935">
        <v>934</v>
      </c>
      <c r="B935" s="3" t="s">
        <v>1757</v>
      </c>
      <c r="C935" s="3" t="s">
        <v>1756</v>
      </c>
      <c r="D935" s="3" t="s">
        <v>2866</v>
      </c>
      <c r="E935" s="3" t="s">
        <v>3917</v>
      </c>
      <c r="F935" s="3">
        <v>331</v>
      </c>
      <c r="G935" s="4">
        <v>40878.489583333336</v>
      </c>
      <c r="H935" s="3">
        <v>4</v>
      </c>
      <c r="I935" s="5">
        <v>17</v>
      </c>
      <c r="J935" t="s">
        <v>17</v>
      </c>
      <c r="K935" t="s">
        <v>4498</v>
      </c>
      <c r="L935">
        <v>536502</v>
      </c>
      <c r="M935" s="2">
        <v>22784</v>
      </c>
      <c r="N935">
        <v>4.95</v>
      </c>
      <c r="O935" s="6">
        <v>3</v>
      </c>
      <c r="P935" s="3">
        <v>0.1</v>
      </c>
      <c r="Q935" t="s">
        <v>3</v>
      </c>
      <c r="R935" s="7">
        <f t="shared" si="42"/>
        <v>14.850000000000001</v>
      </c>
      <c r="S935" s="7">
        <f t="shared" si="43"/>
        <v>1.4850000000000003</v>
      </c>
      <c r="T935">
        <f>Table1[[#This Row],[Total price]]-Table1[[#This Row],[Discount Amount]]</f>
        <v>13.365000000000002</v>
      </c>
      <c r="U935">
        <f t="shared" si="44"/>
        <v>40.095000000000006</v>
      </c>
    </row>
    <row r="936" spans="1:21">
      <c r="A936">
        <v>935</v>
      </c>
      <c r="B936" s="3" t="s">
        <v>1755</v>
      </c>
      <c r="C936" s="3" t="s">
        <v>914</v>
      </c>
      <c r="D936" s="3" t="s">
        <v>2866</v>
      </c>
      <c r="E936" s="3" t="s">
        <v>3918</v>
      </c>
      <c r="F936" s="3">
        <v>332</v>
      </c>
      <c r="G936" s="4">
        <v>40878.489583333336</v>
      </c>
      <c r="H936" s="3">
        <v>3</v>
      </c>
      <c r="I936" s="5">
        <v>18</v>
      </c>
      <c r="J936" t="s">
        <v>813</v>
      </c>
      <c r="K936" t="s">
        <v>4498</v>
      </c>
      <c r="L936">
        <v>536502</v>
      </c>
      <c r="M936" s="2">
        <v>21441</v>
      </c>
      <c r="N936">
        <v>0.85</v>
      </c>
      <c r="O936" s="6">
        <v>12</v>
      </c>
      <c r="P936" s="3">
        <v>0.05</v>
      </c>
      <c r="Q936" t="s">
        <v>3</v>
      </c>
      <c r="R936" s="7">
        <f t="shared" si="42"/>
        <v>10.199999999999999</v>
      </c>
      <c r="S936" s="7">
        <f t="shared" si="43"/>
        <v>0.51</v>
      </c>
      <c r="T936">
        <f>Table1[[#This Row],[Total price]]-Table1[[#This Row],[Discount Amount]]</f>
        <v>9.69</v>
      </c>
      <c r="U936">
        <f t="shared" si="44"/>
        <v>116.28</v>
      </c>
    </row>
    <row r="937" spans="1:21">
      <c r="A937">
        <v>936</v>
      </c>
      <c r="B937" s="3" t="s">
        <v>1754</v>
      </c>
      <c r="C937" s="3" t="s">
        <v>1721</v>
      </c>
      <c r="D937" s="3" t="s">
        <v>2866</v>
      </c>
      <c r="E937" s="3" t="s">
        <v>3919</v>
      </c>
      <c r="F937" s="3">
        <v>333</v>
      </c>
      <c r="G937" s="4">
        <v>40878.489583333336</v>
      </c>
      <c r="H937" s="3">
        <v>4</v>
      </c>
      <c r="I937" s="5">
        <v>18</v>
      </c>
      <c r="J937" t="s">
        <v>24</v>
      </c>
      <c r="K937" t="s">
        <v>4498</v>
      </c>
      <c r="L937">
        <v>536502</v>
      </c>
      <c r="M937" s="2" t="s">
        <v>23</v>
      </c>
      <c r="N937">
        <v>2.95</v>
      </c>
      <c r="O937" s="6">
        <v>6</v>
      </c>
      <c r="P937" s="3">
        <v>7.0000000000000007E-2</v>
      </c>
      <c r="Q937" t="s">
        <v>3</v>
      </c>
      <c r="R937" s="7">
        <f t="shared" si="42"/>
        <v>17.700000000000003</v>
      </c>
      <c r="S937" s="7">
        <f t="shared" si="43"/>
        <v>1.2390000000000003</v>
      </c>
      <c r="T937">
        <f>Table1[[#This Row],[Total price]]-Table1[[#This Row],[Discount Amount]]</f>
        <v>16.461000000000002</v>
      </c>
      <c r="U937">
        <f t="shared" si="44"/>
        <v>98.76600000000002</v>
      </c>
    </row>
    <row r="938" spans="1:21">
      <c r="A938">
        <v>937</v>
      </c>
      <c r="B938" s="3" t="s">
        <v>1753</v>
      </c>
      <c r="C938" s="3" t="s">
        <v>1725</v>
      </c>
      <c r="D938" s="3" t="s">
        <v>2866</v>
      </c>
      <c r="E938" s="3" t="s">
        <v>3920</v>
      </c>
      <c r="F938" s="3">
        <v>333</v>
      </c>
      <c r="G938" s="4">
        <v>40878.489583333336</v>
      </c>
      <c r="H938" s="3">
        <v>4</v>
      </c>
      <c r="I938" s="5">
        <v>8</v>
      </c>
      <c r="J938" t="s">
        <v>81</v>
      </c>
      <c r="K938" t="s">
        <v>4498</v>
      </c>
      <c r="L938">
        <v>536502</v>
      </c>
      <c r="M938" s="2">
        <v>22423</v>
      </c>
      <c r="N938">
        <v>12.75</v>
      </c>
      <c r="O938" s="6">
        <v>2</v>
      </c>
      <c r="P938" s="3">
        <v>0.05</v>
      </c>
      <c r="Q938" t="s">
        <v>9</v>
      </c>
      <c r="R938" s="7">
        <f t="shared" si="42"/>
        <v>25.5</v>
      </c>
      <c r="S938" s="7">
        <f t="shared" si="43"/>
        <v>1.2750000000000001</v>
      </c>
      <c r="T938">
        <f>Table1[[#This Row],[Total price]]-Table1[[#This Row],[Discount Amount]]</f>
        <v>24.225000000000001</v>
      </c>
      <c r="U938">
        <f t="shared" si="44"/>
        <v>48.45</v>
      </c>
    </row>
    <row r="939" spans="1:21">
      <c r="A939">
        <v>938</v>
      </c>
      <c r="B939" s="3" t="s">
        <v>1752</v>
      </c>
      <c r="C939" s="3" t="s">
        <v>952</v>
      </c>
      <c r="D939" s="3" t="s">
        <v>3921</v>
      </c>
      <c r="E939" s="3" t="s">
        <v>3922</v>
      </c>
      <c r="F939" s="3">
        <v>333</v>
      </c>
      <c r="G939" s="4">
        <v>40878.489583333336</v>
      </c>
      <c r="H939" s="3">
        <v>4</v>
      </c>
      <c r="I939" s="5">
        <v>3</v>
      </c>
      <c r="J939" t="s">
        <v>879</v>
      </c>
      <c r="K939" t="s">
        <v>4498</v>
      </c>
      <c r="L939" t="s">
        <v>885</v>
      </c>
      <c r="M939" s="2">
        <v>22960</v>
      </c>
      <c r="N939">
        <v>4.25</v>
      </c>
      <c r="O939" s="6">
        <v>-6</v>
      </c>
      <c r="P939" s="3">
        <v>0.2</v>
      </c>
      <c r="Q939" t="s">
        <v>9</v>
      </c>
      <c r="R939" s="7">
        <f t="shared" si="42"/>
        <v>-25.5</v>
      </c>
      <c r="S939" s="7">
        <f t="shared" si="43"/>
        <v>-5.1000000000000005</v>
      </c>
      <c r="T939">
        <f>Table1[[#This Row],[Total price]]-Table1[[#This Row],[Discount Amount]]</f>
        <v>-20.399999999999999</v>
      </c>
      <c r="U939">
        <f t="shared" si="44"/>
        <v>122.39999999999999</v>
      </c>
    </row>
    <row r="940" spans="1:21">
      <c r="A940">
        <v>939</v>
      </c>
      <c r="B940" s="3" t="s">
        <v>1751</v>
      </c>
      <c r="C940" s="3" t="s">
        <v>1750</v>
      </c>
      <c r="D940" s="3" t="s">
        <v>3923</v>
      </c>
      <c r="E940" s="3" t="s">
        <v>3924</v>
      </c>
      <c r="F940" s="3">
        <v>334</v>
      </c>
      <c r="G940" s="4">
        <v>40878.489583333336</v>
      </c>
      <c r="H940" s="3">
        <v>4</v>
      </c>
      <c r="I940" s="5">
        <v>16</v>
      </c>
      <c r="J940" t="s">
        <v>135</v>
      </c>
      <c r="K940" t="s">
        <v>4498</v>
      </c>
      <c r="L940">
        <v>536508</v>
      </c>
      <c r="M940" s="2">
        <v>84947</v>
      </c>
      <c r="N940">
        <v>1.06</v>
      </c>
      <c r="O940" s="6">
        <v>72</v>
      </c>
      <c r="P940" s="3">
        <v>0.2</v>
      </c>
      <c r="Q940" t="s">
        <v>9</v>
      </c>
      <c r="R940" s="7">
        <f t="shared" si="42"/>
        <v>76.320000000000007</v>
      </c>
      <c r="S940" s="7">
        <f t="shared" si="43"/>
        <v>15.264000000000003</v>
      </c>
      <c r="T940">
        <f>Table1[[#This Row],[Total price]]-Table1[[#This Row],[Discount Amount]]</f>
        <v>61.056000000000004</v>
      </c>
      <c r="U940">
        <f t="shared" si="44"/>
        <v>4396.0320000000002</v>
      </c>
    </row>
    <row r="941" spans="1:21">
      <c r="A941">
        <v>940</v>
      </c>
      <c r="B941" s="3" t="s">
        <v>1749</v>
      </c>
      <c r="C941" s="3" t="s">
        <v>1748</v>
      </c>
      <c r="D941" s="3" t="s">
        <v>2866</v>
      </c>
      <c r="E941" s="3" t="s">
        <v>3925</v>
      </c>
      <c r="F941" s="3">
        <v>334</v>
      </c>
      <c r="G941" s="4">
        <v>40878.489583333336</v>
      </c>
      <c r="H941" s="3">
        <v>4</v>
      </c>
      <c r="I941" s="5">
        <v>9</v>
      </c>
      <c r="J941" t="s">
        <v>733</v>
      </c>
      <c r="K941" t="s">
        <v>4498</v>
      </c>
      <c r="L941">
        <v>536508</v>
      </c>
      <c r="M941" s="2">
        <v>21326</v>
      </c>
      <c r="N941">
        <v>0.55000000000000004</v>
      </c>
      <c r="O941" s="6">
        <v>144</v>
      </c>
      <c r="P941" s="3">
        <v>0.05</v>
      </c>
      <c r="Q941" t="s">
        <v>9</v>
      </c>
      <c r="R941" s="7">
        <f t="shared" si="42"/>
        <v>79.2</v>
      </c>
      <c r="S941" s="7">
        <f t="shared" si="43"/>
        <v>3.9600000000000004</v>
      </c>
      <c r="T941">
        <f>Table1[[#This Row],[Total price]]-Table1[[#This Row],[Discount Amount]]</f>
        <v>75.240000000000009</v>
      </c>
      <c r="U941">
        <f t="shared" si="44"/>
        <v>10834.560000000001</v>
      </c>
    </row>
    <row r="942" spans="1:21">
      <c r="A942">
        <v>941</v>
      </c>
      <c r="B942" s="3" t="s">
        <v>1747</v>
      </c>
      <c r="C942" s="3" t="s">
        <v>1259</v>
      </c>
      <c r="D942" s="3" t="s">
        <v>2866</v>
      </c>
      <c r="E942" s="3" t="s">
        <v>3926</v>
      </c>
      <c r="F942" s="3">
        <v>334</v>
      </c>
      <c r="G942" s="4">
        <v>40878.489583333336</v>
      </c>
      <c r="H942" s="3">
        <v>4</v>
      </c>
      <c r="I942" s="5">
        <v>3</v>
      </c>
      <c r="J942" t="s">
        <v>27</v>
      </c>
      <c r="K942" t="s">
        <v>4498</v>
      </c>
      <c r="L942">
        <v>536514</v>
      </c>
      <c r="M942" s="2">
        <v>22865</v>
      </c>
      <c r="N942">
        <v>2.1</v>
      </c>
      <c r="O942" s="6">
        <v>36</v>
      </c>
      <c r="P942" s="3">
        <v>0.05</v>
      </c>
      <c r="Q942" t="s">
        <v>9</v>
      </c>
      <c r="R942" s="7">
        <f t="shared" si="42"/>
        <v>75.600000000000009</v>
      </c>
      <c r="S942" s="7">
        <f t="shared" si="43"/>
        <v>3.7800000000000007</v>
      </c>
      <c r="T942">
        <f>Table1[[#This Row],[Total price]]-Table1[[#This Row],[Discount Amount]]</f>
        <v>71.820000000000007</v>
      </c>
      <c r="U942">
        <f t="shared" si="44"/>
        <v>2585.5200000000004</v>
      </c>
    </row>
    <row r="943" spans="1:21">
      <c r="A943">
        <v>942</v>
      </c>
      <c r="B943" s="3" t="s">
        <v>1746</v>
      </c>
      <c r="C943" s="3" t="s">
        <v>1745</v>
      </c>
      <c r="D943" s="3" t="s">
        <v>3927</v>
      </c>
      <c r="E943" s="3" t="s">
        <v>3928</v>
      </c>
      <c r="F943" s="3">
        <v>335</v>
      </c>
      <c r="G943" s="4">
        <v>40878.489583333336</v>
      </c>
      <c r="H943" s="3">
        <v>4</v>
      </c>
      <c r="I943" s="5">
        <v>6</v>
      </c>
      <c r="J943" t="s">
        <v>276</v>
      </c>
      <c r="K943" t="s">
        <v>4497</v>
      </c>
      <c r="L943">
        <v>536514</v>
      </c>
      <c r="M943" s="2">
        <v>22485</v>
      </c>
      <c r="N943">
        <v>12.75</v>
      </c>
      <c r="O943" s="6">
        <v>4</v>
      </c>
      <c r="P943" s="3">
        <v>0.1</v>
      </c>
      <c r="Q943" t="s">
        <v>9</v>
      </c>
      <c r="R943" s="7">
        <f t="shared" si="42"/>
        <v>51</v>
      </c>
      <c r="S943" s="7">
        <f t="shared" si="43"/>
        <v>5.1000000000000005</v>
      </c>
      <c r="T943">
        <f>Table1[[#This Row],[Total price]]-Table1[[#This Row],[Discount Amount]]</f>
        <v>45.9</v>
      </c>
      <c r="U943">
        <f t="shared" si="44"/>
        <v>183.6</v>
      </c>
    </row>
    <row r="944" spans="1:21">
      <c r="A944">
        <v>943</v>
      </c>
      <c r="B944" s="3" t="s">
        <v>1744</v>
      </c>
      <c r="C944" s="3" t="s">
        <v>1743</v>
      </c>
      <c r="D944" s="3" t="s">
        <v>2866</v>
      </c>
      <c r="E944" s="3" t="s">
        <v>3929</v>
      </c>
      <c r="F944" s="3">
        <v>335</v>
      </c>
      <c r="G944" s="4">
        <v>40878.489583333336</v>
      </c>
      <c r="H944" s="3">
        <v>4</v>
      </c>
      <c r="I944" s="5">
        <v>2</v>
      </c>
      <c r="J944" t="s">
        <v>524</v>
      </c>
      <c r="K944" t="s">
        <v>4497</v>
      </c>
      <c r="L944">
        <v>536514</v>
      </c>
      <c r="M944" s="2">
        <v>22807</v>
      </c>
      <c r="N944">
        <v>2.95</v>
      </c>
      <c r="O944" s="6">
        <v>6</v>
      </c>
      <c r="P944" s="3">
        <v>0.1</v>
      </c>
      <c r="Q944" t="s">
        <v>9</v>
      </c>
      <c r="R944" s="7">
        <f t="shared" si="42"/>
        <v>17.700000000000003</v>
      </c>
      <c r="S944" s="7">
        <f t="shared" si="43"/>
        <v>1.7700000000000005</v>
      </c>
      <c r="T944">
        <f>Table1[[#This Row],[Total price]]-Table1[[#This Row],[Discount Amount]]</f>
        <v>15.930000000000003</v>
      </c>
      <c r="U944">
        <f t="shared" si="44"/>
        <v>95.580000000000013</v>
      </c>
    </row>
    <row r="945" spans="1:21">
      <c r="A945">
        <v>944</v>
      </c>
      <c r="B945" s="3" t="s">
        <v>1625</v>
      </c>
      <c r="C945" s="3" t="s">
        <v>1533</v>
      </c>
      <c r="D945" s="3" t="s">
        <v>2866</v>
      </c>
      <c r="E945" s="3" t="s">
        <v>3930</v>
      </c>
      <c r="F945" s="3">
        <v>335</v>
      </c>
      <c r="G945" s="4">
        <v>40878.489583333336</v>
      </c>
      <c r="H945" s="3">
        <v>4</v>
      </c>
      <c r="I945" s="5">
        <v>21</v>
      </c>
      <c r="J945" t="s">
        <v>28</v>
      </c>
      <c r="K945" t="s">
        <v>4497</v>
      </c>
      <c r="L945">
        <v>536514</v>
      </c>
      <c r="M945" s="2">
        <v>22633</v>
      </c>
      <c r="N945">
        <v>2.1</v>
      </c>
      <c r="O945" s="6">
        <v>36</v>
      </c>
      <c r="P945" s="3">
        <v>7.0000000000000007E-2</v>
      </c>
      <c r="Q945" t="s">
        <v>9</v>
      </c>
      <c r="R945" s="7">
        <f t="shared" si="42"/>
        <v>75.600000000000009</v>
      </c>
      <c r="S945" s="7">
        <f t="shared" si="43"/>
        <v>5.2920000000000007</v>
      </c>
      <c r="T945">
        <f>Table1[[#This Row],[Total price]]-Table1[[#This Row],[Discount Amount]]</f>
        <v>70.308000000000007</v>
      </c>
      <c r="U945">
        <f t="shared" si="44"/>
        <v>2531.0880000000002</v>
      </c>
    </row>
    <row r="946" spans="1:21">
      <c r="A946">
        <v>945</v>
      </c>
      <c r="B946" s="3" t="s">
        <v>1742</v>
      </c>
      <c r="C946" s="3" t="s">
        <v>1741</v>
      </c>
      <c r="D946" s="3" t="s">
        <v>2866</v>
      </c>
      <c r="E946" s="3" t="s">
        <v>3931</v>
      </c>
      <c r="F946" s="3">
        <v>336</v>
      </c>
      <c r="G946" s="4">
        <v>40878.489583333336</v>
      </c>
      <c r="H946" s="3">
        <v>4</v>
      </c>
      <c r="I946" s="5">
        <v>4</v>
      </c>
      <c r="J946" t="s">
        <v>158</v>
      </c>
      <c r="K946" t="s">
        <v>4497</v>
      </c>
      <c r="L946">
        <v>536514</v>
      </c>
      <c r="M946" s="2">
        <v>22866</v>
      </c>
      <c r="N946">
        <v>2.1</v>
      </c>
      <c r="O946" s="6">
        <v>36</v>
      </c>
      <c r="P946" s="3">
        <v>0.1</v>
      </c>
      <c r="Q946" t="s">
        <v>9</v>
      </c>
      <c r="R946" s="7">
        <f t="shared" si="42"/>
        <v>75.600000000000009</v>
      </c>
      <c r="S946" s="7">
        <f t="shared" si="43"/>
        <v>7.5600000000000014</v>
      </c>
      <c r="T946">
        <f>Table1[[#This Row],[Total price]]-Table1[[#This Row],[Discount Amount]]</f>
        <v>68.040000000000006</v>
      </c>
      <c r="U946">
        <f t="shared" si="44"/>
        <v>2449.44</v>
      </c>
    </row>
    <row r="947" spans="1:21">
      <c r="A947">
        <v>946</v>
      </c>
      <c r="B947" s="3" t="s">
        <v>1740</v>
      </c>
      <c r="C947" s="3" t="s">
        <v>1359</v>
      </c>
      <c r="D947" s="3" t="s">
        <v>2866</v>
      </c>
      <c r="E947" s="3" t="s">
        <v>3932</v>
      </c>
      <c r="F947" s="3">
        <v>336</v>
      </c>
      <c r="G947" s="4">
        <v>40878.489583333336</v>
      </c>
      <c r="H947" s="3">
        <v>4</v>
      </c>
      <c r="I947" s="5">
        <v>12</v>
      </c>
      <c r="J947" t="s">
        <v>774</v>
      </c>
      <c r="K947" t="s">
        <v>4497</v>
      </c>
      <c r="L947">
        <v>536520</v>
      </c>
      <c r="M947" s="2">
        <v>21794</v>
      </c>
      <c r="N947">
        <v>6.75</v>
      </c>
      <c r="O947" s="6">
        <v>1</v>
      </c>
      <c r="P947" s="3">
        <v>0.2</v>
      </c>
      <c r="Q947" t="s">
        <v>9</v>
      </c>
      <c r="R947" s="7">
        <f t="shared" si="42"/>
        <v>6.75</v>
      </c>
      <c r="S947" s="7">
        <f t="shared" si="43"/>
        <v>1.35</v>
      </c>
      <c r="T947">
        <f>Table1[[#This Row],[Total price]]-Table1[[#This Row],[Discount Amount]]</f>
        <v>5.4</v>
      </c>
      <c r="U947">
        <f t="shared" si="44"/>
        <v>5.4</v>
      </c>
    </row>
    <row r="948" spans="1:21">
      <c r="A948">
        <v>947</v>
      </c>
      <c r="B948" s="3" t="s">
        <v>1739</v>
      </c>
      <c r="C948" s="3" t="s">
        <v>948</v>
      </c>
      <c r="D948" s="3" t="s">
        <v>2866</v>
      </c>
      <c r="E948" s="3" t="s">
        <v>3933</v>
      </c>
      <c r="F948" s="3">
        <v>337</v>
      </c>
      <c r="G948" s="4">
        <v>40878.489583333336</v>
      </c>
      <c r="H948" s="3">
        <v>4</v>
      </c>
      <c r="I948" s="5">
        <v>18</v>
      </c>
      <c r="J948" t="s">
        <v>826</v>
      </c>
      <c r="K948" t="s">
        <v>4497</v>
      </c>
      <c r="L948">
        <v>536520</v>
      </c>
      <c r="M948" s="2">
        <v>20707</v>
      </c>
      <c r="N948">
        <v>1.25</v>
      </c>
      <c r="O948" s="6">
        <v>1</v>
      </c>
      <c r="P948" s="3">
        <v>0.05</v>
      </c>
      <c r="Q948" t="s">
        <v>9</v>
      </c>
      <c r="R948" s="7">
        <f t="shared" si="42"/>
        <v>1.25</v>
      </c>
      <c r="S948" s="7">
        <f t="shared" si="43"/>
        <v>6.25E-2</v>
      </c>
      <c r="T948">
        <f>Table1[[#This Row],[Total price]]-Table1[[#This Row],[Discount Amount]]</f>
        <v>1.1875</v>
      </c>
      <c r="U948">
        <f t="shared" si="44"/>
        <v>1.1875</v>
      </c>
    </row>
    <row r="949" spans="1:21">
      <c r="A949">
        <v>948</v>
      </c>
      <c r="B949" s="3" t="s">
        <v>1738</v>
      </c>
      <c r="C949" s="3" t="s">
        <v>1718</v>
      </c>
      <c r="D949" s="3" t="s">
        <v>2866</v>
      </c>
      <c r="E949" s="3" t="s">
        <v>3934</v>
      </c>
      <c r="F949" s="3">
        <v>337</v>
      </c>
      <c r="G949" s="4">
        <v>40878.489583333336</v>
      </c>
      <c r="H949" s="3">
        <v>4</v>
      </c>
      <c r="I949" s="5">
        <v>4</v>
      </c>
      <c r="J949" t="s">
        <v>307</v>
      </c>
      <c r="K949" t="s">
        <v>4497</v>
      </c>
      <c r="L949">
        <v>536520</v>
      </c>
      <c r="M949" s="2">
        <v>21175</v>
      </c>
      <c r="N949">
        <v>2.1</v>
      </c>
      <c r="O949" s="6">
        <v>1</v>
      </c>
      <c r="P949" s="3">
        <v>0.05</v>
      </c>
      <c r="Q949" t="s">
        <v>9</v>
      </c>
      <c r="R949" s="7">
        <f t="shared" si="42"/>
        <v>2.1</v>
      </c>
      <c r="S949" s="7">
        <f t="shared" si="43"/>
        <v>0.10500000000000001</v>
      </c>
      <c r="T949">
        <f>Table1[[#This Row],[Total price]]-Table1[[#This Row],[Discount Amount]]</f>
        <v>1.9950000000000001</v>
      </c>
      <c r="U949">
        <f t="shared" si="44"/>
        <v>1.9950000000000001</v>
      </c>
    </row>
    <row r="950" spans="1:21">
      <c r="A950">
        <v>949</v>
      </c>
      <c r="B950" s="3" t="s">
        <v>1737</v>
      </c>
      <c r="C950" s="3" t="s">
        <v>1736</v>
      </c>
      <c r="D950" s="3" t="s">
        <v>2866</v>
      </c>
      <c r="E950" s="3" t="s">
        <v>3935</v>
      </c>
      <c r="F950" s="3">
        <v>338</v>
      </c>
      <c r="G950" s="4">
        <v>40878.489583333336</v>
      </c>
      <c r="H950" s="3">
        <v>4</v>
      </c>
      <c r="I950" s="5">
        <v>6</v>
      </c>
      <c r="J950" t="s">
        <v>857</v>
      </c>
      <c r="K950" t="s">
        <v>4497</v>
      </c>
      <c r="L950">
        <v>536520</v>
      </c>
      <c r="M950" s="2">
        <v>22926</v>
      </c>
      <c r="N950">
        <v>5.95</v>
      </c>
      <c r="O950" s="6">
        <v>1</v>
      </c>
      <c r="P950" s="3">
        <v>7.0000000000000007E-2</v>
      </c>
      <c r="Q950" t="s">
        <v>9</v>
      </c>
      <c r="R950" s="7">
        <f t="shared" si="42"/>
        <v>5.95</v>
      </c>
      <c r="S950" s="7">
        <f t="shared" si="43"/>
        <v>0.41650000000000004</v>
      </c>
      <c r="T950">
        <f>Table1[[#This Row],[Total price]]-Table1[[#This Row],[Discount Amount]]</f>
        <v>5.5335000000000001</v>
      </c>
      <c r="U950">
        <f t="shared" si="44"/>
        <v>5.5335000000000001</v>
      </c>
    </row>
    <row r="951" spans="1:21">
      <c r="A951">
        <v>950</v>
      </c>
      <c r="B951" s="3" t="s">
        <v>1735</v>
      </c>
      <c r="C951" s="3" t="s">
        <v>1710</v>
      </c>
      <c r="D951" s="3" t="s">
        <v>3936</v>
      </c>
      <c r="E951" s="3" t="s">
        <v>3937</v>
      </c>
      <c r="F951" s="3">
        <v>338</v>
      </c>
      <c r="G951" s="4">
        <v>40878.489583333336</v>
      </c>
      <c r="H951" s="3">
        <v>4</v>
      </c>
      <c r="I951" s="5">
        <v>10</v>
      </c>
      <c r="J951" t="s">
        <v>555</v>
      </c>
      <c r="K951" t="s">
        <v>4497</v>
      </c>
      <c r="L951">
        <v>536520</v>
      </c>
      <c r="M951" s="2">
        <v>22588</v>
      </c>
      <c r="N951">
        <v>2.5499999999999998</v>
      </c>
      <c r="O951" s="6">
        <v>2</v>
      </c>
      <c r="P951" s="3">
        <v>7.0000000000000007E-2</v>
      </c>
      <c r="Q951" t="s">
        <v>9</v>
      </c>
      <c r="R951" s="7">
        <f t="shared" si="42"/>
        <v>5.0999999999999996</v>
      </c>
      <c r="S951" s="7">
        <f t="shared" si="43"/>
        <v>0.35699999999999998</v>
      </c>
      <c r="T951">
        <f>Table1[[#This Row],[Total price]]-Table1[[#This Row],[Discount Amount]]</f>
        <v>4.7429999999999994</v>
      </c>
      <c r="U951">
        <f t="shared" si="44"/>
        <v>9.4859999999999989</v>
      </c>
    </row>
    <row r="952" spans="1:21">
      <c r="A952">
        <v>951</v>
      </c>
      <c r="B952" s="3" t="s">
        <v>1734</v>
      </c>
      <c r="C952" s="3" t="s">
        <v>1464</v>
      </c>
      <c r="D952" s="3" t="s">
        <v>2866</v>
      </c>
      <c r="E952" s="3" t="s">
        <v>3938</v>
      </c>
      <c r="F952" s="3">
        <v>338</v>
      </c>
      <c r="G952" s="4">
        <v>40878.489583333336</v>
      </c>
      <c r="H952" s="3">
        <v>4</v>
      </c>
      <c r="I952" s="5">
        <v>22</v>
      </c>
      <c r="J952" t="s">
        <v>463</v>
      </c>
      <c r="K952" t="s">
        <v>4497</v>
      </c>
      <c r="L952">
        <v>536520</v>
      </c>
      <c r="M952" s="2">
        <v>21292</v>
      </c>
      <c r="N952">
        <v>0.85</v>
      </c>
      <c r="O952" s="6">
        <v>16</v>
      </c>
      <c r="P952" s="3">
        <v>0.1</v>
      </c>
      <c r="Q952" t="s">
        <v>9</v>
      </c>
      <c r="R952" s="7">
        <f t="shared" si="42"/>
        <v>13.6</v>
      </c>
      <c r="S952" s="7">
        <f t="shared" si="43"/>
        <v>1.36</v>
      </c>
      <c r="T952">
        <f>Table1[[#This Row],[Total price]]-Table1[[#This Row],[Discount Amount]]</f>
        <v>12.24</v>
      </c>
      <c r="U952">
        <f t="shared" si="44"/>
        <v>195.84</v>
      </c>
    </row>
    <row r="953" spans="1:21">
      <c r="A953">
        <v>952</v>
      </c>
      <c r="B953" s="3" t="s">
        <v>1733</v>
      </c>
      <c r="C953" s="3" t="s">
        <v>1732</v>
      </c>
      <c r="D953" s="3" t="s">
        <v>2866</v>
      </c>
      <c r="E953" s="3" t="s">
        <v>3939</v>
      </c>
      <c r="F953" s="3">
        <v>338</v>
      </c>
      <c r="G953" s="4">
        <v>40878.489583333336</v>
      </c>
      <c r="H953" s="3">
        <v>4</v>
      </c>
      <c r="I953" s="5">
        <v>11</v>
      </c>
      <c r="J953" t="s">
        <v>284</v>
      </c>
      <c r="K953" t="s">
        <v>4497</v>
      </c>
      <c r="L953">
        <v>536520</v>
      </c>
      <c r="M953" s="2">
        <v>21890</v>
      </c>
      <c r="N953">
        <v>2.95</v>
      </c>
      <c r="O953" s="6">
        <v>1</v>
      </c>
      <c r="P953" s="3">
        <v>7.0000000000000007E-2</v>
      </c>
      <c r="Q953" t="s">
        <v>9</v>
      </c>
      <c r="R953" s="7">
        <f t="shared" si="42"/>
        <v>2.95</v>
      </c>
      <c r="S953" s="7">
        <f t="shared" si="43"/>
        <v>0.20650000000000004</v>
      </c>
      <c r="T953">
        <f>Table1[[#This Row],[Total price]]-Table1[[#This Row],[Discount Amount]]</f>
        <v>2.7435</v>
      </c>
      <c r="U953">
        <f t="shared" si="44"/>
        <v>2.7435</v>
      </c>
    </row>
    <row r="954" spans="1:21">
      <c r="A954">
        <v>953</v>
      </c>
      <c r="B954" s="3" t="s">
        <v>1731</v>
      </c>
      <c r="C954" s="3" t="s">
        <v>960</v>
      </c>
      <c r="D954" s="3" t="s">
        <v>2866</v>
      </c>
      <c r="E954" s="3" t="s">
        <v>3940</v>
      </c>
      <c r="F954" s="3">
        <v>338</v>
      </c>
      <c r="G954" s="4">
        <v>40878.489583333336</v>
      </c>
      <c r="H954" s="3">
        <v>4</v>
      </c>
      <c r="I954" s="5">
        <v>9</v>
      </c>
      <c r="J954" t="s">
        <v>26</v>
      </c>
      <c r="K954" t="s">
        <v>4497</v>
      </c>
      <c r="L954">
        <v>536520</v>
      </c>
      <c r="M954" s="2">
        <v>22632</v>
      </c>
      <c r="N954">
        <v>2.1</v>
      </c>
      <c r="O954" s="6">
        <v>4</v>
      </c>
      <c r="P954" s="3">
        <v>0.05</v>
      </c>
      <c r="Q954" t="s">
        <v>9</v>
      </c>
      <c r="R954" s="7">
        <f t="shared" si="42"/>
        <v>8.4</v>
      </c>
      <c r="S954" s="7">
        <f t="shared" si="43"/>
        <v>0.42000000000000004</v>
      </c>
      <c r="T954">
        <f>Table1[[#This Row],[Total price]]-Table1[[#This Row],[Discount Amount]]</f>
        <v>7.98</v>
      </c>
      <c r="U954">
        <f t="shared" si="44"/>
        <v>31.92</v>
      </c>
    </row>
    <row r="955" spans="1:21">
      <c r="A955">
        <v>954</v>
      </c>
      <c r="B955" s="3" t="s">
        <v>1730</v>
      </c>
      <c r="C955" s="3" t="s">
        <v>1389</v>
      </c>
      <c r="D955" s="3" t="s">
        <v>2866</v>
      </c>
      <c r="E955" s="3" t="s">
        <v>3941</v>
      </c>
      <c r="F955" s="3">
        <v>339</v>
      </c>
      <c r="G955" s="4">
        <v>40878.489583333336</v>
      </c>
      <c r="H955" s="3">
        <v>4</v>
      </c>
      <c r="I955" s="5">
        <v>13</v>
      </c>
      <c r="J955" t="s">
        <v>28</v>
      </c>
      <c r="K955" t="s">
        <v>4497</v>
      </c>
      <c r="L955">
        <v>536520</v>
      </c>
      <c r="M955" s="2">
        <v>22633</v>
      </c>
      <c r="N955">
        <v>2.1</v>
      </c>
      <c r="O955" s="6">
        <v>3</v>
      </c>
      <c r="P955" s="3">
        <v>0.1</v>
      </c>
      <c r="Q955" t="s">
        <v>9</v>
      </c>
      <c r="R955" s="7">
        <f t="shared" si="42"/>
        <v>6.3000000000000007</v>
      </c>
      <c r="S955" s="7">
        <f t="shared" si="43"/>
        <v>0.63000000000000012</v>
      </c>
      <c r="T955">
        <f>Table1[[#This Row],[Total price]]-Table1[[#This Row],[Discount Amount]]</f>
        <v>5.6700000000000008</v>
      </c>
      <c r="U955">
        <f t="shared" si="44"/>
        <v>17.010000000000002</v>
      </c>
    </row>
    <row r="956" spans="1:21">
      <c r="A956">
        <v>955</v>
      </c>
      <c r="B956" s="3" t="s">
        <v>1729</v>
      </c>
      <c r="C956" s="3" t="s">
        <v>1066</v>
      </c>
      <c r="D956" s="3" t="s">
        <v>2866</v>
      </c>
      <c r="E956" s="3" t="s">
        <v>3942</v>
      </c>
      <c r="F956" s="3">
        <v>339</v>
      </c>
      <c r="G956" s="4">
        <v>40878.489583333336</v>
      </c>
      <c r="H956" s="3">
        <v>4</v>
      </c>
      <c r="I956" s="5">
        <v>15</v>
      </c>
      <c r="J956" t="s">
        <v>519</v>
      </c>
      <c r="K956" t="s">
        <v>4497</v>
      </c>
      <c r="L956">
        <v>536520</v>
      </c>
      <c r="M956" s="2">
        <v>22670</v>
      </c>
      <c r="N956">
        <v>1.25</v>
      </c>
      <c r="O956" s="6">
        <v>1</v>
      </c>
      <c r="P956" s="3">
        <v>0.05</v>
      </c>
      <c r="Q956" t="s">
        <v>9</v>
      </c>
      <c r="R956" s="7">
        <f t="shared" si="42"/>
        <v>1.25</v>
      </c>
      <c r="S956" s="7">
        <f t="shared" si="43"/>
        <v>6.25E-2</v>
      </c>
      <c r="T956">
        <f>Table1[[#This Row],[Total price]]-Table1[[#This Row],[Discount Amount]]</f>
        <v>1.1875</v>
      </c>
      <c r="U956">
        <f t="shared" si="44"/>
        <v>1.1875</v>
      </c>
    </row>
    <row r="957" spans="1:21">
      <c r="A957">
        <v>956</v>
      </c>
      <c r="B957" s="3" t="s">
        <v>1728</v>
      </c>
      <c r="C957" s="3" t="s">
        <v>1727</v>
      </c>
      <c r="D957" s="3" t="s">
        <v>2866</v>
      </c>
      <c r="E957" s="3" t="s">
        <v>3943</v>
      </c>
      <c r="F957" s="3">
        <v>340</v>
      </c>
      <c r="G957" s="4">
        <v>40878.489583333336</v>
      </c>
      <c r="H957" s="3">
        <v>4</v>
      </c>
      <c r="I957" s="5">
        <v>11</v>
      </c>
      <c r="J957" t="s">
        <v>802</v>
      </c>
      <c r="K957" t="s">
        <v>4497</v>
      </c>
      <c r="L957">
        <v>536520</v>
      </c>
      <c r="M957" s="2">
        <v>21867</v>
      </c>
      <c r="N957">
        <v>1.25</v>
      </c>
      <c r="O957" s="6">
        <v>1</v>
      </c>
      <c r="P957" s="3">
        <v>0.05</v>
      </c>
      <c r="Q957" t="s">
        <v>9</v>
      </c>
      <c r="R957" s="7">
        <f t="shared" si="42"/>
        <v>1.25</v>
      </c>
      <c r="S957" s="7">
        <f t="shared" si="43"/>
        <v>6.25E-2</v>
      </c>
      <c r="T957">
        <f>Table1[[#This Row],[Total price]]-Table1[[#This Row],[Discount Amount]]</f>
        <v>1.1875</v>
      </c>
      <c r="U957">
        <f t="shared" si="44"/>
        <v>1.1875</v>
      </c>
    </row>
    <row r="958" spans="1:21">
      <c r="A958">
        <v>957</v>
      </c>
      <c r="B958" s="3" t="s">
        <v>1726</v>
      </c>
      <c r="C958" s="3" t="s">
        <v>1291</v>
      </c>
      <c r="D958" s="3" t="s">
        <v>3944</v>
      </c>
      <c r="E958" s="3" t="s">
        <v>3945</v>
      </c>
      <c r="F958" s="3">
        <v>340</v>
      </c>
      <c r="G958" s="4">
        <v>40878.489583333336</v>
      </c>
      <c r="H958" s="3">
        <v>4</v>
      </c>
      <c r="I958" s="5">
        <v>24</v>
      </c>
      <c r="J958" t="s">
        <v>664</v>
      </c>
      <c r="K958" t="s">
        <v>4497</v>
      </c>
      <c r="L958">
        <v>536520</v>
      </c>
      <c r="M958" s="2">
        <v>22760</v>
      </c>
      <c r="N958">
        <v>12.75</v>
      </c>
      <c r="O958" s="6">
        <v>1</v>
      </c>
      <c r="P958" s="3">
        <v>0.05</v>
      </c>
      <c r="Q958" t="s">
        <v>9</v>
      </c>
      <c r="R958" s="7">
        <f t="shared" si="42"/>
        <v>12.75</v>
      </c>
      <c r="S958" s="7">
        <f t="shared" si="43"/>
        <v>0.63750000000000007</v>
      </c>
      <c r="T958">
        <f>Table1[[#This Row],[Total price]]-Table1[[#This Row],[Discount Amount]]</f>
        <v>12.112500000000001</v>
      </c>
      <c r="U958">
        <f t="shared" si="44"/>
        <v>12.112500000000001</v>
      </c>
    </row>
    <row r="959" spans="1:21">
      <c r="A959">
        <v>958</v>
      </c>
      <c r="B959" s="3" t="s">
        <v>1222</v>
      </c>
      <c r="C959" s="3" t="s">
        <v>1725</v>
      </c>
      <c r="D959" s="3" t="s">
        <v>2866</v>
      </c>
      <c r="E959" s="3" t="s">
        <v>3946</v>
      </c>
      <c r="F959" s="3">
        <v>340</v>
      </c>
      <c r="G959" s="4">
        <v>40878.489583333336</v>
      </c>
      <c r="H959" s="3">
        <v>4</v>
      </c>
      <c r="I959" s="5">
        <v>13</v>
      </c>
      <c r="J959" t="s">
        <v>736</v>
      </c>
      <c r="K959" t="s">
        <v>4497</v>
      </c>
      <c r="L959">
        <v>536520</v>
      </c>
      <c r="M959" s="2">
        <v>22107</v>
      </c>
      <c r="N959">
        <v>3.75</v>
      </c>
      <c r="O959" s="6">
        <v>2</v>
      </c>
      <c r="P959" s="3">
        <v>0.1</v>
      </c>
      <c r="Q959" t="s">
        <v>9</v>
      </c>
      <c r="R959" s="7">
        <f t="shared" si="42"/>
        <v>7.5</v>
      </c>
      <c r="S959" s="7">
        <f t="shared" si="43"/>
        <v>0.75</v>
      </c>
      <c r="T959">
        <f>Table1[[#This Row],[Total price]]-Table1[[#This Row],[Discount Amount]]</f>
        <v>6.75</v>
      </c>
      <c r="U959">
        <f t="shared" si="44"/>
        <v>13.5</v>
      </c>
    </row>
    <row r="960" spans="1:21">
      <c r="A960">
        <v>959</v>
      </c>
      <c r="B960" s="3" t="s">
        <v>1694</v>
      </c>
      <c r="C960" s="3" t="s">
        <v>1081</v>
      </c>
      <c r="D960" s="3" t="s">
        <v>3947</v>
      </c>
      <c r="E960" s="3" t="s">
        <v>3948</v>
      </c>
      <c r="F960" s="3">
        <v>340</v>
      </c>
      <c r="G960" s="4">
        <v>40878.489583333336</v>
      </c>
      <c r="H960" s="3">
        <v>4</v>
      </c>
      <c r="I960" s="5">
        <v>12</v>
      </c>
      <c r="J960" t="s">
        <v>20</v>
      </c>
      <c r="K960" t="s">
        <v>4497</v>
      </c>
      <c r="L960">
        <v>536520</v>
      </c>
      <c r="M960" s="2">
        <v>22470</v>
      </c>
      <c r="N960">
        <v>2.95</v>
      </c>
      <c r="O960" s="6">
        <v>1</v>
      </c>
      <c r="P960" s="3">
        <v>7.0000000000000007E-2</v>
      </c>
      <c r="Q960" t="s">
        <v>9</v>
      </c>
      <c r="R960" s="7">
        <f t="shared" si="42"/>
        <v>2.95</v>
      </c>
      <c r="S960" s="7">
        <f t="shared" si="43"/>
        <v>0.20650000000000004</v>
      </c>
      <c r="T960">
        <f>Table1[[#This Row],[Total price]]-Table1[[#This Row],[Discount Amount]]</f>
        <v>2.7435</v>
      </c>
      <c r="U960">
        <f t="shared" si="44"/>
        <v>2.7435</v>
      </c>
    </row>
    <row r="961" spans="1:21">
      <c r="A961">
        <v>960</v>
      </c>
      <c r="B961" s="3" t="s">
        <v>1724</v>
      </c>
      <c r="C961" s="3" t="s">
        <v>1723</v>
      </c>
      <c r="D961" s="3" t="s">
        <v>3949</v>
      </c>
      <c r="E961" s="3" t="s">
        <v>3950</v>
      </c>
      <c r="F961" s="3">
        <v>340</v>
      </c>
      <c r="G961" s="4">
        <v>40878.489583333336</v>
      </c>
      <c r="H961" s="3">
        <v>4</v>
      </c>
      <c r="I961" s="5">
        <v>10</v>
      </c>
      <c r="J961" t="s">
        <v>507</v>
      </c>
      <c r="K961" t="s">
        <v>4497</v>
      </c>
      <c r="L961">
        <v>536520</v>
      </c>
      <c r="M961" s="2">
        <v>21486</v>
      </c>
      <c r="N961">
        <v>3.75</v>
      </c>
      <c r="O961" s="6">
        <v>1</v>
      </c>
      <c r="P961" s="3">
        <v>0.1</v>
      </c>
      <c r="Q961" t="s">
        <v>9</v>
      </c>
      <c r="R961" s="7">
        <f t="shared" si="42"/>
        <v>3.75</v>
      </c>
      <c r="S961" s="7">
        <f t="shared" si="43"/>
        <v>0.375</v>
      </c>
      <c r="T961">
        <f>Table1[[#This Row],[Total price]]-Table1[[#This Row],[Discount Amount]]</f>
        <v>3.375</v>
      </c>
      <c r="U961">
        <f t="shared" si="44"/>
        <v>3.375</v>
      </c>
    </row>
    <row r="962" spans="1:21">
      <c r="A962">
        <v>961</v>
      </c>
      <c r="B962" s="3" t="s">
        <v>1722</v>
      </c>
      <c r="C962" s="3" t="s">
        <v>1721</v>
      </c>
      <c r="D962" s="3" t="s">
        <v>2866</v>
      </c>
      <c r="E962" s="3" t="s">
        <v>3951</v>
      </c>
      <c r="F962" s="3">
        <v>341</v>
      </c>
      <c r="G962" s="4">
        <v>40878.489583333336</v>
      </c>
      <c r="H962" s="3">
        <v>4</v>
      </c>
      <c r="I962" s="5">
        <v>23</v>
      </c>
      <c r="J962" t="s">
        <v>581</v>
      </c>
      <c r="K962" t="s">
        <v>4497</v>
      </c>
      <c r="L962">
        <v>536520</v>
      </c>
      <c r="M962" s="2">
        <v>22151</v>
      </c>
      <c r="N962">
        <v>0.42</v>
      </c>
      <c r="O962" s="6">
        <v>14</v>
      </c>
      <c r="P962" s="3">
        <v>0.05</v>
      </c>
      <c r="Q962" t="s">
        <v>9</v>
      </c>
      <c r="R962" s="7">
        <f t="shared" si="42"/>
        <v>5.88</v>
      </c>
      <c r="S962" s="7">
        <f t="shared" si="43"/>
        <v>0.29399999999999998</v>
      </c>
      <c r="T962">
        <f>Table1[[#This Row],[Total price]]-Table1[[#This Row],[Discount Amount]]</f>
        <v>5.5860000000000003</v>
      </c>
      <c r="U962">
        <f t="shared" si="44"/>
        <v>78.204000000000008</v>
      </c>
    </row>
    <row r="963" spans="1:21">
      <c r="A963">
        <v>962</v>
      </c>
      <c r="B963" s="3" t="s">
        <v>1720</v>
      </c>
      <c r="C963" s="3" t="s">
        <v>1302</v>
      </c>
      <c r="D963" s="3" t="s">
        <v>2866</v>
      </c>
      <c r="E963" s="3" t="s">
        <v>3952</v>
      </c>
      <c r="F963" s="3">
        <v>342</v>
      </c>
      <c r="G963" s="4">
        <v>40878.489583333336</v>
      </c>
      <c r="H963" s="3">
        <v>4</v>
      </c>
      <c r="I963" s="5">
        <v>26</v>
      </c>
      <c r="J963" t="s">
        <v>235</v>
      </c>
      <c r="K963" t="s">
        <v>4497</v>
      </c>
      <c r="L963">
        <v>536520</v>
      </c>
      <c r="M963" s="2">
        <v>22643</v>
      </c>
      <c r="N963">
        <v>2.5499999999999998</v>
      </c>
      <c r="O963" s="6">
        <v>4</v>
      </c>
      <c r="P963" s="3">
        <v>7.0000000000000007E-2</v>
      </c>
      <c r="Q963" t="s">
        <v>9</v>
      </c>
      <c r="R963" s="7">
        <f t="shared" ref="R963:R1026" si="45">N963*O963</f>
        <v>10.199999999999999</v>
      </c>
      <c r="S963" s="7">
        <f t="shared" ref="S963:S1026" si="46">R963*P963</f>
        <v>0.71399999999999997</v>
      </c>
      <c r="T963">
        <f>Table1[[#This Row],[Total price]]-Table1[[#This Row],[Discount Amount]]</f>
        <v>9.4859999999999989</v>
      </c>
      <c r="U963">
        <f t="shared" ref="U963:U1026" si="47">T963*O963</f>
        <v>37.943999999999996</v>
      </c>
    </row>
    <row r="964" spans="1:21">
      <c r="A964">
        <v>963</v>
      </c>
      <c r="B964" s="3" t="s">
        <v>1719</v>
      </c>
      <c r="C964" s="3" t="s">
        <v>1718</v>
      </c>
      <c r="D964" s="3" t="s">
        <v>2866</v>
      </c>
      <c r="E964" s="3" t="s">
        <v>3953</v>
      </c>
      <c r="F964" s="3">
        <v>342</v>
      </c>
      <c r="G964" s="4">
        <v>40878.489583333336</v>
      </c>
      <c r="H964" s="3">
        <v>4</v>
      </c>
      <c r="I964" s="5">
        <v>9</v>
      </c>
      <c r="J964" t="s">
        <v>522</v>
      </c>
      <c r="K964" t="s">
        <v>4497</v>
      </c>
      <c r="L964">
        <v>536520</v>
      </c>
      <c r="M964" s="2">
        <v>22642</v>
      </c>
      <c r="N964">
        <v>2.5499999999999998</v>
      </c>
      <c r="O964" s="6">
        <v>4</v>
      </c>
      <c r="P964" s="3">
        <v>0.2</v>
      </c>
      <c r="Q964" t="s">
        <v>9</v>
      </c>
      <c r="R964" s="7">
        <f t="shared" si="45"/>
        <v>10.199999999999999</v>
      </c>
      <c r="S964" s="7">
        <f t="shared" si="46"/>
        <v>2.04</v>
      </c>
      <c r="T964">
        <f>Table1[[#This Row],[Total price]]-Table1[[#This Row],[Discount Amount]]</f>
        <v>8.16</v>
      </c>
      <c r="U964">
        <f t="shared" si="47"/>
        <v>32.64</v>
      </c>
    </row>
    <row r="965" spans="1:21">
      <c r="A965">
        <v>964</v>
      </c>
      <c r="B965" s="3" t="s">
        <v>1717</v>
      </c>
      <c r="C965" s="3" t="s">
        <v>1716</v>
      </c>
      <c r="D965" s="3" t="s">
        <v>3954</v>
      </c>
      <c r="E965" s="3" t="s">
        <v>3955</v>
      </c>
      <c r="F965" s="3">
        <v>342</v>
      </c>
      <c r="G965" s="4">
        <v>40878.489583333336</v>
      </c>
      <c r="H965" s="3">
        <v>4</v>
      </c>
      <c r="I965" s="5">
        <v>16</v>
      </c>
      <c r="J965" t="s">
        <v>226</v>
      </c>
      <c r="K965" t="s">
        <v>4497</v>
      </c>
      <c r="L965">
        <v>536520</v>
      </c>
      <c r="M965" s="2">
        <v>22604</v>
      </c>
      <c r="N965">
        <v>2.5499999999999998</v>
      </c>
      <c r="O965" s="6">
        <v>3</v>
      </c>
      <c r="P965" s="3">
        <v>0.1</v>
      </c>
      <c r="Q965" t="s">
        <v>9</v>
      </c>
      <c r="R965" s="7">
        <f t="shared" si="45"/>
        <v>7.6499999999999995</v>
      </c>
      <c r="S965" s="7">
        <f t="shared" si="46"/>
        <v>0.76500000000000001</v>
      </c>
      <c r="T965">
        <f>Table1[[#This Row],[Total price]]-Table1[[#This Row],[Discount Amount]]</f>
        <v>6.8849999999999998</v>
      </c>
      <c r="U965">
        <f t="shared" si="47"/>
        <v>20.655000000000001</v>
      </c>
    </row>
    <row r="966" spans="1:21">
      <c r="A966">
        <v>965</v>
      </c>
      <c r="B966" s="3" t="s">
        <v>1715</v>
      </c>
      <c r="C966" s="3" t="s">
        <v>1448</v>
      </c>
      <c r="D966" s="3" t="s">
        <v>2866</v>
      </c>
      <c r="E966" s="3" t="s">
        <v>3956</v>
      </c>
      <c r="F966" s="3">
        <v>343</v>
      </c>
      <c r="G966" s="4">
        <v>40878.489583333336</v>
      </c>
      <c r="H966" s="3">
        <v>4</v>
      </c>
      <c r="I966" s="5">
        <v>20</v>
      </c>
      <c r="J966" t="s">
        <v>712</v>
      </c>
      <c r="K966" t="s">
        <v>4497</v>
      </c>
      <c r="L966">
        <v>536520</v>
      </c>
      <c r="M966" s="2">
        <v>22099</v>
      </c>
      <c r="N966">
        <v>1.25</v>
      </c>
      <c r="O966" s="6">
        <v>2</v>
      </c>
      <c r="P966" s="3">
        <v>0.2</v>
      </c>
      <c r="Q966" t="s">
        <v>9</v>
      </c>
      <c r="R966" s="7">
        <f t="shared" si="45"/>
        <v>2.5</v>
      </c>
      <c r="S966" s="7">
        <f t="shared" si="46"/>
        <v>0.5</v>
      </c>
      <c r="T966">
        <f>Table1[[#This Row],[Total price]]-Table1[[#This Row],[Discount Amount]]</f>
        <v>2</v>
      </c>
      <c r="U966">
        <f t="shared" si="47"/>
        <v>4</v>
      </c>
    </row>
    <row r="967" spans="1:21">
      <c r="A967">
        <v>966</v>
      </c>
      <c r="B967" s="3" t="s">
        <v>1109</v>
      </c>
      <c r="C967" s="3" t="s">
        <v>1714</v>
      </c>
      <c r="D967" s="3" t="s">
        <v>2866</v>
      </c>
      <c r="E967" s="3" t="s">
        <v>3957</v>
      </c>
      <c r="F967" s="3">
        <v>343</v>
      </c>
      <c r="G967" s="4">
        <v>40878.489583333336</v>
      </c>
      <c r="H967" s="3">
        <v>4</v>
      </c>
      <c r="I967" s="5">
        <v>25</v>
      </c>
      <c r="J967" t="s">
        <v>190</v>
      </c>
      <c r="K967" t="s">
        <v>4497</v>
      </c>
      <c r="L967">
        <v>536520</v>
      </c>
      <c r="M967" s="2">
        <v>22553</v>
      </c>
      <c r="N967">
        <v>1.65</v>
      </c>
      <c r="O967" s="6">
        <v>1</v>
      </c>
      <c r="P967" s="3">
        <v>0.05</v>
      </c>
      <c r="Q967" t="s">
        <v>9</v>
      </c>
      <c r="R967" s="7">
        <f t="shared" si="45"/>
        <v>1.65</v>
      </c>
      <c r="S967" s="7">
        <f t="shared" si="46"/>
        <v>8.2500000000000004E-2</v>
      </c>
      <c r="T967">
        <f>Table1[[#This Row],[Total price]]-Table1[[#This Row],[Discount Amount]]</f>
        <v>1.5674999999999999</v>
      </c>
      <c r="U967">
        <f t="shared" si="47"/>
        <v>1.5674999999999999</v>
      </c>
    </row>
    <row r="968" spans="1:21">
      <c r="A968">
        <v>967</v>
      </c>
      <c r="B968" s="3" t="s">
        <v>1713</v>
      </c>
      <c r="C968" s="3" t="s">
        <v>1287</v>
      </c>
      <c r="D968" s="3" t="s">
        <v>2866</v>
      </c>
      <c r="E968" s="3" t="s">
        <v>3958</v>
      </c>
      <c r="F968" s="3">
        <v>343</v>
      </c>
      <c r="G968" s="4">
        <v>40878.489583333336</v>
      </c>
      <c r="H968" s="3">
        <v>4</v>
      </c>
      <c r="I968" s="5">
        <v>5</v>
      </c>
      <c r="J968" t="s">
        <v>191</v>
      </c>
      <c r="K968" t="s">
        <v>4498</v>
      </c>
      <c r="L968">
        <v>536520</v>
      </c>
      <c r="M968" s="2">
        <v>22551</v>
      </c>
      <c r="N968">
        <v>1.65</v>
      </c>
      <c r="O968" s="6">
        <v>1</v>
      </c>
      <c r="P968" s="3">
        <v>0.05</v>
      </c>
      <c r="Q968" t="s">
        <v>7</v>
      </c>
      <c r="R968" s="7">
        <f t="shared" si="45"/>
        <v>1.65</v>
      </c>
      <c r="S968" s="7">
        <f t="shared" si="46"/>
        <v>8.2500000000000004E-2</v>
      </c>
      <c r="T968">
        <f>Table1[[#This Row],[Total price]]-Table1[[#This Row],[Discount Amount]]</f>
        <v>1.5674999999999999</v>
      </c>
      <c r="U968">
        <f t="shared" si="47"/>
        <v>1.5674999999999999</v>
      </c>
    </row>
    <row r="969" spans="1:21">
      <c r="A969">
        <v>968</v>
      </c>
      <c r="B969" s="3" t="s">
        <v>1712</v>
      </c>
      <c r="C969" s="3" t="s">
        <v>1339</v>
      </c>
      <c r="D969" s="3" t="s">
        <v>2866</v>
      </c>
      <c r="E969" s="3" t="s">
        <v>3959</v>
      </c>
      <c r="F969" s="3">
        <v>343</v>
      </c>
      <c r="G969" s="4">
        <v>40878.489583333336</v>
      </c>
      <c r="H969" s="3">
        <v>4</v>
      </c>
      <c r="I969" s="5">
        <v>10</v>
      </c>
      <c r="J969" t="s">
        <v>213</v>
      </c>
      <c r="K969" t="s">
        <v>4498</v>
      </c>
      <c r="L969">
        <v>536520</v>
      </c>
      <c r="M969" s="2">
        <v>22653</v>
      </c>
      <c r="N969">
        <v>1.95</v>
      </c>
      <c r="O969" s="6">
        <v>1</v>
      </c>
      <c r="P969" s="3">
        <v>0.1</v>
      </c>
      <c r="Q969" t="s">
        <v>7</v>
      </c>
      <c r="R969" s="7">
        <f t="shared" si="45"/>
        <v>1.95</v>
      </c>
      <c r="S969" s="7">
        <f t="shared" si="46"/>
        <v>0.19500000000000001</v>
      </c>
      <c r="T969">
        <f>Table1[[#This Row],[Total price]]-Table1[[#This Row],[Discount Amount]]</f>
        <v>1.7549999999999999</v>
      </c>
      <c r="U969">
        <f t="shared" si="47"/>
        <v>1.7549999999999999</v>
      </c>
    </row>
    <row r="970" spans="1:21">
      <c r="A970">
        <v>969</v>
      </c>
      <c r="B970" s="3" t="s">
        <v>1711</v>
      </c>
      <c r="C970" s="3" t="s">
        <v>1710</v>
      </c>
      <c r="D970" s="3" t="s">
        <v>3960</v>
      </c>
      <c r="E970" s="3" t="s">
        <v>3961</v>
      </c>
      <c r="F970" s="3">
        <v>344</v>
      </c>
      <c r="G970" s="4">
        <v>40878.489583333336</v>
      </c>
      <c r="H970" s="3">
        <v>4</v>
      </c>
      <c r="I970" s="5">
        <v>22</v>
      </c>
      <c r="J970" t="s">
        <v>325</v>
      </c>
      <c r="K970" t="s">
        <v>4498</v>
      </c>
      <c r="L970">
        <v>536520</v>
      </c>
      <c r="M970" s="2">
        <v>22557</v>
      </c>
      <c r="N970">
        <v>1.65</v>
      </c>
      <c r="O970" s="6">
        <v>2</v>
      </c>
      <c r="P970" s="3">
        <v>0.05</v>
      </c>
      <c r="Q970" t="s">
        <v>7</v>
      </c>
      <c r="R970" s="7">
        <f t="shared" si="45"/>
        <v>3.3</v>
      </c>
      <c r="S970" s="7">
        <f t="shared" si="46"/>
        <v>0.16500000000000001</v>
      </c>
      <c r="T970">
        <f>Table1[[#This Row],[Total price]]-Table1[[#This Row],[Discount Amount]]</f>
        <v>3.1349999999999998</v>
      </c>
      <c r="U970">
        <f t="shared" si="47"/>
        <v>6.27</v>
      </c>
    </row>
    <row r="971" spans="1:21">
      <c r="A971">
        <v>970</v>
      </c>
      <c r="B971" s="3" t="s">
        <v>1709</v>
      </c>
      <c r="C971" s="3" t="s">
        <v>1708</v>
      </c>
      <c r="D971" s="3" t="s">
        <v>2866</v>
      </c>
      <c r="E971" s="3" t="s">
        <v>3962</v>
      </c>
      <c r="F971" s="3">
        <v>344</v>
      </c>
      <c r="G971" s="4">
        <v>40878.489583333336</v>
      </c>
      <c r="H971" s="3">
        <v>4</v>
      </c>
      <c r="I971" s="5">
        <v>18</v>
      </c>
      <c r="J971" t="s">
        <v>145</v>
      </c>
      <c r="K971" t="s">
        <v>4498</v>
      </c>
      <c r="L971">
        <v>536520</v>
      </c>
      <c r="M971" s="2">
        <v>22906</v>
      </c>
      <c r="N971">
        <v>1.65</v>
      </c>
      <c r="O971" s="6">
        <v>6</v>
      </c>
      <c r="P971" s="3">
        <v>7.0000000000000007E-2</v>
      </c>
      <c r="Q971" t="s">
        <v>7</v>
      </c>
      <c r="R971" s="7">
        <f t="shared" si="45"/>
        <v>9.8999999999999986</v>
      </c>
      <c r="S971" s="7">
        <f t="shared" si="46"/>
        <v>0.69299999999999995</v>
      </c>
      <c r="T971">
        <f>Table1[[#This Row],[Total price]]-Table1[[#This Row],[Discount Amount]]</f>
        <v>9.206999999999999</v>
      </c>
      <c r="U971">
        <f t="shared" si="47"/>
        <v>55.24199999999999</v>
      </c>
    </row>
    <row r="972" spans="1:21">
      <c r="A972">
        <v>971</v>
      </c>
      <c r="B972" s="3" t="s">
        <v>1707</v>
      </c>
      <c r="C972" s="3" t="s">
        <v>908</v>
      </c>
      <c r="D972" s="3" t="s">
        <v>3963</v>
      </c>
      <c r="E972" s="3" t="s">
        <v>3964</v>
      </c>
      <c r="F972" s="3">
        <v>344</v>
      </c>
      <c r="G972" s="4">
        <v>40878.489583333336</v>
      </c>
      <c r="H972" s="3">
        <v>4</v>
      </c>
      <c r="I972" s="5">
        <v>14</v>
      </c>
      <c r="J972" t="s">
        <v>430</v>
      </c>
      <c r="K972" t="s">
        <v>4498</v>
      </c>
      <c r="L972">
        <v>536520</v>
      </c>
      <c r="M972" s="2">
        <v>22754</v>
      </c>
      <c r="N972">
        <v>0.85</v>
      </c>
      <c r="O972" s="6">
        <v>1</v>
      </c>
      <c r="P972" s="3">
        <v>0.2</v>
      </c>
      <c r="Q972" t="s">
        <v>7</v>
      </c>
      <c r="R972" s="7">
        <f t="shared" si="45"/>
        <v>0.85</v>
      </c>
      <c r="S972" s="7">
        <f t="shared" si="46"/>
        <v>0.17</v>
      </c>
      <c r="T972">
        <f>Table1[[#This Row],[Total price]]-Table1[[#This Row],[Discount Amount]]</f>
        <v>0.67999999999999994</v>
      </c>
      <c r="U972">
        <f t="shared" si="47"/>
        <v>0.67999999999999994</v>
      </c>
    </row>
    <row r="973" spans="1:21">
      <c r="A973">
        <v>972</v>
      </c>
      <c r="B973" s="3" t="s">
        <v>1706</v>
      </c>
      <c r="C973" s="3" t="s">
        <v>1705</v>
      </c>
      <c r="D973" s="3" t="s">
        <v>3965</v>
      </c>
      <c r="E973" s="3" t="s">
        <v>3966</v>
      </c>
      <c r="F973" s="3">
        <v>345</v>
      </c>
      <c r="G973" s="4">
        <v>40878.489583333336</v>
      </c>
      <c r="H973" s="3">
        <v>4</v>
      </c>
      <c r="I973" s="5">
        <v>18</v>
      </c>
      <c r="J973" t="s">
        <v>25</v>
      </c>
      <c r="K973" t="s">
        <v>4498</v>
      </c>
      <c r="L973">
        <v>536520</v>
      </c>
      <c r="M973" s="2">
        <v>22938</v>
      </c>
      <c r="N973">
        <v>1.95</v>
      </c>
      <c r="O973" s="6">
        <v>5</v>
      </c>
      <c r="P973" s="3">
        <v>0.1</v>
      </c>
      <c r="Q973" t="s">
        <v>7</v>
      </c>
      <c r="R973" s="7">
        <f t="shared" si="45"/>
        <v>9.75</v>
      </c>
      <c r="S973" s="7">
        <f t="shared" si="46"/>
        <v>0.97500000000000009</v>
      </c>
      <c r="T973">
        <f>Table1[[#This Row],[Total price]]-Table1[[#This Row],[Discount Amount]]</f>
        <v>8.7750000000000004</v>
      </c>
      <c r="U973">
        <f t="shared" si="47"/>
        <v>43.875</v>
      </c>
    </row>
    <row r="974" spans="1:21">
      <c r="A974">
        <v>973</v>
      </c>
      <c r="B974" s="3" t="s">
        <v>1704</v>
      </c>
      <c r="C974" s="3" t="s">
        <v>1703</v>
      </c>
      <c r="D974" s="3" t="s">
        <v>2866</v>
      </c>
      <c r="E974" s="3" t="s">
        <v>3967</v>
      </c>
      <c r="F974" s="3">
        <v>345</v>
      </c>
      <c r="G974" s="4">
        <v>40878.489583333336</v>
      </c>
      <c r="H974" s="3">
        <v>4</v>
      </c>
      <c r="I974" s="5">
        <v>24</v>
      </c>
      <c r="J974" t="s">
        <v>275</v>
      </c>
      <c r="K974" t="s">
        <v>4498</v>
      </c>
      <c r="L974">
        <v>536520</v>
      </c>
      <c r="M974" s="2">
        <v>22812</v>
      </c>
      <c r="N974">
        <v>1.95</v>
      </c>
      <c r="O974" s="6">
        <v>3</v>
      </c>
      <c r="P974" s="3">
        <v>7.0000000000000007E-2</v>
      </c>
      <c r="Q974" t="s">
        <v>7</v>
      </c>
      <c r="R974" s="7">
        <f t="shared" si="45"/>
        <v>5.85</v>
      </c>
      <c r="S974" s="7">
        <f t="shared" si="46"/>
        <v>0.40950000000000003</v>
      </c>
      <c r="T974">
        <f>Table1[[#This Row],[Total price]]-Table1[[#This Row],[Discount Amount]]</f>
        <v>5.4404999999999992</v>
      </c>
      <c r="U974">
        <f t="shared" si="47"/>
        <v>16.321499999999997</v>
      </c>
    </row>
    <row r="975" spans="1:21">
      <c r="A975">
        <v>974</v>
      </c>
      <c r="B975" s="3" t="s">
        <v>1702</v>
      </c>
      <c r="C975" s="3" t="s">
        <v>940</v>
      </c>
      <c r="D975" s="3" t="s">
        <v>2866</v>
      </c>
      <c r="E975" s="3" t="s">
        <v>3968</v>
      </c>
      <c r="F975" s="3">
        <v>346</v>
      </c>
      <c r="G975" s="4">
        <v>40878.489583333336</v>
      </c>
      <c r="H975" s="3">
        <v>4</v>
      </c>
      <c r="I975" s="5">
        <v>13</v>
      </c>
      <c r="J975" t="s">
        <v>870</v>
      </c>
      <c r="K975" t="s">
        <v>4498</v>
      </c>
      <c r="L975">
        <v>536520</v>
      </c>
      <c r="M975" s="2">
        <v>22919</v>
      </c>
      <c r="N975">
        <v>0.65</v>
      </c>
      <c r="O975" s="6">
        <v>2</v>
      </c>
      <c r="P975" s="3">
        <v>7.0000000000000007E-2</v>
      </c>
      <c r="Q975" t="s">
        <v>7</v>
      </c>
      <c r="R975" s="7">
        <f t="shared" si="45"/>
        <v>1.3</v>
      </c>
      <c r="S975" s="7">
        <f t="shared" si="46"/>
        <v>9.1000000000000011E-2</v>
      </c>
      <c r="T975">
        <f>Table1[[#This Row],[Total price]]-Table1[[#This Row],[Discount Amount]]</f>
        <v>1.2090000000000001</v>
      </c>
      <c r="U975">
        <f t="shared" si="47"/>
        <v>2.4180000000000001</v>
      </c>
    </row>
    <row r="976" spans="1:21">
      <c r="A976">
        <v>975</v>
      </c>
      <c r="B976" s="3" t="s">
        <v>1701</v>
      </c>
      <c r="C976" s="3" t="s">
        <v>1700</v>
      </c>
      <c r="D976" s="3" t="s">
        <v>3969</v>
      </c>
      <c r="E976" s="3" t="s">
        <v>3970</v>
      </c>
      <c r="F976" s="3">
        <v>346</v>
      </c>
      <c r="G976" s="4">
        <v>40878.489583333336</v>
      </c>
      <c r="H976" s="3">
        <v>4</v>
      </c>
      <c r="I976" s="5">
        <v>23</v>
      </c>
      <c r="J976" t="s">
        <v>864</v>
      </c>
      <c r="K976" t="s">
        <v>4498</v>
      </c>
      <c r="L976">
        <v>536520</v>
      </c>
      <c r="M976" s="2">
        <v>22917</v>
      </c>
      <c r="N976">
        <v>0.65</v>
      </c>
      <c r="O976" s="6">
        <v>1</v>
      </c>
      <c r="P976" s="3">
        <v>0.2</v>
      </c>
      <c r="Q976" t="s">
        <v>7</v>
      </c>
      <c r="R976" s="7">
        <f t="shared" si="45"/>
        <v>0.65</v>
      </c>
      <c r="S976" s="7">
        <f t="shared" si="46"/>
        <v>0.13</v>
      </c>
      <c r="T976">
        <f>Table1[[#This Row],[Total price]]-Table1[[#This Row],[Discount Amount]]</f>
        <v>0.52</v>
      </c>
      <c r="U976">
        <f t="shared" si="47"/>
        <v>0.52</v>
      </c>
    </row>
    <row r="977" spans="1:21">
      <c r="A977">
        <v>976</v>
      </c>
      <c r="B977" s="3" t="s">
        <v>1699</v>
      </c>
      <c r="C977" s="3" t="s">
        <v>1262</v>
      </c>
      <c r="D977" s="3" t="s">
        <v>2866</v>
      </c>
      <c r="E977" s="3" t="s">
        <v>3971</v>
      </c>
      <c r="F977" s="3">
        <v>346</v>
      </c>
      <c r="G977" s="4">
        <v>40878.489583333336</v>
      </c>
      <c r="H977" s="3">
        <v>4</v>
      </c>
      <c r="I977" s="5">
        <v>21</v>
      </c>
      <c r="J977" t="s">
        <v>866</v>
      </c>
      <c r="K977" t="s">
        <v>4498</v>
      </c>
      <c r="L977">
        <v>536520</v>
      </c>
      <c r="M977" s="2">
        <v>22920</v>
      </c>
      <c r="N977">
        <v>0.65</v>
      </c>
      <c r="O977" s="6">
        <v>3</v>
      </c>
      <c r="P977" s="3">
        <v>0.1</v>
      </c>
      <c r="Q977" t="s">
        <v>7</v>
      </c>
      <c r="R977" s="7">
        <f t="shared" si="45"/>
        <v>1.9500000000000002</v>
      </c>
      <c r="S977" s="7">
        <f t="shared" si="46"/>
        <v>0.19500000000000003</v>
      </c>
      <c r="T977">
        <f>Table1[[#This Row],[Total price]]-Table1[[#This Row],[Discount Amount]]</f>
        <v>1.7550000000000001</v>
      </c>
      <c r="U977">
        <f t="shared" si="47"/>
        <v>5.2650000000000006</v>
      </c>
    </row>
    <row r="978" spans="1:21">
      <c r="A978">
        <v>977</v>
      </c>
      <c r="B978" s="3" t="s">
        <v>1426</v>
      </c>
      <c r="C978" s="3" t="s">
        <v>1333</v>
      </c>
      <c r="D978" s="3" t="s">
        <v>2866</v>
      </c>
      <c r="E978" s="3" t="s">
        <v>3972</v>
      </c>
      <c r="F978" s="3">
        <v>346</v>
      </c>
      <c r="G978" s="4">
        <v>40878.489583333336</v>
      </c>
      <c r="H978" s="3">
        <v>4</v>
      </c>
      <c r="I978" s="5">
        <v>15</v>
      </c>
      <c r="J978" t="s">
        <v>865</v>
      </c>
      <c r="K978" t="s">
        <v>4498</v>
      </c>
      <c r="L978">
        <v>536520</v>
      </c>
      <c r="M978" s="2">
        <v>22921</v>
      </c>
      <c r="N978">
        <v>0.65</v>
      </c>
      <c r="O978" s="6">
        <v>2</v>
      </c>
      <c r="P978" s="3">
        <v>0.05</v>
      </c>
      <c r="Q978" t="s">
        <v>7</v>
      </c>
      <c r="R978" s="7">
        <f t="shared" si="45"/>
        <v>1.3</v>
      </c>
      <c r="S978" s="7">
        <f t="shared" si="46"/>
        <v>6.5000000000000002E-2</v>
      </c>
      <c r="T978">
        <f>Table1[[#This Row],[Total price]]-Table1[[#This Row],[Discount Amount]]</f>
        <v>1.2350000000000001</v>
      </c>
      <c r="U978">
        <f t="shared" si="47"/>
        <v>2.4700000000000002</v>
      </c>
    </row>
    <row r="979" spans="1:21">
      <c r="A979">
        <v>978</v>
      </c>
      <c r="B979" s="3" t="s">
        <v>1698</v>
      </c>
      <c r="C979" s="3" t="s">
        <v>1092</v>
      </c>
      <c r="D979" s="3" t="s">
        <v>2866</v>
      </c>
      <c r="E979" s="3" t="s">
        <v>3973</v>
      </c>
      <c r="F979" s="3">
        <v>346</v>
      </c>
      <c r="G979" s="4">
        <v>40878.489583333336</v>
      </c>
      <c r="H979" s="3">
        <v>4</v>
      </c>
      <c r="I979" s="5">
        <v>18</v>
      </c>
      <c r="J979" t="s">
        <v>868</v>
      </c>
      <c r="K979" t="s">
        <v>4498</v>
      </c>
      <c r="L979">
        <v>536520</v>
      </c>
      <c r="M979" s="2">
        <v>22918</v>
      </c>
      <c r="N979">
        <v>0.65</v>
      </c>
      <c r="O979" s="6">
        <v>2</v>
      </c>
      <c r="P979" s="3">
        <v>0.05</v>
      </c>
      <c r="Q979" t="s">
        <v>7</v>
      </c>
      <c r="R979" s="7">
        <f t="shared" si="45"/>
        <v>1.3</v>
      </c>
      <c r="S979" s="7">
        <f t="shared" si="46"/>
        <v>6.5000000000000002E-2</v>
      </c>
      <c r="T979">
        <f>Table1[[#This Row],[Total price]]-Table1[[#This Row],[Discount Amount]]</f>
        <v>1.2350000000000001</v>
      </c>
      <c r="U979">
        <f t="shared" si="47"/>
        <v>2.4700000000000002</v>
      </c>
    </row>
    <row r="980" spans="1:21">
      <c r="A980">
        <v>979</v>
      </c>
      <c r="B980" s="3" t="s">
        <v>1697</v>
      </c>
      <c r="C980" s="3" t="s">
        <v>1696</v>
      </c>
      <c r="D980" s="3" t="s">
        <v>2866</v>
      </c>
      <c r="E980" s="3" t="s">
        <v>3974</v>
      </c>
      <c r="F980" s="3">
        <v>347</v>
      </c>
      <c r="G980" s="4">
        <v>40878.489583333336</v>
      </c>
      <c r="H980" s="3">
        <v>4</v>
      </c>
      <c r="I980" s="5">
        <v>23</v>
      </c>
      <c r="J980" t="s">
        <v>867</v>
      </c>
      <c r="K980" t="s">
        <v>4498</v>
      </c>
      <c r="L980">
        <v>536520</v>
      </c>
      <c r="M980" s="2">
        <v>22916</v>
      </c>
      <c r="N980">
        <v>0.65</v>
      </c>
      <c r="O980" s="6">
        <v>1</v>
      </c>
      <c r="P980" s="3">
        <v>7.0000000000000007E-2</v>
      </c>
      <c r="Q980" t="s">
        <v>7</v>
      </c>
      <c r="R980" s="7">
        <f t="shared" si="45"/>
        <v>0.65</v>
      </c>
      <c r="S980" s="7">
        <f t="shared" si="46"/>
        <v>4.5500000000000006E-2</v>
      </c>
      <c r="T980">
        <f>Table1[[#This Row],[Total price]]-Table1[[#This Row],[Discount Amount]]</f>
        <v>0.60450000000000004</v>
      </c>
      <c r="U980">
        <f t="shared" si="47"/>
        <v>0.60450000000000004</v>
      </c>
    </row>
    <row r="981" spans="1:21">
      <c r="A981">
        <v>980</v>
      </c>
      <c r="B981" s="3" t="s">
        <v>1407</v>
      </c>
      <c r="C981" s="3" t="s">
        <v>1695</v>
      </c>
      <c r="D981" s="3" t="s">
        <v>2866</v>
      </c>
      <c r="E981" s="3" t="s">
        <v>3975</v>
      </c>
      <c r="F981" s="3">
        <v>348</v>
      </c>
      <c r="G981" s="4">
        <v>40878.489583333336</v>
      </c>
      <c r="H981" s="3">
        <v>4</v>
      </c>
      <c r="I981" s="5">
        <v>5</v>
      </c>
      <c r="J981" t="s">
        <v>24</v>
      </c>
      <c r="K981" t="s">
        <v>4498</v>
      </c>
      <c r="L981">
        <v>536520</v>
      </c>
      <c r="M981" s="2" t="s">
        <v>23</v>
      </c>
      <c r="N981">
        <v>2.95</v>
      </c>
      <c r="O981" s="6">
        <v>3</v>
      </c>
      <c r="P981" s="3">
        <v>0.05</v>
      </c>
      <c r="Q981" t="s">
        <v>7</v>
      </c>
      <c r="R981" s="7">
        <f t="shared" si="45"/>
        <v>8.8500000000000014</v>
      </c>
      <c r="S981" s="7">
        <f t="shared" si="46"/>
        <v>0.44250000000000012</v>
      </c>
      <c r="T981">
        <f>Table1[[#This Row],[Total price]]-Table1[[#This Row],[Discount Amount]]</f>
        <v>8.4075000000000006</v>
      </c>
      <c r="U981">
        <f t="shared" si="47"/>
        <v>25.222500000000004</v>
      </c>
    </row>
    <row r="982" spans="1:21">
      <c r="A982">
        <v>981</v>
      </c>
      <c r="B982" s="3" t="s">
        <v>1694</v>
      </c>
      <c r="C982" s="3" t="s">
        <v>1693</v>
      </c>
      <c r="D982" s="3" t="s">
        <v>3976</v>
      </c>
      <c r="E982" s="3" t="s">
        <v>3977</v>
      </c>
      <c r="F982" s="3">
        <v>348</v>
      </c>
      <c r="G982" s="4">
        <v>40878.489583333336</v>
      </c>
      <c r="H982" s="3">
        <v>4</v>
      </c>
      <c r="I982" s="5">
        <v>15</v>
      </c>
      <c r="J982" t="s">
        <v>69</v>
      </c>
      <c r="K982" t="s">
        <v>4498</v>
      </c>
      <c r="L982">
        <v>536520</v>
      </c>
      <c r="M982" s="2">
        <v>22575</v>
      </c>
      <c r="N982">
        <v>1.95</v>
      </c>
      <c r="O982" s="6">
        <v>1</v>
      </c>
      <c r="P982" s="3">
        <v>7.0000000000000007E-2</v>
      </c>
      <c r="Q982" t="s">
        <v>7</v>
      </c>
      <c r="R982" s="7">
        <f t="shared" si="45"/>
        <v>1.95</v>
      </c>
      <c r="S982" s="7">
        <f t="shared" si="46"/>
        <v>0.13650000000000001</v>
      </c>
      <c r="T982">
        <f>Table1[[#This Row],[Total price]]-Table1[[#This Row],[Discount Amount]]</f>
        <v>1.8134999999999999</v>
      </c>
      <c r="U982">
        <f t="shared" si="47"/>
        <v>1.8134999999999999</v>
      </c>
    </row>
    <row r="983" spans="1:21">
      <c r="A983">
        <v>982</v>
      </c>
      <c r="B983" s="3" t="s">
        <v>1692</v>
      </c>
      <c r="C983" s="3" t="s">
        <v>958</v>
      </c>
      <c r="D983" s="3" t="s">
        <v>2866</v>
      </c>
      <c r="E983" s="3" t="s">
        <v>3978</v>
      </c>
      <c r="F983" s="3">
        <v>349</v>
      </c>
      <c r="G983" s="4">
        <v>40878.489583333336</v>
      </c>
      <c r="H983" s="3">
        <v>4</v>
      </c>
      <c r="I983" s="5">
        <v>20</v>
      </c>
      <c r="J983" t="s">
        <v>639</v>
      </c>
      <c r="K983" t="s">
        <v>4498</v>
      </c>
      <c r="L983">
        <v>536520</v>
      </c>
      <c r="M983" s="2">
        <v>21804</v>
      </c>
      <c r="N983">
        <v>3.75</v>
      </c>
      <c r="O983" s="6">
        <v>3</v>
      </c>
      <c r="P983" s="3">
        <v>0.2</v>
      </c>
      <c r="Q983" t="s">
        <v>7</v>
      </c>
      <c r="R983" s="7">
        <f t="shared" si="45"/>
        <v>11.25</v>
      </c>
      <c r="S983" s="7">
        <f t="shared" si="46"/>
        <v>2.25</v>
      </c>
      <c r="T983">
        <f>Table1[[#This Row],[Total price]]-Table1[[#This Row],[Discount Amount]]</f>
        <v>9</v>
      </c>
      <c r="U983">
        <f t="shared" si="47"/>
        <v>27</v>
      </c>
    </row>
    <row r="984" spans="1:21">
      <c r="A984">
        <v>983</v>
      </c>
      <c r="B984" s="3" t="s">
        <v>1691</v>
      </c>
      <c r="C984" s="3" t="s">
        <v>1690</v>
      </c>
      <c r="D984" s="3" t="s">
        <v>2866</v>
      </c>
      <c r="E984" s="3" t="s">
        <v>3979</v>
      </c>
      <c r="F984" s="3">
        <v>350</v>
      </c>
      <c r="G984" s="4">
        <v>40878.489583333336</v>
      </c>
      <c r="H984" s="3">
        <v>4</v>
      </c>
      <c r="I984" s="5">
        <v>6</v>
      </c>
      <c r="J984" t="s">
        <v>254</v>
      </c>
      <c r="K984" t="s">
        <v>4498</v>
      </c>
      <c r="L984">
        <v>536520</v>
      </c>
      <c r="M984" s="2">
        <v>21584</v>
      </c>
      <c r="N984">
        <v>1.65</v>
      </c>
      <c r="O984" s="6">
        <v>12</v>
      </c>
      <c r="P984" s="3">
        <v>0.05</v>
      </c>
      <c r="Q984" t="s">
        <v>7</v>
      </c>
      <c r="R984" s="7">
        <f t="shared" si="45"/>
        <v>19.799999999999997</v>
      </c>
      <c r="S984" s="7">
        <f t="shared" si="46"/>
        <v>0.98999999999999988</v>
      </c>
      <c r="T984">
        <f>Table1[[#This Row],[Total price]]-Table1[[#This Row],[Discount Amount]]</f>
        <v>18.809999999999999</v>
      </c>
      <c r="U984">
        <f t="shared" si="47"/>
        <v>225.71999999999997</v>
      </c>
    </row>
    <row r="985" spans="1:21">
      <c r="A985">
        <v>984</v>
      </c>
      <c r="B985" s="3" t="s">
        <v>895</v>
      </c>
      <c r="C985" s="3" t="s">
        <v>1266</v>
      </c>
      <c r="D985" s="3" t="s">
        <v>2866</v>
      </c>
      <c r="E985" s="3" t="s">
        <v>3980</v>
      </c>
      <c r="F985" s="3">
        <v>350</v>
      </c>
      <c r="G985" s="4">
        <v>40878.489583333336</v>
      </c>
      <c r="H985" s="3">
        <v>4</v>
      </c>
      <c r="I985" s="5">
        <v>20</v>
      </c>
      <c r="J985" t="s">
        <v>326</v>
      </c>
      <c r="K985" t="s">
        <v>4498</v>
      </c>
      <c r="L985">
        <v>536520</v>
      </c>
      <c r="M985" s="2">
        <v>21588</v>
      </c>
      <c r="N985">
        <v>2.5499999999999998</v>
      </c>
      <c r="O985" s="6">
        <v>3</v>
      </c>
      <c r="P985" s="3">
        <v>7.0000000000000007E-2</v>
      </c>
      <c r="Q985" t="s">
        <v>7</v>
      </c>
      <c r="R985" s="7">
        <f t="shared" si="45"/>
        <v>7.6499999999999995</v>
      </c>
      <c r="S985" s="7">
        <f t="shared" si="46"/>
        <v>0.53549999999999998</v>
      </c>
      <c r="T985">
        <f>Table1[[#This Row],[Total price]]-Table1[[#This Row],[Discount Amount]]</f>
        <v>7.1144999999999996</v>
      </c>
      <c r="U985">
        <f t="shared" si="47"/>
        <v>21.343499999999999</v>
      </c>
    </row>
    <row r="986" spans="1:21">
      <c r="A986">
        <v>985</v>
      </c>
      <c r="B986" s="3" t="s">
        <v>1689</v>
      </c>
      <c r="C986" s="3" t="s">
        <v>1688</v>
      </c>
      <c r="D986" s="3" t="s">
        <v>2866</v>
      </c>
      <c r="E986" s="3" t="s">
        <v>3981</v>
      </c>
      <c r="F986" s="3">
        <v>350</v>
      </c>
      <c r="G986" s="4">
        <v>40878.489583333336</v>
      </c>
      <c r="H986" s="3">
        <v>4</v>
      </c>
      <c r="I986" s="5">
        <v>3</v>
      </c>
      <c r="J986" t="s">
        <v>663</v>
      </c>
      <c r="K986" t="s">
        <v>4498</v>
      </c>
      <c r="L986">
        <v>536520</v>
      </c>
      <c r="M986" s="2">
        <v>22152</v>
      </c>
      <c r="N986">
        <v>0.42</v>
      </c>
      <c r="O986" s="6">
        <v>12</v>
      </c>
      <c r="P986" s="3">
        <v>7.0000000000000007E-2</v>
      </c>
      <c r="Q986" t="s">
        <v>7</v>
      </c>
      <c r="R986" s="7">
        <f t="shared" si="45"/>
        <v>5.04</v>
      </c>
      <c r="S986" s="7">
        <f t="shared" si="46"/>
        <v>0.35280000000000006</v>
      </c>
      <c r="T986">
        <f>Table1[[#This Row],[Total price]]-Table1[[#This Row],[Discount Amount]]</f>
        <v>4.6871999999999998</v>
      </c>
      <c r="U986">
        <f t="shared" si="47"/>
        <v>56.246399999999994</v>
      </c>
    </row>
    <row r="987" spans="1:21">
      <c r="A987">
        <v>986</v>
      </c>
      <c r="B987" s="3" t="s">
        <v>1687</v>
      </c>
      <c r="C987" s="3" t="s">
        <v>1686</v>
      </c>
      <c r="D987" s="3" t="s">
        <v>2866</v>
      </c>
      <c r="E987" s="3" t="s">
        <v>3982</v>
      </c>
      <c r="F987" s="3">
        <v>351</v>
      </c>
      <c r="G987" s="4">
        <v>40878.489583333336</v>
      </c>
      <c r="H987" s="3">
        <v>4</v>
      </c>
      <c r="I987" s="5">
        <v>4</v>
      </c>
      <c r="J987" t="s">
        <v>476</v>
      </c>
      <c r="K987" t="s">
        <v>4498</v>
      </c>
      <c r="L987">
        <v>536520</v>
      </c>
      <c r="M987" s="2">
        <v>22441</v>
      </c>
      <c r="N987">
        <v>2.1</v>
      </c>
      <c r="O987" s="6">
        <v>1</v>
      </c>
      <c r="P987" s="3">
        <v>0.05</v>
      </c>
      <c r="Q987" t="s">
        <v>7</v>
      </c>
      <c r="R987" s="7">
        <f t="shared" si="45"/>
        <v>2.1</v>
      </c>
      <c r="S987" s="7">
        <f t="shared" si="46"/>
        <v>0.10500000000000001</v>
      </c>
      <c r="T987">
        <f>Table1[[#This Row],[Total price]]-Table1[[#This Row],[Discount Amount]]</f>
        <v>1.9950000000000001</v>
      </c>
      <c r="U987">
        <f t="shared" si="47"/>
        <v>1.9950000000000001</v>
      </c>
    </row>
    <row r="988" spans="1:21">
      <c r="A988">
        <v>987</v>
      </c>
      <c r="B988" s="3" t="s">
        <v>1685</v>
      </c>
      <c r="C988" s="3" t="s">
        <v>1684</v>
      </c>
      <c r="D988" s="3" t="s">
        <v>2866</v>
      </c>
      <c r="E988" s="3" t="s">
        <v>3983</v>
      </c>
      <c r="F988" s="3">
        <v>351</v>
      </c>
      <c r="G988" s="4">
        <v>40878.489583333336</v>
      </c>
      <c r="H988" s="3">
        <v>3</v>
      </c>
      <c r="I988" s="5">
        <v>24</v>
      </c>
      <c r="J988" t="s">
        <v>844</v>
      </c>
      <c r="K988" t="s">
        <v>4498</v>
      </c>
      <c r="L988">
        <v>536520</v>
      </c>
      <c r="M988" s="2">
        <v>22955</v>
      </c>
      <c r="N988">
        <v>2.1</v>
      </c>
      <c r="O988" s="6">
        <v>200</v>
      </c>
      <c r="P988" s="3">
        <v>0.1</v>
      </c>
      <c r="Q988" t="s">
        <v>6</v>
      </c>
      <c r="R988" s="7">
        <f t="shared" si="45"/>
        <v>420</v>
      </c>
      <c r="S988" s="7">
        <f t="shared" si="46"/>
        <v>42</v>
      </c>
      <c r="T988">
        <f>Table1[[#This Row],[Total price]]-Table1[[#This Row],[Discount Amount]]</f>
        <v>378</v>
      </c>
      <c r="U988">
        <f t="shared" si="47"/>
        <v>75600</v>
      </c>
    </row>
    <row r="989" spans="1:21">
      <c r="A989">
        <v>988</v>
      </c>
      <c r="B989" s="3" t="s">
        <v>1683</v>
      </c>
      <c r="C989" s="3" t="s">
        <v>1682</v>
      </c>
      <c r="D989" s="3" t="s">
        <v>2866</v>
      </c>
      <c r="E989" s="3" t="s">
        <v>3984</v>
      </c>
      <c r="F989" s="3">
        <v>351</v>
      </c>
      <c r="G989" s="4">
        <v>40878.489583333336</v>
      </c>
      <c r="H989" s="3">
        <v>3</v>
      </c>
      <c r="I989" s="5">
        <v>20</v>
      </c>
      <c r="J989" t="s">
        <v>841</v>
      </c>
      <c r="K989" t="s">
        <v>4498</v>
      </c>
      <c r="L989">
        <v>536520</v>
      </c>
      <c r="M989" s="2">
        <v>22956</v>
      </c>
      <c r="N989">
        <v>2.1</v>
      </c>
      <c r="O989" s="6">
        <v>300</v>
      </c>
      <c r="P989" s="3">
        <v>0.2</v>
      </c>
      <c r="Q989" t="s">
        <v>6</v>
      </c>
      <c r="R989" s="7">
        <f t="shared" si="45"/>
        <v>630</v>
      </c>
      <c r="S989" s="7">
        <f t="shared" si="46"/>
        <v>126</v>
      </c>
      <c r="T989">
        <f>Table1[[#This Row],[Total price]]-Table1[[#This Row],[Discount Amount]]</f>
        <v>504</v>
      </c>
      <c r="U989">
        <f t="shared" si="47"/>
        <v>151200</v>
      </c>
    </row>
    <row r="990" spans="1:21">
      <c r="A990">
        <v>989</v>
      </c>
      <c r="B990" s="3" t="s">
        <v>1681</v>
      </c>
      <c r="C990" s="3" t="s">
        <v>1680</v>
      </c>
      <c r="D990" s="3" t="s">
        <v>2866</v>
      </c>
      <c r="E990" s="3" t="s">
        <v>3985</v>
      </c>
      <c r="F990" s="3">
        <v>351</v>
      </c>
      <c r="G990" s="4">
        <v>40878.489583333336</v>
      </c>
      <c r="H990" s="3">
        <v>3</v>
      </c>
      <c r="I990" s="5">
        <v>22</v>
      </c>
      <c r="J990" t="s">
        <v>323</v>
      </c>
      <c r="K990" t="s">
        <v>4498</v>
      </c>
      <c r="L990">
        <v>536520</v>
      </c>
      <c r="M990" s="2">
        <v>22582</v>
      </c>
      <c r="N990">
        <v>2.5499999999999998</v>
      </c>
      <c r="O990" s="6">
        <v>100</v>
      </c>
      <c r="P990" s="3">
        <v>7.0000000000000007E-2</v>
      </c>
      <c r="Q990" t="s">
        <v>6</v>
      </c>
      <c r="R990" s="7">
        <f t="shared" si="45"/>
        <v>254.99999999999997</v>
      </c>
      <c r="S990" s="7">
        <f t="shared" si="46"/>
        <v>17.850000000000001</v>
      </c>
      <c r="T990">
        <f>Table1[[#This Row],[Total price]]-Table1[[#This Row],[Discount Amount]]</f>
        <v>237.14999999999998</v>
      </c>
      <c r="U990">
        <f t="shared" si="47"/>
        <v>23714.999999999996</v>
      </c>
    </row>
    <row r="991" spans="1:21">
      <c r="A991">
        <v>990</v>
      </c>
      <c r="B991" s="3" t="s">
        <v>1679</v>
      </c>
      <c r="C991" s="3" t="s">
        <v>1381</v>
      </c>
      <c r="D991" s="3" t="s">
        <v>2866</v>
      </c>
      <c r="E991" s="3" t="s">
        <v>3986</v>
      </c>
      <c r="F991" s="3">
        <v>352</v>
      </c>
      <c r="G991" s="4">
        <v>40878.489583333336</v>
      </c>
      <c r="H991" s="3">
        <v>3</v>
      </c>
      <c r="I991" s="5">
        <v>11</v>
      </c>
      <c r="J991" t="s">
        <v>677</v>
      </c>
      <c r="K991" t="s">
        <v>4498</v>
      </c>
      <c r="L991">
        <v>536520</v>
      </c>
      <c r="M991" s="2">
        <v>22583</v>
      </c>
      <c r="N991">
        <v>2.5499999999999998</v>
      </c>
      <c r="O991" s="6">
        <v>200</v>
      </c>
      <c r="P991" s="3">
        <v>0.2</v>
      </c>
      <c r="Q991" t="s">
        <v>6</v>
      </c>
      <c r="R991" s="7">
        <f t="shared" si="45"/>
        <v>509.99999999999994</v>
      </c>
      <c r="S991" s="7">
        <f t="shared" si="46"/>
        <v>102</v>
      </c>
      <c r="T991">
        <f>Table1[[#This Row],[Total price]]-Table1[[#This Row],[Discount Amount]]</f>
        <v>407.99999999999994</v>
      </c>
      <c r="U991">
        <f t="shared" si="47"/>
        <v>81599.999999999985</v>
      </c>
    </row>
    <row r="992" spans="1:21">
      <c r="A992">
        <v>991</v>
      </c>
      <c r="B992" s="3" t="s">
        <v>1678</v>
      </c>
      <c r="C992" s="3" t="s">
        <v>1418</v>
      </c>
      <c r="D992" s="3" t="s">
        <v>2866</v>
      </c>
      <c r="E992" s="3" t="s">
        <v>3987</v>
      </c>
      <c r="F992" s="3">
        <v>352</v>
      </c>
      <c r="G992" s="4">
        <v>40878.489583333336</v>
      </c>
      <c r="H992" s="3">
        <v>3</v>
      </c>
      <c r="I992" s="5">
        <v>14</v>
      </c>
      <c r="J992" t="s">
        <v>496</v>
      </c>
      <c r="K992" t="s">
        <v>4498</v>
      </c>
      <c r="L992">
        <v>536520</v>
      </c>
      <c r="M992" s="2">
        <v>22241</v>
      </c>
      <c r="N992">
        <v>1.25</v>
      </c>
      <c r="O992" s="6">
        <v>100</v>
      </c>
      <c r="P992" s="3">
        <v>0.2</v>
      </c>
      <c r="Q992" t="s">
        <v>6</v>
      </c>
      <c r="R992" s="7">
        <f t="shared" si="45"/>
        <v>125</v>
      </c>
      <c r="S992" s="7">
        <f t="shared" si="46"/>
        <v>25</v>
      </c>
      <c r="T992">
        <f>Table1[[#This Row],[Total price]]-Table1[[#This Row],[Discount Amount]]</f>
        <v>100</v>
      </c>
      <c r="U992">
        <f t="shared" si="47"/>
        <v>10000</v>
      </c>
    </row>
    <row r="993" spans="1:21">
      <c r="A993">
        <v>992</v>
      </c>
      <c r="B993" s="3" t="s">
        <v>1532</v>
      </c>
      <c r="C993" s="3" t="s">
        <v>1541</v>
      </c>
      <c r="D993" s="3" t="s">
        <v>2866</v>
      </c>
      <c r="E993" s="3" t="s">
        <v>3988</v>
      </c>
      <c r="F993" s="3">
        <v>353</v>
      </c>
      <c r="G993" s="4">
        <v>40878.489583333336</v>
      </c>
      <c r="H993" s="3">
        <v>3</v>
      </c>
      <c r="I993" s="5">
        <v>2</v>
      </c>
      <c r="J993" t="s">
        <v>303</v>
      </c>
      <c r="K993" t="s">
        <v>4498</v>
      </c>
      <c r="L993">
        <v>536520</v>
      </c>
      <c r="M993" s="2">
        <v>22904</v>
      </c>
      <c r="N993">
        <v>2.95</v>
      </c>
      <c r="O993" s="6">
        <v>100</v>
      </c>
      <c r="P993" s="3">
        <v>0.2</v>
      </c>
      <c r="Q993" t="s">
        <v>6</v>
      </c>
      <c r="R993" s="7">
        <f t="shared" si="45"/>
        <v>295</v>
      </c>
      <c r="S993" s="7">
        <f t="shared" si="46"/>
        <v>59</v>
      </c>
      <c r="T993">
        <f>Table1[[#This Row],[Total price]]-Table1[[#This Row],[Discount Amount]]</f>
        <v>236</v>
      </c>
      <c r="U993">
        <f t="shared" si="47"/>
        <v>23600</v>
      </c>
    </row>
    <row r="994" spans="1:21">
      <c r="A994">
        <v>993</v>
      </c>
      <c r="B994" s="3" t="s">
        <v>1677</v>
      </c>
      <c r="C994" s="3" t="s">
        <v>1676</v>
      </c>
      <c r="D994" s="3" t="s">
        <v>2866</v>
      </c>
      <c r="E994" s="3" t="s">
        <v>3989</v>
      </c>
      <c r="F994" s="3">
        <v>354</v>
      </c>
      <c r="G994" s="4">
        <v>40878.489583333336</v>
      </c>
      <c r="H994" s="3">
        <v>3</v>
      </c>
      <c r="I994" s="5">
        <v>21</v>
      </c>
      <c r="J994" t="s">
        <v>377</v>
      </c>
      <c r="K994" t="s">
        <v>4498</v>
      </c>
      <c r="L994">
        <v>536520</v>
      </c>
      <c r="M994" s="2">
        <v>22905</v>
      </c>
      <c r="N994">
        <v>2.95</v>
      </c>
      <c r="O994" s="6">
        <v>100</v>
      </c>
      <c r="P994" s="3">
        <v>0.2</v>
      </c>
      <c r="Q994" t="s">
        <v>6</v>
      </c>
      <c r="R994" s="7">
        <f t="shared" si="45"/>
        <v>295</v>
      </c>
      <c r="S994" s="7">
        <f t="shared" si="46"/>
        <v>59</v>
      </c>
      <c r="T994">
        <f>Table1[[#This Row],[Total price]]-Table1[[#This Row],[Discount Amount]]</f>
        <v>236</v>
      </c>
      <c r="U994">
        <f t="shared" si="47"/>
        <v>23600</v>
      </c>
    </row>
    <row r="995" spans="1:21">
      <c r="A995">
        <v>994</v>
      </c>
      <c r="B995" s="3" t="s">
        <v>1675</v>
      </c>
      <c r="C995" s="3" t="s">
        <v>1409</v>
      </c>
      <c r="D995" s="3" t="s">
        <v>2866</v>
      </c>
      <c r="E995" s="3" t="s">
        <v>3990</v>
      </c>
      <c r="F995" s="3">
        <v>354</v>
      </c>
      <c r="G995" s="4">
        <v>40878.489583333336</v>
      </c>
      <c r="H995" s="3">
        <v>3</v>
      </c>
      <c r="I995" s="5">
        <v>19</v>
      </c>
      <c r="J995" t="s">
        <v>75</v>
      </c>
      <c r="K995" t="s">
        <v>4499</v>
      </c>
      <c r="L995">
        <v>536520</v>
      </c>
      <c r="M995" s="2">
        <v>22197</v>
      </c>
      <c r="N995">
        <v>0.85</v>
      </c>
      <c r="O995" s="6">
        <v>100</v>
      </c>
      <c r="P995" s="3">
        <v>0.05</v>
      </c>
      <c r="Q995" t="s">
        <v>6</v>
      </c>
      <c r="R995" s="7">
        <f t="shared" si="45"/>
        <v>85</v>
      </c>
      <c r="S995" s="7">
        <f t="shared" si="46"/>
        <v>4.25</v>
      </c>
      <c r="T995">
        <f>Table1[[#This Row],[Total price]]-Table1[[#This Row],[Discount Amount]]</f>
        <v>80.75</v>
      </c>
      <c r="U995">
        <f t="shared" si="47"/>
        <v>8075</v>
      </c>
    </row>
    <row r="996" spans="1:21">
      <c r="A996">
        <v>995</v>
      </c>
      <c r="B996" s="3" t="s">
        <v>1674</v>
      </c>
      <c r="C996" s="3" t="s">
        <v>1673</v>
      </c>
      <c r="D996" s="3" t="s">
        <v>2866</v>
      </c>
      <c r="E996" s="3" t="s">
        <v>3991</v>
      </c>
      <c r="F996" s="3">
        <v>355</v>
      </c>
      <c r="G996" s="4">
        <v>40878.489583333336</v>
      </c>
      <c r="H996" s="3">
        <v>3</v>
      </c>
      <c r="I996" s="5">
        <v>16</v>
      </c>
      <c r="J996" t="s">
        <v>782</v>
      </c>
      <c r="K996" t="s">
        <v>4499</v>
      </c>
      <c r="L996">
        <v>536520</v>
      </c>
      <c r="M996" s="2">
        <v>22092</v>
      </c>
      <c r="N996">
        <v>1.25</v>
      </c>
      <c r="O996" s="6">
        <v>100</v>
      </c>
      <c r="P996" s="3">
        <v>0.1</v>
      </c>
      <c r="Q996" t="s">
        <v>6</v>
      </c>
      <c r="R996" s="7">
        <f t="shared" si="45"/>
        <v>125</v>
      </c>
      <c r="S996" s="7">
        <f t="shared" si="46"/>
        <v>12.5</v>
      </c>
      <c r="T996">
        <f>Table1[[#This Row],[Total price]]-Table1[[#This Row],[Discount Amount]]</f>
        <v>112.5</v>
      </c>
      <c r="U996">
        <f t="shared" si="47"/>
        <v>11250</v>
      </c>
    </row>
    <row r="997" spans="1:21">
      <c r="A997">
        <v>996</v>
      </c>
      <c r="B997" s="3" t="s">
        <v>1672</v>
      </c>
      <c r="C997" s="3" t="s">
        <v>1296</v>
      </c>
      <c r="D997" s="3" t="s">
        <v>2866</v>
      </c>
      <c r="E997" s="3" t="s">
        <v>3992</v>
      </c>
      <c r="F997" s="3">
        <v>355</v>
      </c>
      <c r="G997" s="4">
        <v>40878.489583333336</v>
      </c>
      <c r="H997" s="3">
        <v>3</v>
      </c>
      <c r="I997" s="5">
        <v>14</v>
      </c>
      <c r="J997" t="s">
        <v>498</v>
      </c>
      <c r="K997" t="s">
        <v>4499</v>
      </c>
      <c r="L997">
        <v>536520</v>
      </c>
      <c r="M997" s="2">
        <v>22469</v>
      </c>
      <c r="N997">
        <v>1.65</v>
      </c>
      <c r="O997" s="6">
        <v>100</v>
      </c>
      <c r="P997" s="3">
        <v>7.0000000000000007E-2</v>
      </c>
      <c r="Q997" t="s">
        <v>6</v>
      </c>
      <c r="R997" s="7">
        <f t="shared" si="45"/>
        <v>165</v>
      </c>
      <c r="S997" s="7">
        <f t="shared" si="46"/>
        <v>11.55</v>
      </c>
      <c r="T997">
        <f>Table1[[#This Row],[Total price]]-Table1[[#This Row],[Discount Amount]]</f>
        <v>153.44999999999999</v>
      </c>
      <c r="U997">
        <f t="shared" si="47"/>
        <v>15344.999999999998</v>
      </c>
    </row>
    <row r="998" spans="1:21">
      <c r="A998">
        <v>997</v>
      </c>
      <c r="B998" s="3" t="s">
        <v>1382</v>
      </c>
      <c r="C998" s="3" t="s">
        <v>1671</v>
      </c>
      <c r="D998" s="3" t="s">
        <v>2866</v>
      </c>
      <c r="E998" s="3" t="s">
        <v>3993</v>
      </c>
      <c r="F998" s="3">
        <v>356</v>
      </c>
      <c r="G998" s="4">
        <v>40878.489583333336</v>
      </c>
      <c r="H998" s="3">
        <v>3</v>
      </c>
      <c r="I998" s="5">
        <v>23</v>
      </c>
      <c r="J998" t="s">
        <v>737</v>
      </c>
      <c r="K998" t="s">
        <v>4499</v>
      </c>
      <c r="L998">
        <v>536520</v>
      </c>
      <c r="M998" s="2">
        <v>22100</v>
      </c>
      <c r="N998">
        <v>1.25</v>
      </c>
      <c r="O998" s="6">
        <v>100</v>
      </c>
      <c r="P998" s="3">
        <v>0.05</v>
      </c>
      <c r="Q998" t="s">
        <v>6</v>
      </c>
      <c r="R998" s="7">
        <f t="shared" si="45"/>
        <v>125</v>
      </c>
      <c r="S998" s="7">
        <f t="shared" si="46"/>
        <v>6.25</v>
      </c>
      <c r="T998">
        <f>Table1[[#This Row],[Total price]]-Table1[[#This Row],[Discount Amount]]</f>
        <v>118.75</v>
      </c>
      <c r="U998">
        <f t="shared" si="47"/>
        <v>11875</v>
      </c>
    </row>
    <row r="999" spans="1:21">
      <c r="A999">
        <v>998</v>
      </c>
      <c r="B999" s="3" t="s">
        <v>1550</v>
      </c>
      <c r="C999" s="3" t="s">
        <v>1670</v>
      </c>
      <c r="D999" s="3" t="s">
        <v>2866</v>
      </c>
      <c r="E999" s="3" t="s">
        <v>3994</v>
      </c>
      <c r="F999" s="3">
        <v>356</v>
      </c>
      <c r="G999" s="4">
        <v>40878.489583333336</v>
      </c>
      <c r="H999" s="3">
        <v>3</v>
      </c>
      <c r="I999" s="5">
        <v>4</v>
      </c>
      <c r="J999" t="s">
        <v>812</v>
      </c>
      <c r="K999" t="s">
        <v>4499</v>
      </c>
      <c r="L999">
        <v>536520</v>
      </c>
      <c r="M999" s="2">
        <v>22096</v>
      </c>
      <c r="N999">
        <v>1.25</v>
      </c>
      <c r="O999" s="6">
        <v>100</v>
      </c>
      <c r="P999" s="3">
        <v>0.05</v>
      </c>
      <c r="Q999" t="s">
        <v>6</v>
      </c>
      <c r="R999" s="7">
        <f t="shared" si="45"/>
        <v>125</v>
      </c>
      <c r="S999" s="7">
        <f t="shared" si="46"/>
        <v>6.25</v>
      </c>
      <c r="T999">
        <f>Table1[[#This Row],[Total price]]-Table1[[#This Row],[Discount Amount]]</f>
        <v>118.75</v>
      </c>
      <c r="U999">
        <f t="shared" si="47"/>
        <v>11875</v>
      </c>
    </row>
    <row r="1000" spans="1:21">
      <c r="A1000">
        <v>999</v>
      </c>
      <c r="B1000" s="3" t="s">
        <v>1669</v>
      </c>
      <c r="C1000" s="3" t="s">
        <v>926</v>
      </c>
      <c r="D1000" s="3" t="s">
        <v>2866</v>
      </c>
      <c r="E1000" s="3" t="s">
        <v>3995</v>
      </c>
      <c r="F1000" s="3">
        <v>356</v>
      </c>
      <c r="G1000" s="4">
        <v>40878.489583333336</v>
      </c>
      <c r="H1000" s="3">
        <v>3</v>
      </c>
      <c r="I1000" s="5">
        <v>13</v>
      </c>
      <c r="J1000" t="s">
        <v>677</v>
      </c>
      <c r="K1000" t="s">
        <v>4498</v>
      </c>
      <c r="L1000">
        <v>536520</v>
      </c>
      <c r="M1000" s="2">
        <v>22583</v>
      </c>
      <c r="N1000">
        <v>2.5499999999999998</v>
      </c>
      <c r="O1000" s="6">
        <v>1</v>
      </c>
      <c r="P1000" s="3">
        <v>0.05</v>
      </c>
      <c r="Q1000" t="s">
        <v>6</v>
      </c>
      <c r="R1000" s="7">
        <f t="shared" si="45"/>
        <v>2.5499999999999998</v>
      </c>
      <c r="S1000" s="7">
        <f t="shared" si="46"/>
        <v>0.1275</v>
      </c>
      <c r="T1000">
        <f>Table1[[#This Row],[Total price]]-Table1[[#This Row],[Discount Amount]]</f>
        <v>2.4224999999999999</v>
      </c>
      <c r="U1000">
        <f t="shared" si="47"/>
        <v>2.4224999999999999</v>
      </c>
    </row>
    <row r="1001" spans="1:21">
      <c r="A1001">
        <v>1000</v>
      </c>
      <c r="B1001" s="3" t="s">
        <v>1182</v>
      </c>
      <c r="C1001" s="3" t="s">
        <v>1110</v>
      </c>
      <c r="D1001" s="3" t="s">
        <v>2866</v>
      </c>
      <c r="E1001" s="3" t="s">
        <v>3996</v>
      </c>
      <c r="F1001" s="3">
        <v>357</v>
      </c>
      <c r="G1001" s="4">
        <v>41244.529861111114</v>
      </c>
      <c r="H1001" s="3">
        <v>3</v>
      </c>
      <c r="I1001" s="5">
        <v>17</v>
      </c>
      <c r="J1001" t="s">
        <v>471</v>
      </c>
      <c r="K1001" t="s">
        <v>4498</v>
      </c>
      <c r="L1001">
        <v>536520</v>
      </c>
      <c r="M1001" s="2">
        <v>21358</v>
      </c>
      <c r="N1001">
        <v>1.25</v>
      </c>
      <c r="O1001" s="6">
        <v>2</v>
      </c>
      <c r="P1001" s="3">
        <v>0.05</v>
      </c>
      <c r="Q1001" t="s">
        <v>6</v>
      </c>
      <c r="R1001" s="7">
        <f t="shared" si="45"/>
        <v>2.5</v>
      </c>
      <c r="S1001" s="7">
        <f t="shared" si="46"/>
        <v>0.125</v>
      </c>
      <c r="T1001">
        <f>Table1[[#This Row],[Total price]]-Table1[[#This Row],[Discount Amount]]</f>
        <v>2.375</v>
      </c>
      <c r="U1001">
        <f t="shared" si="47"/>
        <v>4.75</v>
      </c>
    </row>
    <row r="1002" spans="1:21">
      <c r="A1002">
        <v>1001</v>
      </c>
      <c r="B1002" s="3" t="s">
        <v>907</v>
      </c>
      <c r="C1002" s="3" t="s">
        <v>1256</v>
      </c>
      <c r="D1002" s="3" t="s">
        <v>3997</v>
      </c>
      <c r="E1002" s="3" t="s">
        <v>3998</v>
      </c>
      <c r="F1002" s="3">
        <v>357</v>
      </c>
      <c r="G1002" s="4">
        <v>41244.529861111114</v>
      </c>
      <c r="H1002" s="3">
        <v>3</v>
      </c>
      <c r="I1002" s="5">
        <v>21</v>
      </c>
      <c r="J1002" t="s">
        <v>505</v>
      </c>
      <c r="K1002" t="s">
        <v>4498</v>
      </c>
      <c r="L1002">
        <v>536520</v>
      </c>
      <c r="M1002" s="2">
        <v>21123</v>
      </c>
      <c r="N1002">
        <v>1.25</v>
      </c>
      <c r="O1002" s="6">
        <v>1</v>
      </c>
      <c r="P1002" s="3">
        <v>7.0000000000000007E-2</v>
      </c>
      <c r="Q1002" t="s">
        <v>6</v>
      </c>
      <c r="R1002" s="7">
        <f t="shared" si="45"/>
        <v>1.25</v>
      </c>
      <c r="S1002" s="7">
        <f t="shared" si="46"/>
        <v>8.7500000000000008E-2</v>
      </c>
      <c r="T1002">
        <f>Table1[[#This Row],[Total price]]-Table1[[#This Row],[Discount Amount]]</f>
        <v>1.1625000000000001</v>
      </c>
      <c r="U1002">
        <f t="shared" si="47"/>
        <v>1.1625000000000001</v>
      </c>
    </row>
    <row r="1003" spans="1:21">
      <c r="A1003">
        <v>1002</v>
      </c>
      <c r="B1003" s="3" t="s">
        <v>1668</v>
      </c>
      <c r="C1003" s="3" t="s">
        <v>1667</v>
      </c>
      <c r="D1003" s="3" t="s">
        <v>2866</v>
      </c>
      <c r="E1003" s="3" t="s">
        <v>3999</v>
      </c>
      <c r="F1003" s="3">
        <v>357</v>
      </c>
      <c r="G1003" s="4">
        <v>41244.529861111114</v>
      </c>
      <c r="H1003" s="3">
        <v>4</v>
      </c>
      <c r="I1003" s="5">
        <v>24</v>
      </c>
      <c r="J1003" t="s">
        <v>424</v>
      </c>
      <c r="K1003" t="s">
        <v>4498</v>
      </c>
      <c r="L1003">
        <v>536520</v>
      </c>
      <c r="M1003" s="2">
        <v>21124</v>
      </c>
      <c r="N1003">
        <v>1.25</v>
      </c>
      <c r="O1003" s="6">
        <v>1</v>
      </c>
      <c r="P1003" s="3">
        <v>7.0000000000000007E-2</v>
      </c>
      <c r="Q1003" t="s">
        <v>6</v>
      </c>
      <c r="R1003" s="7">
        <f t="shared" si="45"/>
        <v>1.25</v>
      </c>
      <c r="S1003" s="7">
        <f t="shared" si="46"/>
        <v>8.7500000000000008E-2</v>
      </c>
      <c r="T1003">
        <f>Table1[[#This Row],[Total price]]-Table1[[#This Row],[Discount Amount]]</f>
        <v>1.1625000000000001</v>
      </c>
      <c r="U1003">
        <f t="shared" si="47"/>
        <v>1.1625000000000001</v>
      </c>
    </row>
    <row r="1004" spans="1:21">
      <c r="A1004">
        <v>1003</v>
      </c>
      <c r="B1004" s="3" t="s">
        <v>1666</v>
      </c>
      <c r="C1004" s="3" t="s">
        <v>1108</v>
      </c>
      <c r="D1004" s="3" t="s">
        <v>2866</v>
      </c>
      <c r="E1004" s="3" t="s">
        <v>4000</v>
      </c>
      <c r="F1004" s="3">
        <v>357</v>
      </c>
      <c r="G1004" s="4">
        <v>41244.529861111114</v>
      </c>
      <c r="H1004" s="3">
        <v>4</v>
      </c>
      <c r="I1004" s="5">
        <v>9</v>
      </c>
      <c r="J1004" t="s">
        <v>423</v>
      </c>
      <c r="K1004" t="s">
        <v>4498</v>
      </c>
      <c r="L1004">
        <v>536520</v>
      </c>
      <c r="M1004" s="2">
        <v>21122</v>
      </c>
      <c r="N1004">
        <v>1.25</v>
      </c>
      <c r="O1004" s="6">
        <v>1</v>
      </c>
      <c r="P1004" s="3">
        <v>0.05</v>
      </c>
      <c r="Q1004" t="s">
        <v>6</v>
      </c>
      <c r="R1004" s="7">
        <f t="shared" si="45"/>
        <v>1.25</v>
      </c>
      <c r="S1004" s="7">
        <f t="shared" si="46"/>
        <v>6.25E-2</v>
      </c>
      <c r="T1004">
        <f>Table1[[#This Row],[Total price]]-Table1[[#This Row],[Discount Amount]]</f>
        <v>1.1875</v>
      </c>
      <c r="U1004">
        <f t="shared" si="47"/>
        <v>1.1875</v>
      </c>
    </row>
    <row r="1005" spans="1:21">
      <c r="A1005">
        <v>1004</v>
      </c>
      <c r="B1005" s="3" t="s">
        <v>1665</v>
      </c>
      <c r="C1005" s="3" t="s">
        <v>1664</v>
      </c>
      <c r="D1005" s="3" t="s">
        <v>2866</v>
      </c>
      <c r="E1005" s="3" t="s">
        <v>4001</v>
      </c>
      <c r="F1005" s="3">
        <v>358</v>
      </c>
      <c r="G1005" s="4">
        <v>41244.529861111114</v>
      </c>
      <c r="H1005" s="3">
        <v>4</v>
      </c>
      <c r="I1005" s="5">
        <v>21</v>
      </c>
      <c r="J1005" t="s">
        <v>130</v>
      </c>
      <c r="K1005" t="s">
        <v>4498</v>
      </c>
      <c r="L1005">
        <v>536520</v>
      </c>
      <c r="M1005" s="2">
        <v>84378</v>
      </c>
      <c r="N1005">
        <v>1.25</v>
      </c>
      <c r="O1005" s="6">
        <v>1</v>
      </c>
      <c r="P1005" s="3">
        <v>0.1</v>
      </c>
      <c r="Q1005" t="s">
        <v>6</v>
      </c>
      <c r="R1005" s="7">
        <f t="shared" si="45"/>
        <v>1.25</v>
      </c>
      <c r="S1005" s="7">
        <f t="shared" si="46"/>
        <v>0.125</v>
      </c>
      <c r="T1005">
        <f>Table1[[#This Row],[Total price]]-Table1[[#This Row],[Discount Amount]]</f>
        <v>1.125</v>
      </c>
      <c r="U1005">
        <f t="shared" si="47"/>
        <v>1.125</v>
      </c>
    </row>
    <row r="1006" spans="1:21">
      <c r="A1006">
        <v>1005</v>
      </c>
      <c r="B1006" s="3" t="s">
        <v>1663</v>
      </c>
      <c r="C1006" s="3" t="s">
        <v>1662</v>
      </c>
      <c r="D1006" s="3" t="s">
        <v>2866</v>
      </c>
      <c r="E1006" s="3" t="s">
        <v>4002</v>
      </c>
      <c r="F1006" s="3">
        <v>358</v>
      </c>
      <c r="G1006" s="4">
        <v>41244.529861111114</v>
      </c>
      <c r="H1006" s="3">
        <v>4</v>
      </c>
      <c r="I1006" s="5">
        <v>6</v>
      </c>
      <c r="J1006" t="s">
        <v>391</v>
      </c>
      <c r="K1006" t="s">
        <v>4498</v>
      </c>
      <c r="L1006">
        <v>536520</v>
      </c>
      <c r="M1006" s="2">
        <v>21985</v>
      </c>
      <c r="N1006">
        <v>0.28999999999999998</v>
      </c>
      <c r="O1006" s="6">
        <v>12</v>
      </c>
      <c r="P1006" s="3">
        <v>7.0000000000000007E-2</v>
      </c>
      <c r="Q1006" t="s">
        <v>6</v>
      </c>
      <c r="R1006" s="7">
        <f t="shared" si="45"/>
        <v>3.4799999999999995</v>
      </c>
      <c r="S1006" s="7">
        <f t="shared" si="46"/>
        <v>0.24359999999999998</v>
      </c>
      <c r="T1006">
        <f>Table1[[#This Row],[Total price]]-Table1[[#This Row],[Discount Amount]]</f>
        <v>3.2363999999999997</v>
      </c>
      <c r="U1006">
        <f t="shared" si="47"/>
        <v>38.836799999999997</v>
      </c>
    </row>
    <row r="1007" spans="1:21">
      <c r="A1007">
        <v>1006</v>
      </c>
      <c r="B1007" s="3" t="s">
        <v>1661</v>
      </c>
      <c r="C1007" s="3" t="s">
        <v>1660</v>
      </c>
      <c r="D1007" s="3" t="s">
        <v>2866</v>
      </c>
      <c r="E1007" s="3" t="s">
        <v>4003</v>
      </c>
      <c r="F1007" s="3">
        <v>358</v>
      </c>
      <c r="G1007" s="4">
        <v>41244.529861111114</v>
      </c>
      <c r="H1007" s="3">
        <v>4</v>
      </c>
      <c r="I1007" s="5">
        <v>8</v>
      </c>
      <c r="J1007" t="s">
        <v>696</v>
      </c>
      <c r="K1007" t="s">
        <v>4498</v>
      </c>
      <c r="L1007">
        <v>536520</v>
      </c>
      <c r="M1007" s="2">
        <v>21427</v>
      </c>
      <c r="N1007">
        <v>2.1</v>
      </c>
      <c r="O1007" s="6">
        <v>2</v>
      </c>
      <c r="P1007" s="3">
        <v>0.05</v>
      </c>
      <c r="Q1007" t="s">
        <v>6</v>
      </c>
      <c r="R1007" s="7">
        <f t="shared" si="45"/>
        <v>4.2</v>
      </c>
      <c r="S1007" s="7">
        <f t="shared" si="46"/>
        <v>0.21000000000000002</v>
      </c>
      <c r="T1007">
        <f>Table1[[#This Row],[Total price]]-Table1[[#This Row],[Discount Amount]]</f>
        <v>3.99</v>
      </c>
      <c r="U1007">
        <f t="shared" si="47"/>
        <v>7.98</v>
      </c>
    </row>
    <row r="1008" spans="1:21">
      <c r="A1008">
        <v>1007</v>
      </c>
      <c r="B1008" s="3" t="s">
        <v>1659</v>
      </c>
      <c r="C1008" s="3" t="s">
        <v>1658</v>
      </c>
      <c r="D1008" s="3" t="s">
        <v>2866</v>
      </c>
      <c r="E1008" s="3" t="s">
        <v>4004</v>
      </c>
      <c r="F1008" s="3">
        <v>358</v>
      </c>
      <c r="G1008" s="4">
        <v>41244.529861111114</v>
      </c>
      <c r="H1008" s="3">
        <v>4</v>
      </c>
      <c r="I1008" s="5">
        <v>18</v>
      </c>
      <c r="J1008" t="s">
        <v>148</v>
      </c>
      <c r="K1008" t="s">
        <v>4498</v>
      </c>
      <c r="L1008">
        <v>536520</v>
      </c>
      <c r="M1008" s="2">
        <v>21034</v>
      </c>
      <c r="N1008">
        <v>0.95</v>
      </c>
      <c r="O1008" s="6">
        <v>2</v>
      </c>
      <c r="P1008" s="3">
        <v>0.1</v>
      </c>
      <c r="Q1008" t="s">
        <v>6</v>
      </c>
      <c r="R1008" s="7">
        <f t="shared" si="45"/>
        <v>1.9</v>
      </c>
      <c r="S1008" s="7">
        <f t="shared" si="46"/>
        <v>0.19</v>
      </c>
      <c r="T1008">
        <f>Table1[[#This Row],[Total price]]-Table1[[#This Row],[Discount Amount]]</f>
        <v>1.71</v>
      </c>
      <c r="U1008">
        <f t="shared" si="47"/>
        <v>3.42</v>
      </c>
    </row>
    <row r="1009" spans="1:21">
      <c r="A1009">
        <v>1008</v>
      </c>
      <c r="B1009" s="3" t="s">
        <v>1657</v>
      </c>
      <c r="C1009" s="3" t="s">
        <v>1656</v>
      </c>
      <c r="D1009" s="3" t="s">
        <v>2866</v>
      </c>
      <c r="E1009" s="3" t="s">
        <v>4005</v>
      </c>
      <c r="F1009" s="3">
        <v>359</v>
      </c>
      <c r="G1009" s="4">
        <v>41244.529861111114</v>
      </c>
      <c r="H1009" s="3">
        <v>4</v>
      </c>
      <c r="I1009" s="5">
        <v>15</v>
      </c>
      <c r="J1009" t="s">
        <v>354</v>
      </c>
      <c r="K1009" t="s">
        <v>4498</v>
      </c>
      <c r="L1009">
        <v>536520</v>
      </c>
      <c r="M1009" s="2">
        <v>21930</v>
      </c>
      <c r="N1009">
        <v>1.95</v>
      </c>
      <c r="O1009" s="6">
        <v>1</v>
      </c>
      <c r="P1009" s="3">
        <v>7.0000000000000007E-2</v>
      </c>
      <c r="Q1009" t="s">
        <v>6</v>
      </c>
      <c r="R1009" s="7">
        <f t="shared" si="45"/>
        <v>1.95</v>
      </c>
      <c r="S1009" s="7">
        <f t="shared" si="46"/>
        <v>0.13650000000000001</v>
      </c>
      <c r="T1009">
        <f>Table1[[#This Row],[Total price]]-Table1[[#This Row],[Discount Amount]]</f>
        <v>1.8134999999999999</v>
      </c>
      <c r="U1009">
        <f t="shared" si="47"/>
        <v>1.8134999999999999</v>
      </c>
    </row>
    <row r="1010" spans="1:21">
      <c r="A1010">
        <v>1009</v>
      </c>
      <c r="B1010" s="3" t="s">
        <v>1655</v>
      </c>
      <c r="C1010" s="3" t="s">
        <v>1510</v>
      </c>
      <c r="D1010" s="3" t="s">
        <v>2866</v>
      </c>
      <c r="E1010" s="3" t="s">
        <v>4006</v>
      </c>
      <c r="F1010" s="3">
        <v>359</v>
      </c>
      <c r="G1010" s="4">
        <v>41244.529861111114</v>
      </c>
      <c r="H1010" s="3">
        <v>4</v>
      </c>
      <c r="I1010" s="5">
        <v>9</v>
      </c>
      <c r="J1010" t="s">
        <v>730</v>
      </c>
      <c r="K1010" t="s">
        <v>4498</v>
      </c>
      <c r="L1010">
        <v>536520</v>
      </c>
      <c r="M1010" s="2">
        <v>20772</v>
      </c>
      <c r="N1010">
        <v>2.5499999999999998</v>
      </c>
      <c r="O1010" s="6">
        <v>1</v>
      </c>
      <c r="P1010" s="3">
        <v>7.0000000000000007E-2</v>
      </c>
      <c r="Q1010" t="s">
        <v>6</v>
      </c>
      <c r="R1010" s="7">
        <f t="shared" si="45"/>
        <v>2.5499999999999998</v>
      </c>
      <c r="S1010" s="7">
        <f t="shared" si="46"/>
        <v>0.17849999999999999</v>
      </c>
      <c r="T1010">
        <f>Table1[[#This Row],[Total price]]-Table1[[#This Row],[Discount Amount]]</f>
        <v>2.3714999999999997</v>
      </c>
      <c r="U1010">
        <f t="shared" si="47"/>
        <v>2.3714999999999997</v>
      </c>
    </row>
    <row r="1011" spans="1:21">
      <c r="A1011">
        <v>1010</v>
      </c>
      <c r="B1011" s="3" t="s">
        <v>1654</v>
      </c>
      <c r="C1011" s="3" t="s">
        <v>1504</v>
      </c>
      <c r="D1011" s="3" t="s">
        <v>2866</v>
      </c>
      <c r="E1011" s="3" t="s">
        <v>4007</v>
      </c>
      <c r="F1011" s="3">
        <v>359</v>
      </c>
      <c r="G1011" s="4">
        <v>41244.529861111114</v>
      </c>
      <c r="H1011" s="3">
        <v>3</v>
      </c>
      <c r="I1011" s="5">
        <v>7</v>
      </c>
      <c r="J1011" t="s">
        <v>498</v>
      </c>
      <c r="K1011" t="s">
        <v>4498</v>
      </c>
      <c r="L1011">
        <v>536520</v>
      </c>
      <c r="M1011" s="2">
        <v>22469</v>
      </c>
      <c r="N1011">
        <v>1.65</v>
      </c>
      <c r="O1011" s="6">
        <v>2</v>
      </c>
      <c r="P1011" s="3">
        <v>0.2</v>
      </c>
      <c r="Q1011" t="s">
        <v>6</v>
      </c>
      <c r="R1011" s="7">
        <f t="shared" si="45"/>
        <v>3.3</v>
      </c>
      <c r="S1011" s="7">
        <f t="shared" si="46"/>
        <v>0.66</v>
      </c>
      <c r="T1011">
        <f>Table1[[#This Row],[Total price]]-Table1[[#This Row],[Discount Amount]]</f>
        <v>2.6399999999999997</v>
      </c>
      <c r="U1011">
        <f t="shared" si="47"/>
        <v>5.2799999999999994</v>
      </c>
    </row>
    <row r="1012" spans="1:21">
      <c r="A1012">
        <v>1011</v>
      </c>
      <c r="B1012" s="3" t="s">
        <v>1653</v>
      </c>
      <c r="C1012" s="3" t="s">
        <v>1054</v>
      </c>
      <c r="D1012" s="3" t="s">
        <v>2866</v>
      </c>
      <c r="E1012" s="3" t="s">
        <v>4008</v>
      </c>
      <c r="F1012" s="3">
        <v>360</v>
      </c>
      <c r="G1012" s="4">
        <v>41244.529861111114</v>
      </c>
      <c r="H1012" s="3">
        <v>4</v>
      </c>
      <c r="I1012" s="5">
        <v>26</v>
      </c>
      <c r="J1012" t="s">
        <v>688</v>
      </c>
      <c r="K1012" t="s">
        <v>4498</v>
      </c>
      <c r="L1012">
        <v>536520</v>
      </c>
      <c r="M1012" s="2" t="s">
        <v>687</v>
      </c>
      <c r="N1012">
        <v>0.42</v>
      </c>
      <c r="O1012" s="6">
        <v>12</v>
      </c>
      <c r="P1012" s="3">
        <v>0.05</v>
      </c>
      <c r="Q1012" t="s">
        <v>6</v>
      </c>
      <c r="R1012" s="7">
        <f t="shared" si="45"/>
        <v>5.04</v>
      </c>
      <c r="S1012" s="7">
        <f t="shared" si="46"/>
        <v>0.252</v>
      </c>
      <c r="T1012">
        <f>Table1[[#This Row],[Total price]]-Table1[[#This Row],[Discount Amount]]</f>
        <v>4.7880000000000003</v>
      </c>
      <c r="U1012">
        <f t="shared" si="47"/>
        <v>57.456000000000003</v>
      </c>
    </row>
    <row r="1013" spans="1:21">
      <c r="A1013">
        <v>1012</v>
      </c>
      <c r="B1013" s="3" t="s">
        <v>1652</v>
      </c>
      <c r="C1013" s="3" t="s">
        <v>1265</v>
      </c>
      <c r="D1013" s="3" t="s">
        <v>2866</v>
      </c>
      <c r="E1013" s="3" t="s">
        <v>4009</v>
      </c>
      <c r="F1013" s="3">
        <v>360</v>
      </c>
      <c r="G1013" s="4">
        <v>41244.529861111114</v>
      </c>
      <c r="H1013" s="3">
        <v>4</v>
      </c>
      <c r="I1013" s="5">
        <v>7</v>
      </c>
      <c r="J1013" t="s">
        <v>719</v>
      </c>
      <c r="K1013" t="s">
        <v>4498</v>
      </c>
      <c r="L1013">
        <v>536520</v>
      </c>
      <c r="M1013" s="2" t="s">
        <v>718</v>
      </c>
      <c r="N1013">
        <v>1.45</v>
      </c>
      <c r="O1013" s="6">
        <v>1</v>
      </c>
      <c r="P1013" s="3">
        <v>0.2</v>
      </c>
      <c r="Q1013" t="s">
        <v>6</v>
      </c>
      <c r="R1013" s="7">
        <f t="shared" si="45"/>
        <v>1.45</v>
      </c>
      <c r="S1013" s="7">
        <f t="shared" si="46"/>
        <v>0.28999999999999998</v>
      </c>
      <c r="T1013">
        <f>Table1[[#This Row],[Total price]]-Table1[[#This Row],[Discount Amount]]</f>
        <v>1.1599999999999999</v>
      </c>
      <c r="U1013">
        <f t="shared" si="47"/>
        <v>1.1599999999999999</v>
      </c>
    </row>
    <row r="1014" spans="1:21">
      <c r="A1014">
        <v>1013</v>
      </c>
      <c r="B1014" s="3" t="s">
        <v>1651</v>
      </c>
      <c r="C1014" s="3" t="s">
        <v>1650</v>
      </c>
      <c r="D1014" s="3" t="s">
        <v>2866</v>
      </c>
      <c r="E1014" s="3" t="s">
        <v>4010</v>
      </c>
      <c r="F1014" s="3">
        <v>360</v>
      </c>
      <c r="G1014" s="4">
        <v>41244.529861111114</v>
      </c>
      <c r="H1014" s="3">
        <v>4</v>
      </c>
      <c r="I1014" s="5">
        <v>13</v>
      </c>
      <c r="J1014" t="s">
        <v>249</v>
      </c>
      <c r="K1014" t="s">
        <v>4498</v>
      </c>
      <c r="L1014">
        <v>536520</v>
      </c>
      <c r="M1014" s="2">
        <v>20754</v>
      </c>
      <c r="N1014">
        <v>2.1</v>
      </c>
      <c r="O1014" s="6">
        <v>1</v>
      </c>
      <c r="P1014" s="3">
        <v>0.05</v>
      </c>
      <c r="Q1014" t="s">
        <v>6</v>
      </c>
      <c r="R1014" s="7">
        <f t="shared" si="45"/>
        <v>2.1</v>
      </c>
      <c r="S1014" s="7">
        <f t="shared" si="46"/>
        <v>0.10500000000000001</v>
      </c>
      <c r="T1014">
        <f>Table1[[#This Row],[Total price]]-Table1[[#This Row],[Discount Amount]]</f>
        <v>1.9950000000000001</v>
      </c>
      <c r="U1014">
        <f t="shared" si="47"/>
        <v>1.9950000000000001</v>
      </c>
    </row>
    <row r="1015" spans="1:21">
      <c r="A1015">
        <v>1014</v>
      </c>
      <c r="B1015" s="3" t="s">
        <v>1649</v>
      </c>
      <c r="C1015" s="3" t="s">
        <v>1502</v>
      </c>
      <c r="D1015" s="3" t="s">
        <v>2866</v>
      </c>
      <c r="E1015" s="3" t="s">
        <v>4011</v>
      </c>
      <c r="F1015" s="3">
        <v>360</v>
      </c>
      <c r="G1015" s="4">
        <v>41244.529861111114</v>
      </c>
      <c r="H1015" s="3">
        <v>4</v>
      </c>
      <c r="I1015" s="5">
        <v>25</v>
      </c>
      <c r="J1015" t="s">
        <v>768</v>
      </c>
      <c r="K1015" t="s">
        <v>4498</v>
      </c>
      <c r="L1015">
        <v>536520</v>
      </c>
      <c r="M1015" s="2" t="s">
        <v>767</v>
      </c>
      <c r="N1015">
        <v>1.25</v>
      </c>
      <c r="O1015" s="6">
        <v>1</v>
      </c>
      <c r="P1015" s="3">
        <v>0.1</v>
      </c>
      <c r="Q1015" t="s">
        <v>6</v>
      </c>
      <c r="R1015" s="7">
        <f t="shared" si="45"/>
        <v>1.25</v>
      </c>
      <c r="S1015" s="7">
        <f t="shared" si="46"/>
        <v>0.125</v>
      </c>
      <c r="T1015">
        <f>Table1[[#This Row],[Total price]]-Table1[[#This Row],[Discount Amount]]</f>
        <v>1.125</v>
      </c>
      <c r="U1015">
        <f t="shared" si="47"/>
        <v>1.125</v>
      </c>
    </row>
    <row r="1016" spans="1:21">
      <c r="A1016">
        <v>1015</v>
      </c>
      <c r="B1016" s="3" t="s">
        <v>1648</v>
      </c>
      <c r="C1016" s="3" t="s">
        <v>1024</v>
      </c>
      <c r="D1016" s="3" t="s">
        <v>2866</v>
      </c>
      <c r="E1016" s="3" t="s">
        <v>4012</v>
      </c>
      <c r="F1016" s="3">
        <v>361</v>
      </c>
      <c r="G1016" s="4">
        <v>41244.529861111114</v>
      </c>
      <c r="H1016" s="3">
        <v>4</v>
      </c>
      <c r="I1016" s="5">
        <v>24</v>
      </c>
      <c r="J1016" t="s">
        <v>469</v>
      </c>
      <c r="K1016" t="s">
        <v>4498</v>
      </c>
      <c r="L1016">
        <v>536520</v>
      </c>
      <c r="M1016" s="2">
        <v>21111</v>
      </c>
      <c r="N1016">
        <v>2.95</v>
      </c>
      <c r="O1016" s="6">
        <v>1</v>
      </c>
      <c r="P1016" s="3">
        <v>0.05</v>
      </c>
      <c r="Q1016" t="s">
        <v>6</v>
      </c>
      <c r="R1016" s="7">
        <f t="shared" si="45"/>
        <v>2.95</v>
      </c>
      <c r="S1016" s="7">
        <f t="shared" si="46"/>
        <v>0.14750000000000002</v>
      </c>
      <c r="T1016">
        <f>Table1[[#This Row],[Total price]]-Table1[[#This Row],[Discount Amount]]</f>
        <v>2.8025000000000002</v>
      </c>
      <c r="U1016">
        <f t="shared" si="47"/>
        <v>2.8025000000000002</v>
      </c>
    </row>
    <row r="1017" spans="1:21">
      <c r="A1017">
        <v>1016</v>
      </c>
      <c r="B1017" s="3" t="s">
        <v>1049</v>
      </c>
      <c r="C1017" s="3" t="s">
        <v>920</v>
      </c>
      <c r="D1017" s="3" t="s">
        <v>4013</v>
      </c>
      <c r="E1017" s="3" t="s">
        <v>4014</v>
      </c>
      <c r="F1017" s="3">
        <v>361</v>
      </c>
      <c r="G1017" s="4">
        <v>41244.529861111114</v>
      </c>
      <c r="H1017" s="3">
        <v>4</v>
      </c>
      <c r="I1017" s="5">
        <v>6</v>
      </c>
      <c r="J1017" t="s">
        <v>477</v>
      </c>
      <c r="K1017" t="s">
        <v>4498</v>
      </c>
      <c r="L1017">
        <v>536520</v>
      </c>
      <c r="M1017" s="2">
        <v>22501</v>
      </c>
      <c r="N1017">
        <v>9.9499999999999993</v>
      </c>
      <c r="O1017" s="6">
        <v>1</v>
      </c>
      <c r="P1017" s="3">
        <v>0.1</v>
      </c>
      <c r="Q1017" t="s">
        <v>6</v>
      </c>
      <c r="R1017" s="7">
        <f t="shared" si="45"/>
        <v>9.9499999999999993</v>
      </c>
      <c r="S1017" s="7">
        <f t="shared" si="46"/>
        <v>0.995</v>
      </c>
      <c r="T1017">
        <f>Table1[[#This Row],[Total price]]-Table1[[#This Row],[Discount Amount]]</f>
        <v>8.9550000000000001</v>
      </c>
      <c r="U1017">
        <f t="shared" si="47"/>
        <v>8.9550000000000001</v>
      </c>
    </row>
    <row r="1018" spans="1:21">
      <c r="A1018">
        <v>1017</v>
      </c>
      <c r="B1018" s="3" t="s">
        <v>1647</v>
      </c>
      <c r="C1018" s="3" t="s">
        <v>1646</v>
      </c>
      <c r="D1018" s="3" t="s">
        <v>4015</v>
      </c>
      <c r="E1018" s="3" t="s">
        <v>4016</v>
      </c>
      <c r="F1018" s="3">
        <v>361</v>
      </c>
      <c r="G1018" s="4">
        <v>41244.529861111114</v>
      </c>
      <c r="H1018" s="3">
        <v>4</v>
      </c>
      <c r="I1018" s="5">
        <v>11</v>
      </c>
      <c r="J1018" t="s">
        <v>126</v>
      </c>
      <c r="K1018" t="s">
        <v>4498</v>
      </c>
      <c r="L1018">
        <v>536521</v>
      </c>
      <c r="M1018" s="2">
        <v>22854</v>
      </c>
      <c r="N1018">
        <v>4.95</v>
      </c>
      <c r="O1018" s="6">
        <v>1</v>
      </c>
      <c r="P1018" s="3">
        <v>0.1</v>
      </c>
      <c r="Q1018" t="s">
        <v>6</v>
      </c>
      <c r="R1018" s="7">
        <f t="shared" si="45"/>
        <v>4.95</v>
      </c>
      <c r="S1018" s="7">
        <f t="shared" si="46"/>
        <v>0.49500000000000005</v>
      </c>
      <c r="T1018">
        <f>Table1[[#This Row],[Total price]]-Table1[[#This Row],[Discount Amount]]</f>
        <v>4.4550000000000001</v>
      </c>
      <c r="U1018">
        <f t="shared" si="47"/>
        <v>4.4550000000000001</v>
      </c>
    </row>
    <row r="1019" spans="1:21">
      <c r="A1019">
        <v>1018</v>
      </c>
      <c r="B1019" s="3" t="s">
        <v>1645</v>
      </c>
      <c r="C1019" s="3" t="s">
        <v>1029</v>
      </c>
      <c r="D1019" s="3" t="s">
        <v>2866</v>
      </c>
      <c r="E1019" s="3" t="s">
        <v>4017</v>
      </c>
      <c r="F1019" s="3">
        <v>362</v>
      </c>
      <c r="G1019" s="4">
        <v>41244.529861111114</v>
      </c>
      <c r="H1019" s="3">
        <v>4</v>
      </c>
      <c r="I1019" s="5">
        <v>2</v>
      </c>
      <c r="J1019" t="s">
        <v>211</v>
      </c>
      <c r="K1019" t="s">
        <v>4498</v>
      </c>
      <c r="L1019">
        <v>536522</v>
      </c>
      <c r="M1019" s="2" t="s">
        <v>210</v>
      </c>
      <c r="N1019">
        <v>3.75</v>
      </c>
      <c r="O1019" s="6">
        <v>1</v>
      </c>
      <c r="P1019" s="3">
        <v>7.0000000000000007E-2</v>
      </c>
      <c r="Q1019" t="s">
        <v>6</v>
      </c>
      <c r="R1019" s="7">
        <f t="shared" si="45"/>
        <v>3.75</v>
      </c>
      <c r="S1019" s="7">
        <f t="shared" si="46"/>
        <v>0.26250000000000001</v>
      </c>
      <c r="T1019">
        <f>Table1[[#This Row],[Total price]]-Table1[[#This Row],[Discount Amount]]</f>
        <v>3.4874999999999998</v>
      </c>
      <c r="U1019">
        <f t="shared" si="47"/>
        <v>3.4874999999999998</v>
      </c>
    </row>
    <row r="1020" spans="1:21">
      <c r="A1020">
        <v>1019</v>
      </c>
      <c r="B1020" s="3" t="s">
        <v>1644</v>
      </c>
      <c r="C1020" s="3" t="s">
        <v>1643</v>
      </c>
      <c r="D1020" s="3" t="s">
        <v>2866</v>
      </c>
      <c r="E1020" s="3" t="s">
        <v>4018</v>
      </c>
      <c r="F1020" s="3">
        <v>363</v>
      </c>
      <c r="G1020" s="4">
        <v>41244.529861111114</v>
      </c>
      <c r="H1020" s="3">
        <v>4</v>
      </c>
      <c r="I1020" s="5">
        <v>21</v>
      </c>
      <c r="J1020" t="s">
        <v>186</v>
      </c>
      <c r="K1020" t="s">
        <v>4498</v>
      </c>
      <c r="L1020">
        <v>536522</v>
      </c>
      <c r="M1020" s="2" t="s">
        <v>185</v>
      </c>
      <c r="N1020">
        <v>2.1</v>
      </c>
      <c r="O1020" s="6">
        <v>1</v>
      </c>
      <c r="P1020" s="3">
        <v>0.1</v>
      </c>
      <c r="Q1020" t="s">
        <v>6</v>
      </c>
      <c r="R1020" s="7">
        <f t="shared" si="45"/>
        <v>2.1</v>
      </c>
      <c r="S1020" s="7">
        <f t="shared" si="46"/>
        <v>0.21000000000000002</v>
      </c>
      <c r="T1020">
        <f>Table1[[#This Row],[Total price]]-Table1[[#This Row],[Discount Amount]]</f>
        <v>1.8900000000000001</v>
      </c>
      <c r="U1020">
        <f t="shared" si="47"/>
        <v>1.8900000000000001</v>
      </c>
    </row>
    <row r="1021" spans="1:21">
      <c r="A1021">
        <v>1020</v>
      </c>
      <c r="B1021" s="3" t="s">
        <v>1642</v>
      </c>
      <c r="C1021" s="3" t="s">
        <v>1641</v>
      </c>
      <c r="D1021" s="3" t="s">
        <v>2866</v>
      </c>
      <c r="E1021" s="3" t="s">
        <v>4019</v>
      </c>
      <c r="F1021" s="3">
        <v>363</v>
      </c>
      <c r="G1021" s="4">
        <v>41244.529861111114</v>
      </c>
      <c r="H1021" s="3">
        <v>3</v>
      </c>
      <c r="I1021" s="5">
        <v>14</v>
      </c>
      <c r="J1021" t="s">
        <v>188</v>
      </c>
      <c r="K1021" t="s">
        <v>4498</v>
      </c>
      <c r="L1021">
        <v>536522</v>
      </c>
      <c r="M1021" s="2" t="s">
        <v>187</v>
      </c>
      <c r="N1021">
        <v>2.1</v>
      </c>
      <c r="O1021" s="6">
        <v>1</v>
      </c>
      <c r="P1021" s="3">
        <v>7.0000000000000007E-2</v>
      </c>
      <c r="Q1021" t="s">
        <v>6</v>
      </c>
      <c r="R1021" s="7">
        <f t="shared" si="45"/>
        <v>2.1</v>
      </c>
      <c r="S1021" s="7">
        <f t="shared" si="46"/>
        <v>0.14700000000000002</v>
      </c>
      <c r="T1021">
        <f>Table1[[#This Row],[Total price]]-Table1[[#This Row],[Discount Amount]]</f>
        <v>1.9530000000000001</v>
      </c>
      <c r="U1021">
        <f t="shared" si="47"/>
        <v>1.9530000000000001</v>
      </c>
    </row>
    <row r="1022" spans="1:21">
      <c r="A1022">
        <v>1021</v>
      </c>
      <c r="B1022" s="3" t="s">
        <v>1640</v>
      </c>
      <c r="C1022" s="3" t="s">
        <v>1639</v>
      </c>
      <c r="D1022" s="3" t="s">
        <v>2866</v>
      </c>
      <c r="E1022" s="3" t="s">
        <v>4020</v>
      </c>
      <c r="F1022" s="3">
        <v>363</v>
      </c>
      <c r="G1022" s="4">
        <v>41244.529861111114</v>
      </c>
      <c r="H1022" s="3">
        <v>4</v>
      </c>
      <c r="I1022" s="5">
        <v>15</v>
      </c>
      <c r="J1022" t="s">
        <v>228</v>
      </c>
      <c r="K1022" t="s">
        <v>4498</v>
      </c>
      <c r="L1022">
        <v>536522</v>
      </c>
      <c r="M1022" s="2">
        <v>22749</v>
      </c>
      <c r="N1022">
        <v>3.75</v>
      </c>
      <c r="O1022" s="6">
        <v>1</v>
      </c>
      <c r="P1022" s="3">
        <v>0.1</v>
      </c>
      <c r="Q1022" t="s">
        <v>6</v>
      </c>
      <c r="R1022" s="7">
        <f t="shared" si="45"/>
        <v>3.75</v>
      </c>
      <c r="S1022" s="7">
        <f t="shared" si="46"/>
        <v>0.375</v>
      </c>
      <c r="T1022">
        <f>Table1[[#This Row],[Total price]]-Table1[[#This Row],[Discount Amount]]</f>
        <v>3.375</v>
      </c>
      <c r="U1022">
        <f t="shared" si="47"/>
        <v>3.375</v>
      </c>
    </row>
    <row r="1023" spans="1:21">
      <c r="A1023">
        <v>1022</v>
      </c>
      <c r="B1023" s="3" t="s">
        <v>1638</v>
      </c>
      <c r="C1023" s="3" t="s">
        <v>1551</v>
      </c>
      <c r="D1023" s="3" t="s">
        <v>2866</v>
      </c>
      <c r="E1023" s="3" t="s">
        <v>4021</v>
      </c>
      <c r="F1023" s="3">
        <v>363</v>
      </c>
      <c r="G1023" s="4">
        <v>41244.529861111114</v>
      </c>
      <c r="H1023" s="3">
        <v>4</v>
      </c>
      <c r="I1023" s="5">
        <v>20</v>
      </c>
      <c r="J1023" t="s">
        <v>271</v>
      </c>
      <c r="K1023" t="s">
        <v>4498</v>
      </c>
      <c r="L1023">
        <v>536522</v>
      </c>
      <c r="M1023" s="2">
        <v>20972</v>
      </c>
      <c r="N1023">
        <v>1.25</v>
      </c>
      <c r="O1023" s="6">
        <v>1</v>
      </c>
      <c r="P1023" s="3">
        <v>0.2</v>
      </c>
      <c r="Q1023" t="s">
        <v>6</v>
      </c>
      <c r="R1023" s="7">
        <f t="shared" si="45"/>
        <v>1.25</v>
      </c>
      <c r="S1023" s="7">
        <f t="shared" si="46"/>
        <v>0.25</v>
      </c>
      <c r="T1023">
        <f>Table1[[#This Row],[Total price]]-Table1[[#This Row],[Discount Amount]]</f>
        <v>1</v>
      </c>
      <c r="U1023">
        <f t="shared" si="47"/>
        <v>1</v>
      </c>
    </row>
    <row r="1024" spans="1:21">
      <c r="A1024">
        <v>1023</v>
      </c>
      <c r="B1024" s="3" t="s">
        <v>1637</v>
      </c>
      <c r="C1024" s="3" t="s">
        <v>1636</v>
      </c>
      <c r="D1024" s="3" t="s">
        <v>2866</v>
      </c>
      <c r="E1024" s="3" t="s">
        <v>4022</v>
      </c>
      <c r="F1024" s="3">
        <v>364</v>
      </c>
      <c r="G1024" s="4">
        <v>41244.529861111114</v>
      </c>
      <c r="H1024" s="3">
        <v>4</v>
      </c>
      <c r="I1024" s="5">
        <v>25</v>
      </c>
      <c r="J1024" t="s">
        <v>521</v>
      </c>
      <c r="K1024" t="s">
        <v>4498</v>
      </c>
      <c r="L1024">
        <v>536522</v>
      </c>
      <c r="M1024" s="2">
        <v>22569</v>
      </c>
      <c r="N1024">
        <v>3.75</v>
      </c>
      <c r="O1024" s="6">
        <v>1</v>
      </c>
      <c r="P1024" s="3">
        <v>0.05</v>
      </c>
      <c r="Q1024" t="s">
        <v>6</v>
      </c>
      <c r="R1024" s="7">
        <f t="shared" si="45"/>
        <v>3.75</v>
      </c>
      <c r="S1024" s="7">
        <f t="shared" si="46"/>
        <v>0.1875</v>
      </c>
      <c r="T1024">
        <f>Table1[[#This Row],[Total price]]-Table1[[#This Row],[Discount Amount]]</f>
        <v>3.5625</v>
      </c>
      <c r="U1024">
        <f t="shared" si="47"/>
        <v>3.5625</v>
      </c>
    </row>
    <row r="1025" spans="1:21">
      <c r="A1025">
        <v>1024</v>
      </c>
      <c r="B1025" s="3" t="s">
        <v>1635</v>
      </c>
      <c r="C1025" s="3" t="s">
        <v>1634</v>
      </c>
      <c r="D1025" s="3" t="s">
        <v>4023</v>
      </c>
      <c r="E1025" s="3" t="s">
        <v>4024</v>
      </c>
      <c r="F1025" s="3">
        <v>365</v>
      </c>
      <c r="G1025" s="4">
        <v>41244.529861111114</v>
      </c>
      <c r="H1025" s="3">
        <v>4</v>
      </c>
      <c r="I1025" s="5">
        <v>24</v>
      </c>
      <c r="J1025" t="s">
        <v>501</v>
      </c>
      <c r="K1025" t="s">
        <v>4498</v>
      </c>
      <c r="L1025">
        <v>536522</v>
      </c>
      <c r="M1025" s="2">
        <v>21041</v>
      </c>
      <c r="N1025">
        <v>2.95</v>
      </c>
      <c r="O1025" s="6">
        <v>1</v>
      </c>
      <c r="P1025" s="3">
        <v>7.0000000000000007E-2</v>
      </c>
      <c r="Q1025" t="s">
        <v>6</v>
      </c>
      <c r="R1025" s="7">
        <f t="shared" si="45"/>
        <v>2.95</v>
      </c>
      <c r="S1025" s="7">
        <f t="shared" si="46"/>
        <v>0.20650000000000004</v>
      </c>
      <c r="T1025">
        <f>Table1[[#This Row],[Total price]]-Table1[[#This Row],[Discount Amount]]</f>
        <v>2.7435</v>
      </c>
      <c r="U1025">
        <f t="shared" si="47"/>
        <v>2.7435</v>
      </c>
    </row>
    <row r="1026" spans="1:21">
      <c r="A1026">
        <v>1025</v>
      </c>
      <c r="B1026" s="3" t="s">
        <v>1633</v>
      </c>
      <c r="C1026" s="3" t="s">
        <v>1632</v>
      </c>
      <c r="D1026" s="3" t="s">
        <v>2866</v>
      </c>
      <c r="E1026" s="3" t="s">
        <v>4025</v>
      </c>
      <c r="F1026" s="3">
        <v>366</v>
      </c>
      <c r="G1026" s="4">
        <v>41244.529861111114</v>
      </c>
      <c r="H1026" s="3">
        <v>4</v>
      </c>
      <c r="I1026" s="5">
        <v>21</v>
      </c>
      <c r="J1026" t="s">
        <v>281</v>
      </c>
      <c r="K1026" t="s">
        <v>4498</v>
      </c>
      <c r="L1026">
        <v>536522</v>
      </c>
      <c r="M1026" s="2">
        <v>21664</v>
      </c>
      <c r="N1026">
        <v>3.75</v>
      </c>
      <c r="O1026" s="6">
        <v>2</v>
      </c>
      <c r="P1026" s="3">
        <v>0.1</v>
      </c>
      <c r="Q1026" t="s">
        <v>6</v>
      </c>
      <c r="R1026" s="7">
        <f t="shared" si="45"/>
        <v>7.5</v>
      </c>
      <c r="S1026" s="7">
        <f t="shared" si="46"/>
        <v>0.75</v>
      </c>
      <c r="T1026">
        <f>Table1[[#This Row],[Total price]]-Table1[[#This Row],[Discount Amount]]</f>
        <v>6.75</v>
      </c>
      <c r="U1026">
        <f t="shared" si="47"/>
        <v>13.5</v>
      </c>
    </row>
    <row r="1027" spans="1:21">
      <c r="A1027">
        <v>1026</v>
      </c>
      <c r="B1027" s="3" t="s">
        <v>1631</v>
      </c>
      <c r="C1027" s="3" t="s">
        <v>1200</v>
      </c>
      <c r="D1027" s="3" t="s">
        <v>2866</v>
      </c>
      <c r="E1027" s="3" t="s">
        <v>4026</v>
      </c>
      <c r="F1027" s="3">
        <v>366</v>
      </c>
      <c r="G1027" s="4">
        <v>41244.529861111114</v>
      </c>
      <c r="H1027" s="3">
        <v>4</v>
      </c>
      <c r="I1027" s="5">
        <v>4</v>
      </c>
      <c r="J1027" t="s">
        <v>574</v>
      </c>
      <c r="K1027" t="s">
        <v>4498</v>
      </c>
      <c r="L1027">
        <v>536522</v>
      </c>
      <c r="M1027" s="2">
        <v>84969</v>
      </c>
      <c r="N1027">
        <v>4.25</v>
      </c>
      <c r="O1027" s="6">
        <v>1</v>
      </c>
      <c r="P1027" s="3">
        <v>7.0000000000000007E-2</v>
      </c>
      <c r="Q1027" t="s">
        <v>6</v>
      </c>
      <c r="R1027" s="7">
        <f t="shared" ref="R1027:R1090" si="48">N1027*O1027</f>
        <v>4.25</v>
      </c>
      <c r="S1027" s="7">
        <f t="shared" ref="S1027:S1090" si="49">R1027*P1027</f>
        <v>0.29750000000000004</v>
      </c>
      <c r="T1027">
        <f>Table1[[#This Row],[Total price]]-Table1[[#This Row],[Discount Amount]]</f>
        <v>3.9525000000000001</v>
      </c>
      <c r="U1027">
        <f t="shared" ref="U1027:U1090" si="50">T1027*O1027</f>
        <v>3.9525000000000001</v>
      </c>
    </row>
    <row r="1028" spans="1:21">
      <c r="A1028">
        <v>1027</v>
      </c>
      <c r="B1028" s="3" t="s">
        <v>1630</v>
      </c>
      <c r="C1028" s="3" t="s">
        <v>1629</v>
      </c>
      <c r="D1028" s="3" t="s">
        <v>2866</v>
      </c>
      <c r="E1028" s="3" t="s">
        <v>4027</v>
      </c>
      <c r="F1028" s="3">
        <v>366</v>
      </c>
      <c r="G1028" s="4">
        <v>41244.529861111114</v>
      </c>
      <c r="H1028" s="3">
        <v>4</v>
      </c>
      <c r="I1028" s="5">
        <v>16</v>
      </c>
      <c r="J1028" t="s">
        <v>128</v>
      </c>
      <c r="K1028" t="s">
        <v>4498</v>
      </c>
      <c r="L1028">
        <v>536522</v>
      </c>
      <c r="M1028" s="2">
        <v>22907</v>
      </c>
      <c r="N1028">
        <v>0.85</v>
      </c>
      <c r="O1028" s="6">
        <v>1</v>
      </c>
      <c r="P1028" s="3">
        <v>0.2</v>
      </c>
      <c r="Q1028" t="s">
        <v>6</v>
      </c>
      <c r="R1028" s="7">
        <f t="shared" si="48"/>
        <v>0.85</v>
      </c>
      <c r="S1028" s="7">
        <f t="shared" si="49"/>
        <v>0.17</v>
      </c>
      <c r="T1028">
        <f>Table1[[#This Row],[Total price]]-Table1[[#This Row],[Discount Amount]]</f>
        <v>0.67999999999999994</v>
      </c>
      <c r="U1028">
        <f t="shared" si="50"/>
        <v>0.67999999999999994</v>
      </c>
    </row>
    <row r="1029" spans="1:21">
      <c r="A1029">
        <v>1028</v>
      </c>
      <c r="B1029" s="3" t="s">
        <v>1628</v>
      </c>
      <c r="C1029" s="3" t="s">
        <v>1212</v>
      </c>
      <c r="D1029" s="3" t="s">
        <v>2866</v>
      </c>
      <c r="E1029" s="3" t="s">
        <v>4028</v>
      </c>
      <c r="F1029" s="3">
        <v>367</v>
      </c>
      <c r="G1029" s="4">
        <v>41244.529861111114</v>
      </c>
      <c r="H1029" s="3">
        <v>4</v>
      </c>
      <c r="I1029" s="5">
        <v>26</v>
      </c>
      <c r="J1029" t="s">
        <v>27</v>
      </c>
      <c r="K1029" t="s">
        <v>4498</v>
      </c>
      <c r="L1029">
        <v>536522</v>
      </c>
      <c r="M1029" s="2">
        <v>22865</v>
      </c>
      <c r="N1029">
        <v>2.1</v>
      </c>
      <c r="O1029" s="6">
        <v>2</v>
      </c>
      <c r="P1029" s="3">
        <v>0.1</v>
      </c>
      <c r="Q1029" t="s">
        <v>6</v>
      </c>
      <c r="R1029" s="7">
        <f t="shared" si="48"/>
        <v>4.2</v>
      </c>
      <c r="S1029" s="7">
        <f t="shared" si="49"/>
        <v>0.42000000000000004</v>
      </c>
      <c r="T1029">
        <f>Table1[[#This Row],[Total price]]-Table1[[#This Row],[Discount Amount]]</f>
        <v>3.7800000000000002</v>
      </c>
      <c r="U1029">
        <f t="shared" si="50"/>
        <v>7.5600000000000005</v>
      </c>
    </row>
    <row r="1030" spans="1:21">
      <c r="A1030">
        <v>1029</v>
      </c>
      <c r="B1030" s="3" t="s">
        <v>1627</v>
      </c>
      <c r="C1030" s="3" t="s">
        <v>1278</v>
      </c>
      <c r="D1030" s="3" t="s">
        <v>2866</v>
      </c>
      <c r="E1030" s="3" t="s">
        <v>4029</v>
      </c>
      <c r="F1030" s="3">
        <v>367</v>
      </c>
      <c r="G1030" s="4">
        <v>41244.529861111114</v>
      </c>
      <c r="H1030" s="3">
        <v>4</v>
      </c>
      <c r="I1030" s="5">
        <v>14</v>
      </c>
      <c r="J1030" t="s">
        <v>158</v>
      </c>
      <c r="K1030" t="s">
        <v>4498</v>
      </c>
      <c r="L1030">
        <v>536522</v>
      </c>
      <c r="M1030" s="2">
        <v>22866</v>
      </c>
      <c r="N1030">
        <v>2.1</v>
      </c>
      <c r="O1030" s="6">
        <v>1</v>
      </c>
      <c r="P1030" s="3">
        <v>0.05</v>
      </c>
      <c r="Q1030" t="s">
        <v>6</v>
      </c>
      <c r="R1030" s="7">
        <f t="shared" si="48"/>
        <v>2.1</v>
      </c>
      <c r="S1030" s="7">
        <f t="shared" si="49"/>
        <v>0.10500000000000001</v>
      </c>
      <c r="T1030">
        <f>Table1[[#This Row],[Total price]]-Table1[[#This Row],[Discount Amount]]</f>
        <v>1.9950000000000001</v>
      </c>
      <c r="U1030">
        <f t="shared" si="50"/>
        <v>1.9950000000000001</v>
      </c>
    </row>
    <row r="1031" spans="1:21">
      <c r="A1031">
        <v>1030</v>
      </c>
      <c r="B1031" s="3" t="s">
        <v>1626</v>
      </c>
      <c r="C1031" s="3" t="s">
        <v>1214</v>
      </c>
      <c r="D1031" s="3" t="s">
        <v>2866</v>
      </c>
      <c r="E1031" s="3" t="s">
        <v>4030</v>
      </c>
      <c r="F1031" s="3">
        <v>367</v>
      </c>
      <c r="G1031" s="4">
        <v>41244.529861111114</v>
      </c>
      <c r="H1031" s="3">
        <v>4</v>
      </c>
      <c r="I1031" s="5">
        <v>10</v>
      </c>
      <c r="J1031" t="s">
        <v>26</v>
      </c>
      <c r="K1031" t="s">
        <v>4498</v>
      </c>
      <c r="L1031">
        <v>536522</v>
      </c>
      <c r="M1031" s="2">
        <v>22632</v>
      </c>
      <c r="N1031">
        <v>2.1</v>
      </c>
      <c r="O1031" s="6">
        <v>2</v>
      </c>
      <c r="P1031" s="3">
        <v>0.05</v>
      </c>
      <c r="Q1031" t="s">
        <v>6</v>
      </c>
      <c r="R1031" s="7">
        <f t="shared" si="48"/>
        <v>4.2</v>
      </c>
      <c r="S1031" s="7">
        <f t="shared" si="49"/>
        <v>0.21000000000000002</v>
      </c>
      <c r="T1031">
        <f>Table1[[#This Row],[Total price]]-Table1[[#This Row],[Discount Amount]]</f>
        <v>3.99</v>
      </c>
      <c r="U1031">
        <f t="shared" si="50"/>
        <v>7.98</v>
      </c>
    </row>
    <row r="1032" spans="1:21">
      <c r="A1032">
        <v>1031</v>
      </c>
      <c r="B1032" s="3" t="s">
        <v>1625</v>
      </c>
      <c r="C1032" s="3" t="s">
        <v>1624</v>
      </c>
      <c r="D1032" s="3" t="s">
        <v>2866</v>
      </c>
      <c r="E1032" s="3" t="s">
        <v>4031</v>
      </c>
      <c r="F1032" s="3">
        <v>368</v>
      </c>
      <c r="G1032" s="4">
        <v>41244.529861111114</v>
      </c>
      <c r="H1032" s="3">
        <v>4</v>
      </c>
      <c r="I1032" s="5">
        <v>5</v>
      </c>
      <c r="J1032" t="s">
        <v>30</v>
      </c>
      <c r="K1032" t="s">
        <v>4498</v>
      </c>
      <c r="L1032">
        <v>536522</v>
      </c>
      <c r="M1032" s="2">
        <v>22776</v>
      </c>
      <c r="N1032">
        <v>9.9499999999999993</v>
      </c>
      <c r="O1032" s="6">
        <v>1</v>
      </c>
      <c r="P1032" s="3">
        <v>0.2</v>
      </c>
      <c r="Q1032" t="s">
        <v>6</v>
      </c>
      <c r="R1032" s="7">
        <f t="shared" si="48"/>
        <v>9.9499999999999993</v>
      </c>
      <c r="S1032" s="7">
        <f t="shared" si="49"/>
        <v>1.99</v>
      </c>
      <c r="T1032">
        <f>Table1[[#This Row],[Total price]]-Table1[[#This Row],[Discount Amount]]</f>
        <v>7.9599999999999991</v>
      </c>
      <c r="U1032">
        <f t="shared" si="50"/>
        <v>7.9599999999999991</v>
      </c>
    </row>
    <row r="1033" spans="1:21">
      <c r="A1033">
        <v>1032</v>
      </c>
      <c r="B1033" s="3" t="s">
        <v>1623</v>
      </c>
      <c r="C1033" s="3" t="s">
        <v>1622</v>
      </c>
      <c r="D1033" s="3" t="s">
        <v>2866</v>
      </c>
      <c r="E1033" s="3" t="s">
        <v>4032</v>
      </c>
      <c r="F1033" s="3">
        <v>368</v>
      </c>
      <c r="G1033" s="4">
        <v>41244.529861111114</v>
      </c>
      <c r="H1033" s="3">
        <v>4</v>
      </c>
      <c r="I1033" s="5">
        <v>10</v>
      </c>
      <c r="J1033" t="s">
        <v>545</v>
      </c>
      <c r="K1033" t="s">
        <v>4498</v>
      </c>
      <c r="L1033">
        <v>536522</v>
      </c>
      <c r="M1033" s="2">
        <v>22338</v>
      </c>
      <c r="N1033">
        <v>0.65</v>
      </c>
      <c r="O1033" s="6">
        <v>2</v>
      </c>
      <c r="P1033" s="3">
        <v>0.2</v>
      </c>
      <c r="Q1033" t="s">
        <v>6</v>
      </c>
      <c r="R1033" s="7">
        <f t="shared" si="48"/>
        <v>1.3</v>
      </c>
      <c r="S1033" s="7">
        <f t="shared" si="49"/>
        <v>0.26</v>
      </c>
      <c r="T1033">
        <f>Table1[[#This Row],[Total price]]-Table1[[#This Row],[Discount Amount]]</f>
        <v>1.04</v>
      </c>
      <c r="U1033">
        <f t="shared" si="50"/>
        <v>2.08</v>
      </c>
    </row>
    <row r="1034" spans="1:21">
      <c r="A1034">
        <v>1033</v>
      </c>
      <c r="B1034" s="3" t="s">
        <v>1621</v>
      </c>
      <c r="C1034" s="3" t="s">
        <v>1620</v>
      </c>
      <c r="D1034" s="3" t="s">
        <v>2866</v>
      </c>
      <c r="E1034" s="3" t="s">
        <v>4033</v>
      </c>
      <c r="F1034" s="3">
        <v>368</v>
      </c>
      <c r="G1034" s="4">
        <v>41244.529861111114</v>
      </c>
      <c r="H1034" s="3">
        <v>4</v>
      </c>
      <c r="I1034" s="5">
        <v>21</v>
      </c>
      <c r="J1034" t="s">
        <v>434</v>
      </c>
      <c r="K1034" t="s">
        <v>4498</v>
      </c>
      <c r="L1034">
        <v>536522</v>
      </c>
      <c r="M1034" s="2">
        <v>21810</v>
      </c>
      <c r="N1034">
        <v>1.25</v>
      </c>
      <c r="O1034" s="6">
        <v>2</v>
      </c>
      <c r="P1034" s="3">
        <v>0.1</v>
      </c>
      <c r="Q1034" t="s">
        <v>6</v>
      </c>
      <c r="R1034" s="7">
        <f t="shared" si="48"/>
        <v>2.5</v>
      </c>
      <c r="S1034" s="7">
        <f t="shared" si="49"/>
        <v>0.25</v>
      </c>
      <c r="T1034">
        <f>Table1[[#This Row],[Total price]]-Table1[[#This Row],[Discount Amount]]</f>
        <v>2.25</v>
      </c>
      <c r="U1034">
        <f t="shared" si="50"/>
        <v>4.5</v>
      </c>
    </row>
    <row r="1035" spans="1:21">
      <c r="A1035">
        <v>1034</v>
      </c>
      <c r="B1035" s="3" t="s">
        <v>1619</v>
      </c>
      <c r="C1035" s="3" t="s">
        <v>1618</v>
      </c>
      <c r="D1035" s="3" t="s">
        <v>2866</v>
      </c>
      <c r="E1035" s="3" t="s">
        <v>4034</v>
      </c>
      <c r="F1035" s="3">
        <v>368</v>
      </c>
      <c r="G1035" s="4">
        <v>41244.529861111114</v>
      </c>
      <c r="H1035" s="3">
        <v>4</v>
      </c>
      <c r="I1035" s="5">
        <v>19</v>
      </c>
      <c r="J1035" t="s">
        <v>253</v>
      </c>
      <c r="K1035" t="s">
        <v>4498</v>
      </c>
      <c r="L1035">
        <v>536522</v>
      </c>
      <c r="M1035" s="2">
        <v>22449</v>
      </c>
      <c r="N1035">
        <v>3.35</v>
      </c>
      <c r="O1035" s="6">
        <v>1</v>
      </c>
      <c r="P1035" s="3">
        <v>0.05</v>
      </c>
      <c r="Q1035" t="s">
        <v>6</v>
      </c>
      <c r="R1035" s="7">
        <f t="shared" si="48"/>
        <v>3.35</v>
      </c>
      <c r="S1035" s="7">
        <f t="shared" si="49"/>
        <v>0.16750000000000001</v>
      </c>
      <c r="T1035">
        <f>Table1[[#This Row],[Total price]]-Table1[[#This Row],[Discount Amount]]</f>
        <v>3.1825000000000001</v>
      </c>
      <c r="U1035">
        <f t="shared" si="50"/>
        <v>3.1825000000000001</v>
      </c>
    </row>
    <row r="1036" spans="1:21">
      <c r="A1036">
        <v>1035</v>
      </c>
      <c r="B1036" s="3" t="s">
        <v>1617</v>
      </c>
      <c r="C1036" s="3" t="s">
        <v>1616</v>
      </c>
      <c r="D1036" s="3" t="s">
        <v>2866</v>
      </c>
      <c r="E1036" s="3" t="s">
        <v>4035</v>
      </c>
      <c r="F1036" s="3">
        <v>369</v>
      </c>
      <c r="G1036" s="4">
        <v>41244.529861111114</v>
      </c>
      <c r="H1036" s="3">
        <v>4</v>
      </c>
      <c r="I1036" s="5">
        <v>10</v>
      </c>
      <c r="J1036" t="s">
        <v>780</v>
      </c>
      <c r="K1036" t="s">
        <v>4498</v>
      </c>
      <c r="L1036">
        <v>536522</v>
      </c>
      <c r="M1036" s="2">
        <v>21197</v>
      </c>
      <c r="N1036">
        <v>1.65</v>
      </c>
      <c r="O1036" s="6">
        <v>1</v>
      </c>
      <c r="P1036" s="3">
        <v>7.0000000000000007E-2</v>
      </c>
      <c r="Q1036" t="s">
        <v>6</v>
      </c>
      <c r="R1036" s="7">
        <f t="shared" si="48"/>
        <v>1.65</v>
      </c>
      <c r="S1036" s="7">
        <f t="shared" si="49"/>
        <v>0.11550000000000001</v>
      </c>
      <c r="T1036">
        <f>Table1[[#This Row],[Total price]]-Table1[[#This Row],[Discount Amount]]</f>
        <v>1.5345</v>
      </c>
      <c r="U1036">
        <f t="shared" si="50"/>
        <v>1.5345</v>
      </c>
    </row>
    <row r="1037" spans="1:21">
      <c r="A1037">
        <v>1036</v>
      </c>
      <c r="B1037" s="3" t="s">
        <v>1615</v>
      </c>
      <c r="C1037" s="3" t="s">
        <v>1614</v>
      </c>
      <c r="D1037" s="3" t="s">
        <v>2866</v>
      </c>
      <c r="E1037" s="3" t="s">
        <v>4036</v>
      </c>
      <c r="F1037" s="3">
        <v>370</v>
      </c>
      <c r="G1037" s="4">
        <v>41244.529861111114</v>
      </c>
      <c r="H1037" s="3">
        <v>4</v>
      </c>
      <c r="I1037" s="5">
        <v>25</v>
      </c>
      <c r="J1037" t="s">
        <v>613</v>
      </c>
      <c r="K1037" t="s">
        <v>4498</v>
      </c>
      <c r="L1037">
        <v>536522</v>
      </c>
      <c r="M1037" s="2" t="s">
        <v>612</v>
      </c>
      <c r="N1037">
        <v>0.85</v>
      </c>
      <c r="O1037" s="6">
        <v>1</v>
      </c>
      <c r="P1037" s="3">
        <v>0.05</v>
      </c>
      <c r="Q1037" t="s">
        <v>6</v>
      </c>
      <c r="R1037" s="7">
        <f t="shared" si="48"/>
        <v>0.85</v>
      </c>
      <c r="S1037" s="7">
        <f t="shared" si="49"/>
        <v>4.2500000000000003E-2</v>
      </c>
      <c r="T1037">
        <f>Table1[[#This Row],[Total price]]-Table1[[#This Row],[Discount Amount]]</f>
        <v>0.8075</v>
      </c>
      <c r="U1037">
        <f t="shared" si="50"/>
        <v>0.8075</v>
      </c>
    </row>
    <row r="1038" spans="1:21">
      <c r="A1038">
        <v>1037</v>
      </c>
      <c r="B1038" s="3" t="s">
        <v>1613</v>
      </c>
      <c r="C1038" s="3" t="s">
        <v>1608</v>
      </c>
      <c r="D1038" s="3" t="s">
        <v>2866</v>
      </c>
      <c r="E1038" s="3" t="s">
        <v>4037</v>
      </c>
      <c r="F1038" s="3">
        <v>370</v>
      </c>
      <c r="G1038" s="4">
        <v>41244.529861111114</v>
      </c>
      <c r="H1038" s="3">
        <v>4</v>
      </c>
      <c r="I1038" s="5">
        <v>4</v>
      </c>
      <c r="J1038" t="s">
        <v>422</v>
      </c>
      <c r="K1038" t="s">
        <v>4498</v>
      </c>
      <c r="L1038">
        <v>536522</v>
      </c>
      <c r="M1038" s="2">
        <v>21121</v>
      </c>
      <c r="N1038">
        <v>1.25</v>
      </c>
      <c r="O1038" s="6">
        <v>1</v>
      </c>
      <c r="P1038" s="3">
        <v>0.1</v>
      </c>
      <c r="Q1038" t="s">
        <v>6</v>
      </c>
      <c r="R1038" s="7">
        <f t="shared" si="48"/>
        <v>1.25</v>
      </c>
      <c r="S1038" s="7">
        <f t="shared" si="49"/>
        <v>0.125</v>
      </c>
      <c r="T1038">
        <f>Table1[[#This Row],[Total price]]-Table1[[#This Row],[Discount Amount]]</f>
        <v>1.125</v>
      </c>
      <c r="U1038">
        <f t="shared" si="50"/>
        <v>1.125</v>
      </c>
    </row>
    <row r="1039" spans="1:21">
      <c r="A1039">
        <v>1038</v>
      </c>
      <c r="B1039" s="3" t="s">
        <v>1612</v>
      </c>
      <c r="C1039" s="3" t="s">
        <v>1611</v>
      </c>
      <c r="D1039" s="3" t="s">
        <v>2866</v>
      </c>
      <c r="E1039" s="3" t="s">
        <v>4038</v>
      </c>
      <c r="F1039" s="3">
        <v>371</v>
      </c>
      <c r="G1039" s="4">
        <v>41244.529861111114</v>
      </c>
      <c r="H1039" s="3">
        <v>4</v>
      </c>
      <c r="I1039" s="5">
        <v>14</v>
      </c>
      <c r="J1039" t="s">
        <v>581</v>
      </c>
      <c r="K1039" t="s">
        <v>4498</v>
      </c>
      <c r="L1039">
        <v>536522</v>
      </c>
      <c r="M1039" s="2">
        <v>22151</v>
      </c>
      <c r="N1039">
        <v>0.42</v>
      </c>
      <c r="O1039" s="6">
        <v>2</v>
      </c>
      <c r="P1039" s="3">
        <v>0.2</v>
      </c>
      <c r="Q1039" t="s">
        <v>6</v>
      </c>
      <c r="R1039" s="7">
        <f t="shared" si="48"/>
        <v>0.84</v>
      </c>
      <c r="S1039" s="7">
        <f t="shared" si="49"/>
        <v>0.16800000000000001</v>
      </c>
      <c r="T1039">
        <f>Table1[[#This Row],[Total price]]-Table1[[#This Row],[Discount Amount]]</f>
        <v>0.67199999999999993</v>
      </c>
      <c r="U1039">
        <f t="shared" si="50"/>
        <v>1.3439999999999999</v>
      </c>
    </row>
    <row r="1040" spans="1:21">
      <c r="A1040">
        <v>1039</v>
      </c>
      <c r="B1040" s="3" t="s">
        <v>1610</v>
      </c>
      <c r="C1040" s="3" t="s">
        <v>1598</v>
      </c>
      <c r="D1040" s="3" t="s">
        <v>2866</v>
      </c>
      <c r="E1040" s="3" t="s">
        <v>4039</v>
      </c>
      <c r="F1040" s="3">
        <v>371</v>
      </c>
      <c r="G1040" s="4">
        <v>41244.529861111114</v>
      </c>
      <c r="H1040" s="3">
        <v>4</v>
      </c>
      <c r="I1040" s="5">
        <v>12</v>
      </c>
      <c r="J1040" t="s">
        <v>229</v>
      </c>
      <c r="K1040" t="s">
        <v>4498</v>
      </c>
      <c r="L1040">
        <v>536522</v>
      </c>
      <c r="M1040" s="2">
        <v>84836</v>
      </c>
      <c r="N1040">
        <v>1.25</v>
      </c>
      <c r="O1040" s="6">
        <v>2</v>
      </c>
      <c r="P1040" s="3">
        <v>0.2</v>
      </c>
      <c r="Q1040" t="s">
        <v>6</v>
      </c>
      <c r="R1040" s="7">
        <f t="shared" si="48"/>
        <v>2.5</v>
      </c>
      <c r="S1040" s="7">
        <f t="shared" si="49"/>
        <v>0.5</v>
      </c>
      <c r="T1040">
        <f>Table1[[#This Row],[Total price]]-Table1[[#This Row],[Discount Amount]]</f>
        <v>2</v>
      </c>
      <c r="U1040">
        <f t="shared" si="50"/>
        <v>4</v>
      </c>
    </row>
    <row r="1041" spans="1:21">
      <c r="A1041">
        <v>1040</v>
      </c>
      <c r="B1041" s="3" t="s">
        <v>1609</v>
      </c>
      <c r="C1041" s="3" t="s">
        <v>1608</v>
      </c>
      <c r="D1041" s="3" t="s">
        <v>2866</v>
      </c>
      <c r="E1041" s="3" t="s">
        <v>4040</v>
      </c>
      <c r="F1041" s="3">
        <v>372</v>
      </c>
      <c r="G1041" s="4">
        <v>41244.529861111114</v>
      </c>
      <c r="H1041" s="3">
        <v>4</v>
      </c>
      <c r="I1041" s="5">
        <v>11</v>
      </c>
      <c r="J1041" t="s">
        <v>733</v>
      </c>
      <c r="K1041" t="s">
        <v>4498</v>
      </c>
      <c r="L1041">
        <v>536522</v>
      </c>
      <c r="M1041" s="2">
        <v>21326</v>
      </c>
      <c r="N1041">
        <v>0.65</v>
      </c>
      <c r="O1041" s="6">
        <v>12</v>
      </c>
      <c r="P1041" s="3">
        <v>0.05</v>
      </c>
      <c r="Q1041" t="s">
        <v>6</v>
      </c>
      <c r="R1041" s="7">
        <f t="shared" si="48"/>
        <v>7.8000000000000007</v>
      </c>
      <c r="S1041" s="7">
        <f t="shared" si="49"/>
        <v>0.39000000000000007</v>
      </c>
      <c r="T1041">
        <f>Table1[[#This Row],[Total price]]-Table1[[#This Row],[Discount Amount]]</f>
        <v>7.410000000000001</v>
      </c>
      <c r="U1041">
        <f t="shared" si="50"/>
        <v>88.920000000000016</v>
      </c>
    </row>
    <row r="1042" spans="1:21">
      <c r="A1042">
        <v>1041</v>
      </c>
      <c r="B1042" s="3" t="s">
        <v>1607</v>
      </c>
      <c r="C1042" s="3" t="s">
        <v>1048</v>
      </c>
      <c r="D1042" s="3" t="s">
        <v>2866</v>
      </c>
      <c r="E1042" s="3" t="s">
        <v>4041</v>
      </c>
      <c r="F1042" s="3">
        <v>372</v>
      </c>
      <c r="G1042" s="4">
        <v>41244.529861111114</v>
      </c>
      <c r="H1042" s="3">
        <v>4</v>
      </c>
      <c r="I1042" s="5">
        <v>14</v>
      </c>
      <c r="J1042" t="s">
        <v>504</v>
      </c>
      <c r="K1042" t="s">
        <v>4498</v>
      </c>
      <c r="L1042">
        <v>536522</v>
      </c>
      <c r="M1042" s="2" t="s">
        <v>503</v>
      </c>
      <c r="N1042">
        <v>4.25</v>
      </c>
      <c r="O1042" s="6">
        <v>1</v>
      </c>
      <c r="P1042" s="3">
        <v>0.1</v>
      </c>
      <c r="Q1042" t="s">
        <v>6</v>
      </c>
      <c r="R1042" s="7">
        <f t="shared" si="48"/>
        <v>4.25</v>
      </c>
      <c r="S1042" s="7">
        <f t="shared" si="49"/>
        <v>0.42500000000000004</v>
      </c>
      <c r="T1042">
        <f>Table1[[#This Row],[Total price]]-Table1[[#This Row],[Discount Amount]]</f>
        <v>3.8250000000000002</v>
      </c>
      <c r="U1042">
        <f t="shared" si="50"/>
        <v>3.8250000000000002</v>
      </c>
    </row>
    <row r="1043" spans="1:21">
      <c r="A1043">
        <v>1042</v>
      </c>
      <c r="B1043" s="3" t="s">
        <v>1606</v>
      </c>
      <c r="C1043" s="3" t="s">
        <v>1237</v>
      </c>
      <c r="D1043" s="3" t="s">
        <v>2866</v>
      </c>
      <c r="E1043" s="3" t="s">
        <v>4042</v>
      </c>
      <c r="F1043" s="3">
        <v>372</v>
      </c>
      <c r="G1043" s="4">
        <v>41244.529861111114</v>
      </c>
      <c r="H1043" s="3">
        <v>4</v>
      </c>
      <c r="I1043" s="5">
        <v>5</v>
      </c>
      <c r="J1043" t="s">
        <v>154</v>
      </c>
      <c r="K1043" t="s">
        <v>4498</v>
      </c>
      <c r="L1043">
        <v>536522</v>
      </c>
      <c r="M1043" s="2" t="s">
        <v>153</v>
      </c>
      <c r="N1043">
        <v>12.75</v>
      </c>
      <c r="O1043" s="6">
        <v>1</v>
      </c>
      <c r="P1043" s="3">
        <v>0.1</v>
      </c>
      <c r="Q1043" t="s">
        <v>6</v>
      </c>
      <c r="R1043" s="7">
        <f t="shared" si="48"/>
        <v>12.75</v>
      </c>
      <c r="S1043" s="7">
        <f t="shared" si="49"/>
        <v>1.2750000000000001</v>
      </c>
      <c r="T1043">
        <f>Table1[[#This Row],[Total price]]-Table1[[#This Row],[Discount Amount]]</f>
        <v>11.475</v>
      </c>
      <c r="U1043">
        <f t="shared" si="50"/>
        <v>11.475</v>
      </c>
    </row>
    <row r="1044" spans="1:21">
      <c r="A1044">
        <v>1043</v>
      </c>
      <c r="B1044" s="3" t="s">
        <v>1605</v>
      </c>
      <c r="C1044" s="3" t="s">
        <v>1452</v>
      </c>
      <c r="D1044" s="3" t="s">
        <v>2866</v>
      </c>
      <c r="E1044" s="3" t="s">
        <v>4043</v>
      </c>
      <c r="F1044" s="3">
        <v>373</v>
      </c>
      <c r="G1044" s="4">
        <v>41244.529861111114</v>
      </c>
      <c r="H1044" s="3">
        <v>4</v>
      </c>
      <c r="I1044" s="5">
        <v>8</v>
      </c>
      <c r="J1044" t="s">
        <v>615</v>
      </c>
      <c r="K1044" t="s">
        <v>4498</v>
      </c>
      <c r="L1044">
        <v>536522</v>
      </c>
      <c r="M1044" s="2" t="s">
        <v>614</v>
      </c>
      <c r="N1044">
        <v>0.85</v>
      </c>
      <c r="O1044" s="6">
        <v>1</v>
      </c>
      <c r="P1044" s="3">
        <v>0.05</v>
      </c>
      <c r="Q1044" t="s">
        <v>6</v>
      </c>
      <c r="R1044" s="7">
        <f t="shared" si="48"/>
        <v>0.85</v>
      </c>
      <c r="S1044" s="7">
        <f t="shared" si="49"/>
        <v>4.2500000000000003E-2</v>
      </c>
      <c r="T1044">
        <f>Table1[[#This Row],[Total price]]-Table1[[#This Row],[Discount Amount]]</f>
        <v>0.8075</v>
      </c>
      <c r="U1044">
        <f t="shared" si="50"/>
        <v>0.8075</v>
      </c>
    </row>
    <row r="1045" spans="1:21">
      <c r="A1045">
        <v>1044</v>
      </c>
      <c r="B1045" s="3" t="s">
        <v>1604</v>
      </c>
      <c r="C1045" s="3" t="s">
        <v>1603</v>
      </c>
      <c r="D1045" s="3" t="s">
        <v>2866</v>
      </c>
      <c r="E1045" s="3" t="s">
        <v>4044</v>
      </c>
      <c r="F1045" s="3">
        <v>373</v>
      </c>
      <c r="G1045" s="4">
        <v>41244.529861111114</v>
      </c>
      <c r="H1045" s="3">
        <v>4</v>
      </c>
      <c r="I1045" s="5">
        <v>22</v>
      </c>
      <c r="J1045" t="s">
        <v>169</v>
      </c>
      <c r="K1045" t="s">
        <v>4498</v>
      </c>
      <c r="L1045">
        <v>536522</v>
      </c>
      <c r="M1045" s="2">
        <v>22739</v>
      </c>
      <c r="N1045">
        <v>1.65</v>
      </c>
      <c r="O1045" s="6">
        <v>5</v>
      </c>
      <c r="P1045" s="3">
        <v>0.1</v>
      </c>
      <c r="Q1045" t="s">
        <v>6</v>
      </c>
      <c r="R1045" s="7">
        <f t="shared" si="48"/>
        <v>8.25</v>
      </c>
      <c r="S1045" s="7">
        <f t="shared" si="49"/>
        <v>0.82500000000000007</v>
      </c>
      <c r="T1045">
        <f>Table1[[#This Row],[Total price]]-Table1[[#This Row],[Discount Amount]]</f>
        <v>7.4249999999999998</v>
      </c>
      <c r="U1045">
        <f t="shared" si="50"/>
        <v>37.125</v>
      </c>
    </row>
    <row r="1046" spans="1:21">
      <c r="A1046">
        <v>1045</v>
      </c>
      <c r="B1046" s="3" t="s">
        <v>1602</v>
      </c>
      <c r="C1046" s="3" t="s">
        <v>1601</v>
      </c>
      <c r="D1046" s="3" t="s">
        <v>2866</v>
      </c>
      <c r="E1046" s="3" t="s">
        <v>4045</v>
      </c>
      <c r="F1046" s="3">
        <v>373</v>
      </c>
      <c r="G1046" s="4">
        <v>41244.529861111114</v>
      </c>
      <c r="H1046" s="3">
        <v>4</v>
      </c>
      <c r="I1046" s="5">
        <v>19</v>
      </c>
      <c r="J1046" t="s">
        <v>658</v>
      </c>
      <c r="K1046" t="s">
        <v>4498</v>
      </c>
      <c r="L1046">
        <v>536522</v>
      </c>
      <c r="M1046" s="2">
        <v>37370</v>
      </c>
      <c r="N1046">
        <v>1.25</v>
      </c>
      <c r="O1046" s="6">
        <v>2</v>
      </c>
      <c r="P1046" s="3">
        <v>0.2</v>
      </c>
      <c r="Q1046" t="s">
        <v>6</v>
      </c>
      <c r="R1046" s="7">
        <f t="shared" si="48"/>
        <v>2.5</v>
      </c>
      <c r="S1046" s="7">
        <f t="shared" si="49"/>
        <v>0.5</v>
      </c>
      <c r="T1046">
        <f>Table1[[#This Row],[Total price]]-Table1[[#This Row],[Discount Amount]]</f>
        <v>2</v>
      </c>
      <c r="U1046">
        <f t="shared" si="50"/>
        <v>4</v>
      </c>
    </row>
    <row r="1047" spans="1:21">
      <c r="A1047">
        <v>1046</v>
      </c>
      <c r="B1047" s="3" t="s">
        <v>1600</v>
      </c>
      <c r="C1047" s="3" t="s">
        <v>1599</v>
      </c>
      <c r="D1047" s="3" t="s">
        <v>2866</v>
      </c>
      <c r="E1047" s="3" t="s">
        <v>4046</v>
      </c>
      <c r="F1047" s="3">
        <v>373</v>
      </c>
      <c r="G1047" s="4">
        <v>41244.529861111114</v>
      </c>
      <c r="H1047" s="3">
        <v>4</v>
      </c>
      <c r="I1047" s="5">
        <v>12</v>
      </c>
      <c r="J1047" t="s">
        <v>93</v>
      </c>
      <c r="K1047" t="s">
        <v>4498</v>
      </c>
      <c r="L1047">
        <v>536522</v>
      </c>
      <c r="M1047" s="2">
        <v>22941</v>
      </c>
      <c r="N1047">
        <v>8.5</v>
      </c>
      <c r="O1047" s="6">
        <v>1</v>
      </c>
      <c r="P1047" s="3">
        <v>0.1</v>
      </c>
      <c r="Q1047" t="s">
        <v>6</v>
      </c>
      <c r="R1047" s="7">
        <f t="shared" si="48"/>
        <v>8.5</v>
      </c>
      <c r="S1047" s="7">
        <f t="shared" si="49"/>
        <v>0.85000000000000009</v>
      </c>
      <c r="T1047">
        <f>Table1[[#This Row],[Total price]]-Table1[[#This Row],[Discount Amount]]</f>
        <v>7.65</v>
      </c>
      <c r="U1047">
        <f t="shared" si="50"/>
        <v>7.65</v>
      </c>
    </row>
    <row r="1048" spans="1:21">
      <c r="A1048">
        <v>1047</v>
      </c>
      <c r="B1048" s="3" t="s">
        <v>901</v>
      </c>
      <c r="C1048" s="3" t="s">
        <v>1598</v>
      </c>
      <c r="D1048" s="3" t="s">
        <v>2866</v>
      </c>
      <c r="E1048" s="3" t="s">
        <v>4047</v>
      </c>
      <c r="F1048" s="3">
        <v>373</v>
      </c>
      <c r="G1048" s="4">
        <v>41244.529861111114</v>
      </c>
      <c r="H1048" s="3">
        <v>3</v>
      </c>
      <c r="I1048" s="5">
        <v>13</v>
      </c>
      <c r="J1048" t="s">
        <v>335</v>
      </c>
      <c r="K1048" t="s">
        <v>4498</v>
      </c>
      <c r="L1048">
        <v>536522</v>
      </c>
      <c r="M1048" s="2">
        <v>21098</v>
      </c>
      <c r="N1048">
        <v>1.25</v>
      </c>
      <c r="O1048" s="6">
        <v>2</v>
      </c>
      <c r="P1048" s="3">
        <v>0.1</v>
      </c>
      <c r="Q1048" t="s">
        <v>6</v>
      </c>
      <c r="R1048" s="7">
        <f t="shared" si="48"/>
        <v>2.5</v>
      </c>
      <c r="S1048" s="7">
        <f t="shared" si="49"/>
        <v>0.25</v>
      </c>
      <c r="T1048">
        <f>Table1[[#This Row],[Total price]]-Table1[[#This Row],[Discount Amount]]</f>
        <v>2.25</v>
      </c>
      <c r="U1048">
        <f t="shared" si="50"/>
        <v>4.5</v>
      </c>
    </row>
    <row r="1049" spans="1:21">
      <c r="A1049">
        <v>1048</v>
      </c>
      <c r="B1049" s="3" t="s">
        <v>1597</v>
      </c>
      <c r="C1049" s="3" t="s">
        <v>1596</v>
      </c>
      <c r="D1049" s="3" t="s">
        <v>2866</v>
      </c>
      <c r="E1049" s="3" t="s">
        <v>4048</v>
      </c>
      <c r="F1049" s="3">
        <v>374</v>
      </c>
      <c r="G1049" s="4">
        <v>41244.529861111114</v>
      </c>
      <c r="H1049" s="3">
        <v>4</v>
      </c>
      <c r="I1049" s="5">
        <v>10</v>
      </c>
      <c r="J1049" t="s">
        <v>581</v>
      </c>
      <c r="K1049" t="s">
        <v>4498</v>
      </c>
      <c r="L1049">
        <v>536522</v>
      </c>
      <c r="M1049" s="2">
        <v>22151</v>
      </c>
      <c r="N1049">
        <v>0.42</v>
      </c>
      <c r="O1049" s="6">
        <v>1</v>
      </c>
      <c r="P1049" s="3">
        <v>0.1</v>
      </c>
      <c r="Q1049" t="s">
        <v>6</v>
      </c>
      <c r="R1049" s="7">
        <f t="shared" si="48"/>
        <v>0.42</v>
      </c>
      <c r="S1049" s="7">
        <f t="shared" si="49"/>
        <v>4.2000000000000003E-2</v>
      </c>
      <c r="T1049">
        <f>Table1[[#This Row],[Total price]]-Table1[[#This Row],[Discount Amount]]</f>
        <v>0.378</v>
      </c>
      <c r="U1049">
        <f t="shared" si="50"/>
        <v>0.378</v>
      </c>
    </row>
    <row r="1050" spans="1:21">
      <c r="A1050">
        <v>1049</v>
      </c>
      <c r="B1050" s="3" t="s">
        <v>1595</v>
      </c>
      <c r="C1050" s="3" t="s">
        <v>1594</v>
      </c>
      <c r="D1050" s="3" t="s">
        <v>2866</v>
      </c>
      <c r="E1050" s="3" t="s">
        <v>4049</v>
      </c>
      <c r="F1050" s="3">
        <v>374</v>
      </c>
      <c r="G1050" s="4">
        <v>41244.529861111114</v>
      </c>
      <c r="H1050" s="3">
        <v>4</v>
      </c>
      <c r="I1050" s="5">
        <v>7</v>
      </c>
      <c r="J1050" t="s">
        <v>229</v>
      </c>
      <c r="K1050" t="s">
        <v>4498</v>
      </c>
      <c r="L1050">
        <v>536522</v>
      </c>
      <c r="M1050" s="2">
        <v>84836</v>
      </c>
      <c r="N1050">
        <v>1.25</v>
      </c>
      <c r="O1050" s="6">
        <v>1</v>
      </c>
      <c r="P1050" s="3">
        <v>7.0000000000000007E-2</v>
      </c>
      <c r="Q1050" t="s">
        <v>6</v>
      </c>
      <c r="R1050" s="7">
        <f t="shared" si="48"/>
        <v>1.25</v>
      </c>
      <c r="S1050" s="7">
        <f t="shared" si="49"/>
        <v>8.7500000000000008E-2</v>
      </c>
      <c r="T1050">
        <f>Table1[[#This Row],[Total price]]-Table1[[#This Row],[Discount Amount]]</f>
        <v>1.1625000000000001</v>
      </c>
      <c r="U1050">
        <f t="shared" si="50"/>
        <v>1.1625000000000001</v>
      </c>
    </row>
    <row r="1051" spans="1:21">
      <c r="A1051">
        <v>1050</v>
      </c>
      <c r="B1051" s="3" t="s">
        <v>1593</v>
      </c>
      <c r="C1051" s="3" t="s">
        <v>1592</v>
      </c>
      <c r="D1051" s="3" t="s">
        <v>2866</v>
      </c>
      <c r="E1051" s="3" t="s">
        <v>4050</v>
      </c>
      <c r="F1051" s="3">
        <v>375</v>
      </c>
      <c r="G1051" s="4">
        <v>41244.529861111114</v>
      </c>
      <c r="H1051" s="3">
        <v>4</v>
      </c>
      <c r="I1051" s="5">
        <v>21</v>
      </c>
      <c r="J1051" t="s">
        <v>177</v>
      </c>
      <c r="K1051" t="s">
        <v>4498</v>
      </c>
      <c r="L1051">
        <v>536522</v>
      </c>
      <c r="M1051" s="2">
        <v>20914</v>
      </c>
      <c r="N1051">
        <v>2.95</v>
      </c>
      <c r="O1051" s="6">
        <v>1</v>
      </c>
      <c r="P1051" s="3">
        <v>0.05</v>
      </c>
      <c r="Q1051" t="s">
        <v>6</v>
      </c>
      <c r="R1051" s="7">
        <f t="shared" si="48"/>
        <v>2.95</v>
      </c>
      <c r="S1051" s="7">
        <f t="shared" si="49"/>
        <v>0.14750000000000002</v>
      </c>
      <c r="T1051">
        <f>Table1[[#This Row],[Total price]]-Table1[[#This Row],[Discount Amount]]</f>
        <v>2.8025000000000002</v>
      </c>
      <c r="U1051">
        <f t="shared" si="50"/>
        <v>2.8025000000000002</v>
      </c>
    </row>
    <row r="1052" spans="1:21">
      <c r="A1052">
        <v>1051</v>
      </c>
      <c r="B1052" s="3" t="s">
        <v>1591</v>
      </c>
      <c r="C1052" s="3" t="s">
        <v>912</v>
      </c>
      <c r="D1052" s="3" t="s">
        <v>2866</v>
      </c>
      <c r="E1052" s="3" t="s">
        <v>4051</v>
      </c>
      <c r="F1052" s="3">
        <v>375</v>
      </c>
      <c r="G1052" s="4">
        <v>41244.529861111114</v>
      </c>
      <c r="H1052" s="3">
        <v>4</v>
      </c>
      <c r="I1052" s="5">
        <v>2</v>
      </c>
      <c r="J1052" t="s">
        <v>228</v>
      </c>
      <c r="K1052" t="s">
        <v>4498</v>
      </c>
      <c r="L1052">
        <v>536522</v>
      </c>
      <c r="M1052" s="2">
        <v>22749</v>
      </c>
      <c r="N1052">
        <v>3.75</v>
      </c>
      <c r="O1052" s="6">
        <v>2</v>
      </c>
      <c r="P1052" s="3">
        <v>0.05</v>
      </c>
      <c r="Q1052" t="s">
        <v>6</v>
      </c>
      <c r="R1052" s="7">
        <f t="shared" si="48"/>
        <v>7.5</v>
      </c>
      <c r="S1052" s="7">
        <f t="shared" si="49"/>
        <v>0.375</v>
      </c>
      <c r="T1052">
        <f>Table1[[#This Row],[Total price]]-Table1[[#This Row],[Discount Amount]]</f>
        <v>7.125</v>
      </c>
      <c r="U1052">
        <f t="shared" si="50"/>
        <v>14.25</v>
      </c>
    </row>
    <row r="1053" spans="1:21">
      <c r="A1053">
        <v>1052</v>
      </c>
      <c r="B1053" s="3" t="s">
        <v>1590</v>
      </c>
      <c r="C1053" s="3" t="s">
        <v>1589</v>
      </c>
      <c r="D1053" s="3" t="s">
        <v>4052</v>
      </c>
      <c r="E1053" s="3" t="s">
        <v>4053</v>
      </c>
      <c r="F1053" s="3">
        <v>375</v>
      </c>
      <c r="G1053" s="4">
        <v>41244.529861111114</v>
      </c>
      <c r="H1053" s="3">
        <v>4</v>
      </c>
      <c r="I1053" s="5">
        <v>4</v>
      </c>
      <c r="J1053" t="s">
        <v>803</v>
      </c>
      <c r="K1053" t="s">
        <v>4498</v>
      </c>
      <c r="L1053">
        <v>536522</v>
      </c>
      <c r="M1053" s="2">
        <v>21190</v>
      </c>
      <c r="N1053">
        <v>1.65</v>
      </c>
      <c r="O1053" s="6">
        <v>1</v>
      </c>
      <c r="P1053" s="3">
        <v>7.0000000000000007E-2</v>
      </c>
      <c r="Q1053" t="s">
        <v>6</v>
      </c>
      <c r="R1053" s="7">
        <f t="shared" si="48"/>
        <v>1.65</v>
      </c>
      <c r="S1053" s="7">
        <f t="shared" si="49"/>
        <v>0.11550000000000001</v>
      </c>
      <c r="T1053">
        <f>Table1[[#This Row],[Total price]]-Table1[[#This Row],[Discount Amount]]</f>
        <v>1.5345</v>
      </c>
      <c r="U1053">
        <f t="shared" si="50"/>
        <v>1.5345</v>
      </c>
    </row>
    <row r="1054" spans="1:21">
      <c r="A1054">
        <v>1053</v>
      </c>
      <c r="B1054" s="3" t="s">
        <v>1461</v>
      </c>
      <c r="C1054" s="3" t="s">
        <v>971</v>
      </c>
      <c r="D1054" s="3" t="s">
        <v>2866</v>
      </c>
      <c r="E1054" s="3" t="s">
        <v>4054</v>
      </c>
      <c r="F1054" s="3">
        <v>375</v>
      </c>
      <c r="G1054" s="4">
        <v>41244.529861111114</v>
      </c>
      <c r="H1054" s="3">
        <v>4</v>
      </c>
      <c r="I1054" s="5">
        <v>12</v>
      </c>
      <c r="J1054" t="s">
        <v>446</v>
      </c>
      <c r="K1054" t="s">
        <v>4498</v>
      </c>
      <c r="L1054">
        <v>536522</v>
      </c>
      <c r="M1054" s="2" t="s">
        <v>49</v>
      </c>
      <c r="N1054">
        <v>3.75</v>
      </c>
      <c r="O1054" s="6">
        <v>1</v>
      </c>
      <c r="P1054" s="3">
        <v>0.05</v>
      </c>
      <c r="Q1054" t="s">
        <v>6</v>
      </c>
      <c r="R1054" s="7">
        <f t="shared" si="48"/>
        <v>3.75</v>
      </c>
      <c r="S1054" s="7">
        <f t="shared" si="49"/>
        <v>0.1875</v>
      </c>
      <c r="T1054">
        <f>Table1[[#This Row],[Total price]]-Table1[[#This Row],[Discount Amount]]</f>
        <v>3.5625</v>
      </c>
      <c r="U1054">
        <f t="shared" si="50"/>
        <v>3.5625</v>
      </c>
    </row>
    <row r="1055" spans="1:21">
      <c r="A1055">
        <v>1054</v>
      </c>
      <c r="B1055" s="3" t="s">
        <v>1588</v>
      </c>
      <c r="C1055" s="3" t="s">
        <v>1587</v>
      </c>
      <c r="D1055" s="3" t="s">
        <v>2866</v>
      </c>
      <c r="E1055" s="3" t="s">
        <v>4055</v>
      </c>
      <c r="F1055" s="3">
        <v>376</v>
      </c>
      <c r="G1055" s="4">
        <v>41244.529861111114</v>
      </c>
      <c r="H1055" s="3">
        <v>4</v>
      </c>
      <c r="I1055" s="5">
        <v>2</v>
      </c>
      <c r="J1055" t="s">
        <v>434</v>
      </c>
      <c r="K1055" t="s">
        <v>4498</v>
      </c>
      <c r="L1055">
        <v>536522</v>
      </c>
      <c r="M1055" s="2">
        <v>21810</v>
      </c>
      <c r="N1055">
        <v>1.25</v>
      </c>
      <c r="O1055" s="6">
        <v>1</v>
      </c>
      <c r="P1055" s="3">
        <v>7.0000000000000007E-2</v>
      </c>
      <c r="Q1055" t="s">
        <v>6</v>
      </c>
      <c r="R1055" s="7">
        <f t="shared" si="48"/>
        <v>1.25</v>
      </c>
      <c r="S1055" s="7">
        <f t="shared" si="49"/>
        <v>8.7500000000000008E-2</v>
      </c>
      <c r="T1055">
        <f>Table1[[#This Row],[Total price]]-Table1[[#This Row],[Discount Amount]]</f>
        <v>1.1625000000000001</v>
      </c>
      <c r="U1055">
        <f t="shared" si="50"/>
        <v>1.1625000000000001</v>
      </c>
    </row>
    <row r="1056" spans="1:21">
      <c r="A1056">
        <v>1055</v>
      </c>
      <c r="B1056" s="3" t="s">
        <v>1586</v>
      </c>
      <c r="C1056" s="3" t="s">
        <v>1585</v>
      </c>
      <c r="D1056" s="3" t="s">
        <v>2866</v>
      </c>
      <c r="E1056" s="3" t="s">
        <v>4056</v>
      </c>
      <c r="F1056" s="3">
        <v>376</v>
      </c>
      <c r="G1056" s="4">
        <v>41244.529861111114</v>
      </c>
      <c r="H1056" s="3">
        <v>4</v>
      </c>
      <c r="I1056" s="5">
        <v>23</v>
      </c>
      <c r="J1056" t="s">
        <v>726</v>
      </c>
      <c r="K1056" t="s">
        <v>4498</v>
      </c>
      <c r="L1056">
        <v>536522</v>
      </c>
      <c r="M1056" s="2">
        <v>21192</v>
      </c>
      <c r="N1056">
        <v>1.65</v>
      </c>
      <c r="O1056" s="6">
        <v>3</v>
      </c>
      <c r="P1056" s="3">
        <v>0.1</v>
      </c>
      <c r="Q1056" t="s">
        <v>6</v>
      </c>
      <c r="R1056" s="7">
        <f t="shared" si="48"/>
        <v>4.9499999999999993</v>
      </c>
      <c r="S1056" s="7">
        <f t="shared" si="49"/>
        <v>0.49499999999999994</v>
      </c>
      <c r="T1056">
        <f>Table1[[#This Row],[Total price]]-Table1[[#This Row],[Discount Amount]]</f>
        <v>4.4549999999999992</v>
      </c>
      <c r="U1056">
        <f t="shared" si="50"/>
        <v>13.364999999999998</v>
      </c>
    </row>
    <row r="1057" spans="1:21">
      <c r="A1057">
        <v>1056</v>
      </c>
      <c r="B1057" s="3" t="s">
        <v>1584</v>
      </c>
      <c r="C1057" s="3" t="s">
        <v>1048</v>
      </c>
      <c r="D1057" s="3" t="s">
        <v>2866</v>
      </c>
      <c r="E1057" s="3" t="s">
        <v>4057</v>
      </c>
      <c r="F1057" s="3">
        <v>377</v>
      </c>
      <c r="G1057" s="4">
        <v>41244.529861111114</v>
      </c>
      <c r="H1057" s="3">
        <v>4</v>
      </c>
      <c r="I1057" s="5">
        <v>8</v>
      </c>
      <c r="J1057" t="s">
        <v>252</v>
      </c>
      <c r="K1057" t="s">
        <v>4498</v>
      </c>
      <c r="L1057">
        <v>536522</v>
      </c>
      <c r="M1057" s="2" t="s">
        <v>251</v>
      </c>
      <c r="N1057">
        <v>5.95</v>
      </c>
      <c r="O1057" s="6">
        <v>1</v>
      </c>
      <c r="P1057" s="3">
        <v>0.05</v>
      </c>
      <c r="Q1057" t="s">
        <v>6</v>
      </c>
      <c r="R1057" s="7">
        <f t="shared" si="48"/>
        <v>5.95</v>
      </c>
      <c r="S1057" s="7">
        <f t="shared" si="49"/>
        <v>0.29750000000000004</v>
      </c>
      <c r="T1057">
        <f>Table1[[#This Row],[Total price]]-Table1[[#This Row],[Discount Amount]]</f>
        <v>5.6524999999999999</v>
      </c>
      <c r="U1057">
        <f t="shared" si="50"/>
        <v>5.6524999999999999</v>
      </c>
    </row>
    <row r="1058" spans="1:21">
      <c r="A1058">
        <v>1057</v>
      </c>
      <c r="B1058" s="3" t="s">
        <v>1583</v>
      </c>
      <c r="C1058" s="3" t="s">
        <v>1582</v>
      </c>
      <c r="D1058" s="3" t="s">
        <v>2866</v>
      </c>
      <c r="E1058" s="3" t="s">
        <v>4058</v>
      </c>
      <c r="F1058" s="3">
        <v>377</v>
      </c>
      <c r="G1058" s="4">
        <v>41244.529861111114</v>
      </c>
      <c r="H1058" s="3">
        <v>4</v>
      </c>
      <c r="I1058" s="5">
        <v>14</v>
      </c>
      <c r="J1058" t="s">
        <v>424</v>
      </c>
      <c r="K1058" t="s">
        <v>4498</v>
      </c>
      <c r="L1058">
        <v>536522</v>
      </c>
      <c r="M1058" s="2">
        <v>21124</v>
      </c>
      <c r="N1058">
        <v>1.25</v>
      </c>
      <c r="O1058" s="6">
        <v>2</v>
      </c>
      <c r="P1058" s="3">
        <v>7.0000000000000007E-2</v>
      </c>
      <c r="Q1058" t="s">
        <v>6</v>
      </c>
      <c r="R1058" s="7">
        <f t="shared" si="48"/>
        <v>2.5</v>
      </c>
      <c r="S1058" s="7">
        <f t="shared" si="49"/>
        <v>0.17500000000000002</v>
      </c>
      <c r="T1058">
        <f>Table1[[#This Row],[Total price]]-Table1[[#This Row],[Discount Amount]]</f>
        <v>2.3250000000000002</v>
      </c>
      <c r="U1058">
        <f t="shared" si="50"/>
        <v>4.6500000000000004</v>
      </c>
    </row>
    <row r="1059" spans="1:21">
      <c r="A1059">
        <v>1058</v>
      </c>
      <c r="B1059" s="3" t="s">
        <v>1581</v>
      </c>
      <c r="C1059" s="3" t="s">
        <v>1580</v>
      </c>
      <c r="D1059" s="3" t="s">
        <v>2866</v>
      </c>
      <c r="E1059" s="3" t="s">
        <v>4059</v>
      </c>
      <c r="F1059" s="3">
        <v>378</v>
      </c>
      <c r="G1059" s="4">
        <v>41244.529861111114</v>
      </c>
      <c r="H1059" s="3">
        <v>4</v>
      </c>
      <c r="I1059" s="5">
        <v>26</v>
      </c>
      <c r="J1059" t="s">
        <v>489</v>
      </c>
      <c r="K1059" t="s">
        <v>4498</v>
      </c>
      <c r="L1059">
        <v>536522</v>
      </c>
      <c r="M1059" s="2" t="s">
        <v>488</v>
      </c>
      <c r="N1059">
        <v>2.5499999999999998</v>
      </c>
      <c r="O1059" s="6">
        <v>2</v>
      </c>
      <c r="P1059" s="3">
        <v>0.05</v>
      </c>
      <c r="Q1059" t="s">
        <v>6</v>
      </c>
      <c r="R1059" s="7">
        <f t="shared" si="48"/>
        <v>5.0999999999999996</v>
      </c>
      <c r="S1059" s="7">
        <f t="shared" si="49"/>
        <v>0.255</v>
      </c>
      <c r="T1059">
        <f>Table1[[#This Row],[Total price]]-Table1[[#This Row],[Discount Amount]]</f>
        <v>4.8449999999999998</v>
      </c>
      <c r="U1059">
        <f t="shared" si="50"/>
        <v>9.69</v>
      </c>
    </row>
    <row r="1060" spans="1:21">
      <c r="A1060">
        <v>1059</v>
      </c>
      <c r="B1060" s="3" t="s">
        <v>1579</v>
      </c>
      <c r="C1060" s="3" t="s">
        <v>1578</v>
      </c>
      <c r="D1060" s="3" t="s">
        <v>2866</v>
      </c>
      <c r="E1060" s="3" t="s">
        <v>4060</v>
      </c>
      <c r="F1060" s="3">
        <v>379</v>
      </c>
      <c r="G1060" s="4">
        <v>41244.529861111114</v>
      </c>
      <c r="H1060" s="3">
        <v>4</v>
      </c>
      <c r="I1060" s="5">
        <v>9</v>
      </c>
      <c r="J1060" t="s">
        <v>828</v>
      </c>
      <c r="K1060" t="s">
        <v>4498</v>
      </c>
      <c r="L1060">
        <v>536522</v>
      </c>
      <c r="M1060" s="2" t="s">
        <v>827</v>
      </c>
      <c r="N1060">
        <v>5.95</v>
      </c>
      <c r="O1060" s="6">
        <v>1</v>
      </c>
      <c r="P1060" s="3">
        <v>7.0000000000000007E-2</v>
      </c>
      <c r="Q1060" t="s">
        <v>6</v>
      </c>
      <c r="R1060" s="7">
        <f t="shared" si="48"/>
        <v>5.95</v>
      </c>
      <c r="S1060" s="7">
        <f t="shared" si="49"/>
        <v>0.41650000000000004</v>
      </c>
      <c r="T1060">
        <f>Table1[[#This Row],[Total price]]-Table1[[#This Row],[Discount Amount]]</f>
        <v>5.5335000000000001</v>
      </c>
      <c r="U1060">
        <f t="shared" si="50"/>
        <v>5.5335000000000001</v>
      </c>
    </row>
    <row r="1061" spans="1:21">
      <c r="A1061">
        <v>1060</v>
      </c>
      <c r="B1061" s="3" t="s">
        <v>1577</v>
      </c>
      <c r="C1061" s="3" t="s">
        <v>1510</v>
      </c>
      <c r="D1061" s="3" t="s">
        <v>4061</v>
      </c>
      <c r="E1061" s="3" t="s">
        <v>4062</v>
      </c>
      <c r="F1061" s="3">
        <v>379</v>
      </c>
      <c r="G1061" s="4">
        <v>41244.529861111114</v>
      </c>
      <c r="H1061" s="3">
        <v>4</v>
      </c>
      <c r="I1061" s="5">
        <v>16</v>
      </c>
      <c r="J1061" t="s">
        <v>736</v>
      </c>
      <c r="K1061" t="s">
        <v>4498</v>
      </c>
      <c r="L1061">
        <v>536522</v>
      </c>
      <c r="M1061" s="2">
        <v>22107</v>
      </c>
      <c r="N1061">
        <v>3.75</v>
      </c>
      <c r="O1061" s="6">
        <v>2</v>
      </c>
      <c r="P1061" s="3">
        <v>0.2</v>
      </c>
      <c r="Q1061" t="s">
        <v>6</v>
      </c>
      <c r="R1061" s="7">
        <f t="shared" si="48"/>
        <v>7.5</v>
      </c>
      <c r="S1061" s="7">
        <f t="shared" si="49"/>
        <v>1.5</v>
      </c>
      <c r="T1061">
        <f>Table1[[#This Row],[Total price]]-Table1[[#This Row],[Discount Amount]]</f>
        <v>6</v>
      </c>
      <c r="U1061">
        <f t="shared" si="50"/>
        <v>12</v>
      </c>
    </row>
    <row r="1062" spans="1:21">
      <c r="A1062">
        <v>1061</v>
      </c>
      <c r="B1062" s="3" t="s">
        <v>1576</v>
      </c>
      <c r="C1062" s="3" t="s">
        <v>1196</v>
      </c>
      <c r="D1062" s="3" t="s">
        <v>2866</v>
      </c>
      <c r="E1062" s="3" t="s">
        <v>4063</v>
      </c>
      <c r="F1062" s="3">
        <v>380</v>
      </c>
      <c r="G1062" s="4">
        <v>41244.529861111114</v>
      </c>
      <c r="H1062" s="3">
        <v>4</v>
      </c>
      <c r="I1062" s="5">
        <v>16</v>
      </c>
      <c r="J1062" t="s">
        <v>749</v>
      </c>
      <c r="K1062" t="s">
        <v>4498</v>
      </c>
      <c r="L1062">
        <v>536522</v>
      </c>
      <c r="M1062" s="2" t="s">
        <v>748</v>
      </c>
      <c r="N1062">
        <v>1.95</v>
      </c>
      <c r="O1062" s="6">
        <v>1</v>
      </c>
      <c r="P1062" s="3">
        <v>0.05</v>
      </c>
      <c r="Q1062" t="s">
        <v>6</v>
      </c>
      <c r="R1062" s="7">
        <f t="shared" si="48"/>
        <v>1.95</v>
      </c>
      <c r="S1062" s="7">
        <f t="shared" si="49"/>
        <v>9.7500000000000003E-2</v>
      </c>
      <c r="T1062">
        <f>Table1[[#This Row],[Total price]]-Table1[[#This Row],[Discount Amount]]</f>
        <v>1.8525</v>
      </c>
      <c r="U1062">
        <f t="shared" si="50"/>
        <v>1.8525</v>
      </c>
    </row>
    <row r="1063" spans="1:21">
      <c r="A1063">
        <v>1062</v>
      </c>
      <c r="B1063" s="3" t="s">
        <v>1505</v>
      </c>
      <c r="C1063" s="3" t="s">
        <v>1289</v>
      </c>
      <c r="D1063" s="3" t="s">
        <v>2866</v>
      </c>
      <c r="E1063" s="3" t="s">
        <v>4064</v>
      </c>
      <c r="F1063" s="3">
        <v>380</v>
      </c>
      <c r="G1063" s="4">
        <v>41244.529861111114</v>
      </c>
      <c r="H1063" s="3">
        <v>4</v>
      </c>
      <c r="I1063" s="5">
        <v>11</v>
      </c>
      <c r="J1063" t="s">
        <v>422</v>
      </c>
      <c r="K1063" t="s">
        <v>4498</v>
      </c>
      <c r="L1063">
        <v>536522</v>
      </c>
      <c r="M1063" s="2">
        <v>21121</v>
      </c>
      <c r="N1063">
        <v>1.25</v>
      </c>
      <c r="O1063" s="6">
        <v>1</v>
      </c>
      <c r="P1063" s="3">
        <v>0.05</v>
      </c>
      <c r="Q1063" t="s">
        <v>6</v>
      </c>
      <c r="R1063" s="7">
        <f t="shared" si="48"/>
        <v>1.25</v>
      </c>
      <c r="S1063" s="7">
        <f t="shared" si="49"/>
        <v>6.25E-2</v>
      </c>
      <c r="T1063">
        <f>Table1[[#This Row],[Total price]]-Table1[[#This Row],[Discount Amount]]</f>
        <v>1.1875</v>
      </c>
      <c r="U1063">
        <f t="shared" si="50"/>
        <v>1.1875</v>
      </c>
    </row>
    <row r="1064" spans="1:21">
      <c r="A1064">
        <v>1063</v>
      </c>
      <c r="B1064" s="3" t="s">
        <v>1575</v>
      </c>
      <c r="C1064" s="3" t="s">
        <v>1574</v>
      </c>
      <c r="D1064" s="3" t="s">
        <v>2866</v>
      </c>
      <c r="E1064" s="3" t="s">
        <v>4065</v>
      </c>
      <c r="F1064" s="3">
        <v>381</v>
      </c>
      <c r="G1064" s="4">
        <v>41244.529861111114</v>
      </c>
      <c r="H1064" s="3">
        <v>4</v>
      </c>
      <c r="I1064" s="5">
        <v>21</v>
      </c>
      <c r="J1064" t="s">
        <v>423</v>
      </c>
      <c r="K1064" t="s">
        <v>4498</v>
      </c>
      <c r="L1064">
        <v>536522</v>
      </c>
      <c r="M1064" s="2">
        <v>21122</v>
      </c>
      <c r="N1064">
        <v>1.25</v>
      </c>
      <c r="O1064" s="6">
        <v>1</v>
      </c>
      <c r="P1064" s="3">
        <v>7.0000000000000007E-2</v>
      </c>
      <c r="Q1064" t="s">
        <v>6</v>
      </c>
      <c r="R1064" s="7">
        <f t="shared" si="48"/>
        <v>1.25</v>
      </c>
      <c r="S1064" s="7">
        <f t="shared" si="49"/>
        <v>8.7500000000000008E-2</v>
      </c>
      <c r="T1064">
        <f>Table1[[#This Row],[Total price]]-Table1[[#This Row],[Discount Amount]]</f>
        <v>1.1625000000000001</v>
      </c>
      <c r="U1064">
        <f t="shared" si="50"/>
        <v>1.1625000000000001</v>
      </c>
    </row>
    <row r="1065" spans="1:21">
      <c r="A1065">
        <v>1064</v>
      </c>
      <c r="B1065" s="3" t="s">
        <v>1573</v>
      </c>
      <c r="C1065" s="3" t="s">
        <v>1572</v>
      </c>
      <c r="D1065" s="3" t="s">
        <v>2866</v>
      </c>
      <c r="E1065" s="3" t="s">
        <v>4066</v>
      </c>
      <c r="F1065" s="3">
        <v>382</v>
      </c>
      <c r="G1065" s="4">
        <v>41244.529861111114</v>
      </c>
      <c r="H1065" s="3">
        <v>4</v>
      </c>
      <c r="I1065" s="5">
        <v>8</v>
      </c>
      <c r="J1065" t="s">
        <v>702</v>
      </c>
      <c r="K1065" t="s">
        <v>4498</v>
      </c>
      <c r="L1065">
        <v>536522</v>
      </c>
      <c r="M1065" s="2">
        <v>21742</v>
      </c>
      <c r="N1065">
        <v>5.95</v>
      </c>
      <c r="O1065" s="6">
        <v>1</v>
      </c>
      <c r="P1065" s="3">
        <v>0.1</v>
      </c>
      <c r="Q1065" t="s">
        <v>6</v>
      </c>
      <c r="R1065" s="7">
        <f t="shared" si="48"/>
        <v>5.95</v>
      </c>
      <c r="S1065" s="7">
        <f t="shared" si="49"/>
        <v>0.59500000000000008</v>
      </c>
      <c r="T1065">
        <f>Table1[[#This Row],[Total price]]-Table1[[#This Row],[Discount Amount]]</f>
        <v>5.3550000000000004</v>
      </c>
      <c r="U1065">
        <f t="shared" si="50"/>
        <v>5.3550000000000004</v>
      </c>
    </row>
    <row r="1066" spans="1:21">
      <c r="A1066">
        <v>1065</v>
      </c>
      <c r="B1066" s="3" t="s">
        <v>1571</v>
      </c>
      <c r="C1066" s="3" t="s">
        <v>1570</v>
      </c>
      <c r="D1066" s="3" t="s">
        <v>2866</v>
      </c>
      <c r="E1066" s="3" t="s">
        <v>4067</v>
      </c>
      <c r="F1066" s="3">
        <v>382</v>
      </c>
      <c r="G1066" s="4">
        <v>41244.529861111114</v>
      </c>
      <c r="H1066" s="3">
        <v>4</v>
      </c>
      <c r="I1066" s="5">
        <v>9</v>
      </c>
      <c r="J1066" t="s">
        <v>256</v>
      </c>
      <c r="K1066" t="s">
        <v>4498</v>
      </c>
      <c r="L1066">
        <v>536522</v>
      </c>
      <c r="M1066" s="2">
        <v>22566</v>
      </c>
      <c r="N1066">
        <v>0.85</v>
      </c>
      <c r="O1066" s="6">
        <v>1</v>
      </c>
      <c r="P1066" s="3">
        <v>0.1</v>
      </c>
      <c r="Q1066" t="s">
        <v>6</v>
      </c>
      <c r="R1066" s="7">
        <f t="shared" si="48"/>
        <v>0.85</v>
      </c>
      <c r="S1066" s="7">
        <f t="shared" si="49"/>
        <v>8.5000000000000006E-2</v>
      </c>
      <c r="T1066">
        <f>Table1[[#This Row],[Total price]]-Table1[[#This Row],[Discount Amount]]</f>
        <v>0.76500000000000001</v>
      </c>
      <c r="U1066">
        <f t="shared" si="50"/>
        <v>0.76500000000000001</v>
      </c>
    </row>
    <row r="1067" spans="1:21">
      <c r="A1067">
        <v>1066</v>
      </c>
      <c r="B1067" s="3" t="s">
        <v>1569</v>
      </c>
      <c r="C1067" s="3" t="s">
        <v>1568</v>
      </c>
      <c r="D1067" s="3" t="s">
        <v>4068</v>
      </c>
      <c r="E1067" s="3" t="s">
        <v>4069</v>
      </c>
      <c r="F1067" s="3">
        <v>382</v>
      </c>
      <c r="G1067" s="4">
        <v>41244.529861111114</v>
      </c>
      <c r="H1067" s="3">
        <v>4</v>
      </c>
      <c r="I1067" s="5">
        <v>13</v>
      </c>
      <c r="J1067" t="s">
        <v>281</v>
      </c>
      <c r="K1067" t="s">
        <v>4498</v>
      </c>
      <c r="L1067">
        <v>536522</v>
      </c>
      <c r="M1067" s="2">
        <v>21664</v>
      </c>
      <c r="N1067">
        <v>3.75</v>
      </c>
      <c r="O1067" s="6">
        <v>1</v>
      </c>
      <c r="P1067" s="3">
        <v>7.0000000000000007E-2</v>
      </c>
      <c r="Q1067" t="s">
        <v>6</v>
      </c>
      <c r="R1067" s="7">
        <f t="shared" si="48"/>
        <v>3.75</v>
      </c>
      <c r="S1067" s="7">
        <f t="shared" si="49"/>
        <v>0.26250000000000001</v>
      </c>
      <c r="T1067">
        <f>Table1[[#This Row],[Total price]]-Table1[[#This Row],[Discount Amount]]</f>
        <v>3.4874999999999998</v>
      </c>
      <c r="U1067">
        <f t="shared" si="50"/>
        <v>3.4874999999999998</v>
      </c>
    </row>
    <row r="1068" spans="1:21">
      <c r="A1068">
        <v>1067</v>
      </c>
      <c r="B1068" s="3" t="s">
        <v>1567</v>
      </c>
      <c r="C1068" s="3" t="s">
        <v>1566</v>
      </c>
      <c r="D1068" s="3" t="s">
        <v>2866</v>
      </c>
      <c r="E1068" s="3" t="s">
        <v>4070</v>
      </c>
      <c r="F1068" s="3">
        <v>383</v>
      </c>
      <c r="G1068" s="4">
        <v>41244.529861111114</v>
      </c>
      <c r="H1068" s="3">
        <v>4</v>
      </c>
      <c r="I1068" s="5">
        <v>19</v>
      </c>
      <c r="J1068" t="s">
        <v>26</v>
      </c>
      <c r="K1068" t="s">
        <v>4498</v>
      </c>
      <c r="L1068">
        <v>536522</v>
      </c>
      <c r="M1068" s="2">
        <v>22632</v>
      </c>
      <c r="N1068">
        <v>2.1</v>
      </c>
      <c r="O1068" s="6">
        <v>1</v>
      </c>
      <c r="P1068" s="3">
        <v>7.0000000000000007E-2</v>
      </c>
      <c r="Q1068" t="s">
        <v>6</v>
      </c>
      <c r="R1068" s="7">
        <f t="shared" si="48"/>
        <v>2.1</v>
      </c>
      <c r="S1068" s="7">
        <f t="shared" si="49"/>
        <v>0.14700000000000002</v>
      </c>
      <c r="T1068">
        <f>Table1[[#This Row],[Total price]]-Table1[[#This Row],[Discount Amount]]</f>
        <v>1.9530000000000001</v>
      </c>
      <c r="U1068">
        <f t="shared" si="50"/>
        <v>1.9530000000000001</v>
      </c>
    </row>
    <row r="1069" spans="1:21">
      <c r="A1069">
        <v>1068</v>
      </c>
      <c r="B1069" s="3" t="s">
        <v>1565</v>
      </c>
      <c r="C1069" s="3" t="s">
        <v>1564</v>
      </c>
      <c r="D1069" s="3" t="s">
        <v>2866</v>
      </c>
      <c r="E1069" s="3" t="s">
        <v>4071</v>
      </c>
      <c r="F1069" s="3">
        <v>383</v>
      </c>
      <c r="G1069" s="4">
        <v>41244.529861111114</v>
      </c>
      <c r="H1069" s="3">
        <v>4</v>
      </c>
      <c r="I1069" s="5">
        <v>22</v>
      </c>
      <c r="J1069" t="s">
        <v>423</v>
      </c>
      <c r="K1069" t="s">
        <v>4498</v>
      </c>
      <c r="L1069">
        <v>536522</v>
      </c>
      <c r="M1069" s="2">
        <v>21122</v>
      </c>
      <c r="N1069">
        <v>1.25</v>
      </c>
      <c r="O1069" s="6">
        <v>1</v>
      </c>
      <c r="P1069" s="3">
        <v>0.05</v>
      </c>
      <c r="Q1069" t="s">
        <v>6</v>
      </c>
      <c r="R1069" s="7">
        <f t="shared" si="48"/>
        <v>1.25</v>
      </c>
      <c r="S1069" s="7">
        <f t="shared" si="49"/>
        <v>6.25E-2</v>
      </c>
      <c r="T1069">
        <f>Table1[[#This Row],[Total price]]-Table1[[#This Row],[Discount Amount]]</f>
        <v>1.1875</v>
      </c>
      <c r="U1069">
        <f t="shared" si="50"/>
        <v>1.1875</v>
      </c>
    </row>
    <row r="1070" spans="1:21">
      <c r="A1070">
        <v>1069</v>
      </c>
      <c r="B1070" s="3" t="s">
        <v>1563</v>
      </c>
      <c r="C1070" s="3" t="s">
        <v>1562</v>
      </c>
      <c r="D1070" s="3" t="s">
        <v>2866</v>
      </c>
      <c r="E1070" s="3" t="s">
        <v>4072</v>
      </c>
      <c r="F1070" s="3">
        <v>383</v>
      </c>
      <c r="G1070" s="4">
        <v>41244.529861111114</v>
      </c>
      <c r="H1070" s="3">
        <v>4</v>
      </c>
      <c r="I1070" s="5">
        <v>13</v>
      </c>
      <c r="J1070" t="s">
        <v>766</v>
      </c>
      <c r="K1070" t="s">
        <v>4498</v>
      </c>
      <c r="L1070">
        <v>536522</v>
      </c>
      <c r="M1070" s="2">
        <v>22481</v>
      </c>
      <c r="N1070">
        <v>1.25</v>
      </c>
      <c r="O1070" s="6">
        <v>3</v>
      </c>
      <c r="P1070" s="3">
        <v>0.1</v>
      </c>
      <c r="Q1070" t="s">
        <v>6</v>
      </c>
      <c r="R1070" s="7">
        <f t="shared" si="48"/>
        <v>3.75</v>
      </c>
      <c r="S1070" s="7">
        <f t="shared" si="49"/>
        <v>0.375</v>
      </c>
      <c r="T1070">
        <f>Table1[[#This Row],[Total price]]-Table1[[#This Row],[Discount Amount]]</f>
        <v>3.375</v>
      </c>
      <c r="U1070">
        <f t="shared" si="50"/>
        <v>10.125</v>
      </c>
    </row>
    <row r="1071" spans="1:21">
      <c r="A1071">
        <v>1070</v>
      </c>
      <c r="B1071" s="3" t="s">
        <v>1561</v>
      </c>
      <c r="C1071" s="3" t="s">
        <v>1560</v>
      </c>
      <c r="D1071" s="3" t="s">
        <v>2866</v>
      </c>
      <c r="E1071" s="3" t="s">
        <v>4073</v>
      </c>
      <c r="F1071" s="3">
        <v>383</v>
      </c>
      <c r="G1071" s="4">
        <v>41244.529861111114</v>
      </c>
      <c r="H1071" s="3">
        <v>4</v>
      </c>
      <c r="I1071" s="5">
        <v>21</v>
      </c>
      <c r="J1071" t="s">
        <v>38</v>
      </c>
      <c r="K1071" t="s">
        <v>4498</v>
      </c>
      <c r="L1071">
        <v>536522</v>
      </c>
      <c r="M1071" s="2" t="s">
        <v>37</v>
      </c>
      <c r="N1071">
        <v>1.95</v>
      </c>
      <c r="O1071" s="6">
        <v>1</v>
      </c>
      <c r="P1071" s="3">
        <v>0.05</v>
      </c>
      <c r="Q1071" t="s">
        <v>6</v>
      </c>
      <c r="R1071" s="7">
        <f t="shared" si="48"/>
        <v>1.95</v>
      </c>
      <c r="S1071" s="7">
        <f t="shared" si="49"/>
        <v>9.7500000000000003E-2</v>
      </c>
      <c r="T1071">
        <f>Table1[[#This Row],[Total price]]-Table1[[#This Row],[Discount Amount]]</f>
        <v>1.8525</v>
      </c>
      <c r="U1071">
        <f t="shared" si="50"/>
        <v>1.8525</v>
      </c>
    </row>
    <row r="1072" spans="1:21">
      <c r="A1072">
        <v>1071</v>
      </c>
      <c r="B1072" s="3" t="s">
        <v>1559</v>
      </c>
      <c r="C1072" s="3" t="s">
        <v>1558</v>
      </c>
      <c r="D1072" s="3" t="s">
        <v>2866</v>
      </c>
      <c r="E1072" s="3" t="s">
        <v>4074</v>
      </c>
      <c r="F1072" s="3">
        <v>383</v>
      </c>
      <c r="G1072" s="4">
        <v>41244.529861111114</v>
      </c>
      <c r="H1072" s="3">
        <v>4</v>
      </c>
      <c r="I1072" s="5">
        <v>14</v>
      </c>
      <c r="J1072" t="s">
        <v>342</v>
      </c>
      <c r="K1072" t="s">
        <v>4498</v>
      </c>
      <c r="L1072">
        <v>536522</v>
      </c>
      <c r="M1072" s="2">
        <v>21931</v>
      </c>
      <c r="N1072">
        <v>1.95</v>
      </c>
      <c r="O1072" s="6">
        <v>1</v>
      </c>
      <c r="P1072" s="3">
        <v>0.1</v>
      </c>
      <c r="Q1072" t="s">
        <v>6</v>
      </c>
      <c r="R1072" s="7">
        <f t="shared" si="48"/>
        <v>1.95</v>
      </c>
      <c r="S1072" s="7">
        <f t="shared" si="49"/>
        <v>0.19500000000000001</v>
      </c>
      <c r="T1072">
        <f>Table1[[#This Row],[Total price]]-Table1[[#This Row],[Discount Amount]]</f>
        <v>1.7549999999999999</v>
      </c>
      <c r="U1072">
        <f t="shared" si="50"/>
        <v>1.7549999999999999</v>
      </c>
    </row>
    <row r="1073" spans="1:21">
      <c r="A1073">
        <v>1072</v>
      </c>
      <c r="B1073" s="3" t="s">
        <v>1557</v>
      </c>
      <c r="C1073" s="3" t="s">
        <v>1504</v>
      </c>
      <c r="D1073" s="3" t="s">
        <v>2866</v>
      </c>
      <c r="E1073" s="3" t="s">
        <v>4075</v>
      </c>
      <c r="F1073" s="3">
        <v>384</v>
      </c>
      <c r="G1073" s="4">
        <v>41244.529861111114</v>
      </c>
      <c r="H1073" s="3">
        <v>3</v>
      </c>
      <c r="I1073" s="5">
        <v>20</v>
      </c>
      <c r="J1073" t="s">
        <v>290</v>
      </c>
      <c r="K1073" t="s">
        <v>4498</v>
      </c>
      <c r="L1073">
        <v>536523</v>
      </c>
      <c r="M1073" s="2">
        <v>22943</v>
      </c>
      <c r="N1073">
        <v>4.95</v>
      </c>
      <c r="O1073" s="6">
        <v>6</v>
      </c>
      <c r="P1073" s="3">
        <v>0.1</v>
      </c>
      <c r="Q1073" t="s">
        <v>6</v>
      </c>
      <c r="R1073" s="7">
        <f t="shared" si="48"/>
        <v>29.700000000000003</v>
      </c>
      <c r="S1073" s="7">
        <f t="shared" si="49"/>
        <v>2.9700000000000006</v>
      </c>
      <c r="T1073">
        <f>Table1[[#This Row],[Total price]]-Table1[[#This Row],[Discount Amount]]</f>
        <v>26.730000000000004</v>
      </c>
      <c r="U1073">
        <f t="shared" si="50"/>
        <v>160.38000000000002</v>
      </c>
    </row>
    <row r="1074" spans="1:21">
      <c r="A1074">
        <v>1073</v>
      </c>
      <c r="B1074" s="3" t="s">
        <v>1556</v>
      </c>
      <c r="C1074" s="3" t="s">
        <v>1312</v>
      </c>
      <c r="D1074" s="3" t="s">
        <v>2866</v>
      </c>
      <c r="E1074" s="3" t="s">
        <v>4076</v>
      </c>
      <c r="F1074" s="3">
        <v>384</v>
      </c>
      <c r="G1074" s="4">
        <v>41244.529861111114</v>
      </c>
      <c r="H1074" s="3">
        <v>4</v>
      </c>
      <c r="I1074" s="5">
        <v>21</v>
      </c>
      <c r="J1074" t="s">
        <v>556</v>
      </c>
      <c r="K1074" t="s">
        <v>4498</v>
      </c>
      <c r="L1074">
        <v>536523</v>
      </c>
      <c r="M1074" s="2">
        <v>22468</v>
      </c>
      <c r="N1074">
        <v>6.75</v>
      </c>
      <c r="O1074" s="6">
        <v>2</v>
      </c>
      <c r="P1074" s="3">
        <v>0.2</v>
      </c>
      <c r="Q1074" t="s">
        <v>6</v>
      </c>
      <c r="R1074" s="7">
        <f t="shared" si="48"/>
        <v>13.5</v>
      </c>
      <c r="S1074" s="7">
        <f t="shared" si="49"/>
        <v>2.7</v>
      </c>
      <c r="T1074">
        <f>Table1[[#This Row],[Total price]]-Table1[[#This Row],[Discount Amount]]</f>
        <v>10.8</v>
      </c>
      <c r="U1074">
        <f t="shared" si="50"/>
        <v>21.6</v>
      </c>
    </row>
    <row r="1075" spans="1:21">
      <c r="A1075">
        <v>1074</v>
      </c>
      <c r="B1075" s="3" t="s">
        <v>1555</v>
      </c>
      <c r="C1075" s="3" t="s">
        <v>1554</v>
      </c>
      <c r="D1075" s="3" t="s">
        <v>2866</v>
      </c>
      <c r="E1075" s="3" t="s">
        <v>4077</v>
      </c>
      <c r="F1075" s="3">
        <v>384</v>
      </c>
      <c r="G1075" s="4">
        <v>41244.529861111114</v>
      </c>
      <c r="H1075" s="3">
        <v>3</v>
      </c>
      <c r="I1075" s="5">
        <v>8</v>
      </c>
      <c r="J1075" t="s">
        <v>139</v>
      </c>
      <c r="K1075" t="s">
        <v>4498</v>
      </c>
      <c r="L1075">
        <v>536523</v>
      </c>
      <c r="M1075" s="2">
        <v>22149</v>
      </c>
      <c r="N1075">
        <v>2.1</v>
      </c>
      <c r="O1075" s="6">
        <v>6</v>
      </c>
      <c r="P1075" s="3">
        <v>0.05</v>
      </c>
      <c r="Q1075" t="s">
        <v>6</v>
      </c>
      <c r="R1075" s="7">
        <f t="shared" si="48"/>
        <v>12.600000000000001</v>
      </c>
      <c r="S1075" s="7">
        <f t="shared" si="49"/>
        <v>0.63000000000000012</v>
      </c>
      <c r="T1075">
        <f>Table1[[#This Row],[Total price]]-Table1[[#This Row],[Discount Amount]]</f>
        <v>11.97</v>
      </c>
      <c r="U1075">
        <f t="shared" si="50"/>
        <v>71.820000000000007</v>
      </c>
    </row>
    <row r="1076" spans="1:21">
      <c r="A1076">
        <v>1075</v>
      </c>
      <c r="B1076" s="3" t="s">
        <v>1553</v>
      </c>
      <c r="C1076" s="3" t="s">
        <v>1106</v>
      </c>
      <c r="D1076" s="3" t="s">
        <v>2866</v>
      </c>
      <c r="E1076" s="3" t="s">
        <v>4078</v>
      </c>
      <c r="F1076" s="3">
        <v>384</v>
      </c>
      <c r="G1076" s="4">
        <v>41244.529861111114</v>
      </c>
      <c r="H1076" s="3">
        <v>4</v>
      </c>
      <c r="I1076" s="5">
        <v>15</v>
      </c>
      <c r="J1076" t="s">
        <v>78</v>
      </c>
      <c r="K1076" t="s">
        <v>4498</v>
      </c>
      <c r="L1076">
        <v>536523</v>
      </c>
      <c r="M1076" s="2">
        <v>21485</v>
      </c>
      <c r="N1076">
        <v>4.95</v>
      </c>
      <c r="O1076" s="6">
        <v>3</v>
      </c>
      <c r="P1076" s="3">
        <v>0.1</v>
      </c>
      <c r="Q1076" t="s">
        <v>6</v>
      </c>
      <c r="R1076" s="7">
        <f t="shared" si="48"/>
        <v>14.850000000000001</v>
      </c>
      <c r="S1076" s="7">
        <f t="shared" si="49"/>
        <v>1.4850000000000003</v>
      </c>
      <c r="T1076">
        <f>Table1[[#This Row],[Total price]]-Table1[[#This Row],[Discount Amount]]</f>
        <v>13.365000000000002</v>
      </c>
      <c r="U1076">
        <f t="shared" si="50"/>
        <v>40.095000000000006</v>
      </c>
    </row>
    <row r="1077" spans="1:21">
      <c r="A1077">
        <v>1076</v>
      </c>
      <c r="B1077" s="3" t="s">
        <v>1552</v>
      </c>
      <c r="C1077" s="3" t="s">
        <v>1551</v>
      </c>
      <c r="D1077" s="3" t="s">
        <v>2866</v>
      </c>
      <c r="E1077" s="3" t="s">
        <v>4079</v>
      </c>
      <c r="F1077" s="3">
        <v>384</v>
      </c>
      <c r="G1077" s="4">
        <v>41244.529861111114</v>
      </c>
      <c r="H1077" s="3">
        <v>4</v>
      </c>
      <c r="I1077" s="5">
        <v>4</v>
      </c>
      <c r="J1077" t="s">
        <v>592</v>
      </c>
      <c r="K1077" t="s">
        <v>4498</v>
      </c>
      <c r="L1077">
        <v>536523</v>
      </c>
      <c r="M1077" s="2">
        <v>21259</v>
      </c>
      <c r="N1077">
        <v>5.95</v>
      </c>
      <c r="O1077" s="6">
        <v>2</v>
      </c>
      <c r="P1077" s="3">
        <v>0.2</v>
      </c>
      <c r="Q1077" t="s">
        <v>6</v>
      </c>
      <c r="R1077" s="7">
        <f t="shared" si="48"/>
        <v>11.9</v>
      </c>
      <c r="S1077" s="7">
        <f t="shared" si="49"/>
        <v>2.3800000000000003</v>
      </c>
      <c r="T1077">
        <f>Table1[[#This Row],[Total price]]-Table1[[#This Row],[Discount Amount]]</f>
        <v>9.52</v>
      </c>
      <c r="U1077">
        <f t="shared" si="50"/>
        <v>19.04</v>
      </c>
    </row>
    <row r="1078" spans="1:21">
      <c r="A1078">
        <v>1077</v>
      </c>
      <c r="B1078" s="3" t="s">
        <v>1550</v>
      </c>
      <c r="C1078" s="3" t="s">
        <v>983</v>
      </c>
      <c r="D1078" s="3" t="s">
        <v>2866</v>
      </c>
      <c r="E1078" s="3" t="s">
        <v>4080</v>
      </c>
      <c r="F1078" s="3">
        <v>385</v>
      </c>
      <c r="G1078" s="4">
        <v>41244.529861111114</v>
      </c>
      <c r="H1078" s="3">
        <v>4</v>
      </c>
      <c r="I1078" s="5">
        <v>21</v>
      </c>
      <c r="J1078" t="s">
        <v>861</v>
      </c>
      <c r="K1078" t="s">
        <v>4498</v>
      </c>
      <c r="L1078">
        <v>536523</v>
      </c>
      <c r="M1078" s="2">
        <v>22969</v>
      </c>
      <c r="N1078">
        <v>1.45</v>
      </c>
      <c r="O1078" s="6">
        <v>12</v>
      </c>
      <c r="P1078" s="3">
        <v>7.0000000000000007E-2</v>
      </c>
      <c r="Q1078" t="s">
        <v>6</v>
      </c>
      <c r="R1078" s="7">
        <f t="shared" si="48"/>
        <v>17.399999999999999</v>
      </c>
      <c r="S1078" s="7">
        <f t="shared" si="49"/>
        <v>1.218</v>
      </c>
      <c r="T1078">
        <f>Table1[[#This Row],[Total price]]-Table1[[#This Row],[Discount Amount]]</f>
        <v>16.181999999999999</v>
      </c>
      <c r="U1078">
        <f t="shared" si="50"/>
        <v>194.18399999999997</v>
      </c>
    </row>
    <row r="1079" spans="1:21">
      <c r="A1079">
        <v>1078</v>
      </c>
      <c r="B1079" s="3" t="s">
        <v>1549</v>
      </c>
      <c r="C1079" s="3" t="s">
        <v>1548</v>
      </c>
      <c r="D1079" s="3" t="s">
        <v>2866</v>
      </c>
      <c r="E1079" s="3" t="s">
        <v>4081</v>
      </c>
      <c r="F1079" s="3">
        <v>385</v>
      </c>
      <c r="G1079" s="4">
        <v>41244.529861111114</v>
      </c>
      <c r="H1079" s="3">
        <v>4</v>
      </c>
      <c r="I1079" s="5">
        <v>7</v>
      </c>
      <c r="J1079" t="s">
        <v>561</v>
      </c>
      <c r="K1079" t="s">
        <v>4498</v>
      </c>
      <c r="L1079">
        <v>536523</v>
      </c>
      <c r="M1079" s="2">
        <v>22699</v>
      </c>
      <c r="N1079">
        <v>2.95</v>
      </c>
      <c r="O1079" s="6">
        <v>6</v>
      </c>
      <c r="P1079" s="3">
        <v>0.2</v>
      </c>
      <c r="Q1079" t="s">
        <v>6</v>
      </c>
      <c r="R1079" s="7">
        <f t="shared" si="48"/>
        <v>17.700000000000003</v>
      </c>
      <c r="S1079" s="7">
        <f t="shared" si="49"/>
        <v>3.5400000000000009</v>
      </c>
      <c r="T1079">
        <f>Table1[[#This Row],[Total price]]-Table1[[#This Row],[Discount Amount]]</f>
        <v>14.160000000000002</v>
      </c>
      <c r="U1079">
        <f t="shared" si="50"/>
        <v>84.960000000000008</v>
      </c>
    </row>
    <row r="1080" spans="1:21">
      <c r="A1080">
        <v>1079</v>
      </c>
      <c r="B1080" s="3" t="s">
        <v>1547</v>
      </c>
      <c r="C1080" s="3" t="s">
        <v>1121</v>
      </c>
      <c r="D1080" s="3" t="s">
        <v>2866</v>
      </c>
      <c r="E1080" s="3" t="s">
        <v>4082</v>
      </c>
      <c r="F1080" s="3">
        <v>385</v>
      </c>
      <c r="G1080" s="4">
        <v>41244.529861111114</v>
      </c>
      <c r="H1080" s="3">
        <v>4</v>
      </c>
      <c r="I1080" s="5">
        <v>26</v>
      </c>
      <c r="J1080" t="s">
        <v>699</v>
      </c>
      <c r="K1080" t="s">
        <v>4498</v>
      </c>
      <c r="L1080">
        <v>536523</v>
      </c>
      <c r="M1080" s="2">
        <v>22217</v>
      </c>
      <c r="N1080">
        <v>1.25</v>
      </c>
      <c r="O1080" s="6">
        <v>12</v>
      </c>
      <c r="P1080" s="3">
        <v>0.05</v>
      </c>
      <c r="Q1080" t="s">
        <v>6</v>
      </c>
      <c r="R1080" s="7">
        <f t="shared" si="48"/>
        <v>15</v>
      </c>
      <c r="S1080" s="7">
        <f t="shared" si="49"/>
        <v>0.75</v>
      </c>
      <c r="T1080">
        <f>Table1[[#This Row],[Total price]]-Table1[[#This Row],[Discount Amount]]</f>
        <v>14.25</v>
      </c>
      <c r="U1080">
        <f t="shared" si="50"/>
        <v>171</v>
      </c>
    </row>
    <row r="1081" spans="1:21">
      <c r="A1081">
        <v>1080</v>
      </c>
      <c r="B1081" s="3" t="s">
        <v>1546</v>
      </c>
      <c r="C1081" s="3" t="s">
        <v>1545</v>
      </c>
      <c r="D1081" s="3" t="s">
        <v>2866</v>
      </c>
      <c r="E1081" s="3" t="s">
        <v>4083</v>
      </c>
      <c r="F1081" s="3">
        <v>386</v>
      </c>
      <c r="G1081" s="4">
        <v>41244.529861111114</v>
      </c>
      <c r="H1081" s="3">
        <v>4</v>
      </c>
      <c r="I1081" s="5">
        <v>8</v>
      </c>
      <c r="J1081" t="s">
        <v>433</v>
      </c>
      <c r="K1081" t="s">
        <v>4498</v>
      </c>
      <c r="L1081">
        <v>536523</v>
      </c>
      <c r="M1081" s="2">
        <v>22227</v>
      </c>
      <c r="N1081">
        <v>0.65</v>
      </c>
      <c r="O1081" s="6">
        <v>24</v>
      </c>
      <c r="P1081" s="3">
        <v>0.2</v>
      </c>
      <c r="Q1081" t="s">
        <v>6</v>
      </c>
      <c r="R1081" s="7">
        <f t="shared" si="48"/>
        <v>15.600000000000001</v>
      </c>
      <c r="S1081" s="7">
        <f t="shared" si="49"/>
        <v>3.1200000000000006</v>
      </c>
      <c r="T1081">
        <f>Table1[[#This Row],[Total price]]-Table1[[#This Row],[Discount Amount]]</f>
        <v>12.48</v>
      </c>
      <c r="U1081">
        <f t="shared" si="50"/>
        <v>299.52</v>
      </c>
    </row>
    <row r="1082" spans="1:21">
      <c r="A1082">
        <v>1081</v>
      </c>
      <c r="B1082" s="3" t="s">
        <v>1155</v>
      </c>
      <c r="C1082" s="3" t="s">
        <v>1544</v>
      </c>
      <c r="D1082" s="3" t="s">
        <v>2866</v>
      </c>
      <c r="E1082" s="3" t="s">
        <v>4084</v>
      </c>
      <c r="F1082" s="3">
        <v>386</v>
      </c>
      <c r="G1082" s="4">
        <v>41244.529861111114</v>
      </c>
      <c r="H1082" s="3">
        <v>4</v>
      </c>
      <c r="I1082" s="5">
        <v>3</v>
      </c>
      <c r="J1082" t="s">
        <v>520</v>
      </c>
      <c r="K1082" t="s">
        <v>4498</v>
      </c>
      <c r="L1082">
        <v>536523</v>
      </c>
      <c r="M1082" s="2">
        <v>22219</v>
      </c>
      <c r="N1082">
        <v>0.85</v>
      </c>
      <c r="O1082" s="6">
        <v>12</v>
      </c>
      <c r="P1082" s="3">
        <v>0.05</v>
      </c>
      <c r="Q1082" t="s">
        <v>6</v>
      </c>
      <c r="R1082" s="7">
        <f t="shared" si="48"/>
        <v>10.199999999999999</v>
      </c>
      <c r="S1082" s="7">
        <f t="shared" si="49"/>
        <v>0.51</v>
      </c>
      <c r="T1082">
        <f>Table1[[#This Row],[Total price]]-Table1[[#This Row],[Discount Amount]]</f>
        <v>9.69</v>
      </c>
      <c r="U1082">
        <f t="shared" si="50"/>
        <v>116.28</v>
      </c>
    </row>
    <row r="1083" spans="1:21">
      <c r="A1083">
        <v>1082</v>
      </c>
      <c r="B1083" s="3" t="s">
        <v>1111</v>
      </c>
      <c r="C1083" s="3" t="s">
        <v>1543</v>
      </c>
      <c r="D1083" s="3" t="s">
        <v>4085</v>
      </c>
      <c r="E1083" s="3" t="s">
        <v>4086</v>
      </c>
      <c r="F1083" s="3">
        <v>386</v>
      </c>
      <c r="G1083" s="4">
        <v>41244.529861111114</v>
      </c>
      <c r="H1083" s="3">
        <v>4</v>
      </c>
      <c r="I1083" s="5">
        <v>16</v>
      </c>
      <c r="J1083" t="s">
        <v>15</v>
      </c>
      <c r="K1083" t="s">
        <v>4498</v>
      </c>
      <c r="L1083">
        <v>536523</v>
      </c>
      <c r="M1083" s="2">
        <v>22111</v>
      </c>
      <c r="N1083">
        <v>4.95</v>
      </c>
      <c r="O1083" s="6">
        <v>3</v>
      </c>
      <c r="P1083" s="3">
        <v>0.2</v>
      </c>
      <c r="Q1083" t="s">
        <v>6</v>
      </c>
      <c r="R1083" s="7">
        <f t="shared" si="48"/>
        <v>14.850000000000001</v>
      </c>
      <c r="S1083" s="7">
        <f t="shared" si="49"/>
        <v>2.9700000000000006</v>
      </c>
      <c r="T1083">
        <f>Table1[[#This Row],[Total price]]-Table1[[#This Row],[Discount Amount]]</f>
        <v>11.88</v>
      </c>
      <c r="U1083">
        <f t="shared" si="50"/>
        <v>35.64</v>
      </c>
    </row>
    <row r="1084" spans="1:21">
      <c r="A1084">
        <v>1083</v>
      </c>
      <c r="B1084" s="3" t="s">
        <v>1542</v>
      </c>
      <c r="C1084" s="3" t="s">
        <v>1541</v>
      </c>
      <c r="D1084" s="3" t="s">
        <v>2866</v>
      </c>
      <c r="E1084" s="3" t="s">
        <v>4087</v>
      </c>
      <c r="F1084" s="3">
        <v>387</v>
      </c>
      <c r="G1084" s="4">
        <v>41244.529861111114</v>
      </c>
      <c r="H1084" s="3">
        <v>4</v>
      </c>
      <c r="I1084" s="5">
        <v>18</v>
      </c>
      <c r="J1084" t="s">
        <v>638</v>
      </c>
      <c r="K1084" t="s">
        <v>4498</v>
      </c>
      <c r="L1084">
        <v>536523</v>
      </c>
      <c r="M1084" s="2">
        <v>22294</v>
      </c>
      <c r="N1084">
        <v>1.25</v>
      </c>
      <c r="O1084" s="6">
        <v>24</v>
      </c>
      <c r="P1084" s="3">
        <v>0.2</v>
      </c>
      <c r="Q1084" t="s">
        <v>6</v>
      </c>
      <c r="R1084" s="7">
        <f t="shared" si="48"/>
        <v>30</v>
      </c>
      <c r="S1084" s="7">
        <f t="shared" si="49"/>
        <v>6</v>
      </c>
      <c r="T1084">
        <f>Table1[[#This Row],[Total price]]-Table1[[#This Row],[Discount Amount]]</f>
        <v>24</v>
      </c>
      <c r="U1084">
        <f t="shared" si="50"/>
        <v>576</v>
      </c>
    </row>
    <row r="1085" spans="1:21">
      <c r="A1085">
        <v>1084</v>
      </c>
      <c r="B1085" s="3" t="s">
        <v>1540</v>
      </c>
      <c r="C1085" s="3" t="s">
        <v>1539</v>
      </c>
      <c r="D1085" s="3" t="s">
        <v>2866</v>
      </c>
      <c r="E1085" s="3" t="s">
        <v>4088</v>
      </c>
      <c r="F1085" s="3">
        <v>388</v>
      </c>
      <c r="G1085" s="4">
        <v>41244.529861111114</v>
      </c>
      <c r="H1085" s="3">
        <v>4</v>
      </c>
      <c r="I1085" s="5">
        <v>19</v>
      </c>
      <c r="J1085" t="s">
        <v>469</v>
      </c>
      <c r="K1085" t="s">
        <v>4498</v>
      </c>
      <c r="L1085">
        <v>536524</v>
      </c>
      <c r="M1085" s="2">
        <v>21111</v>
      </c>
      <c r="N1085">
        <v>2.95</v>
      </c>
      <c r="O1085" s="6">
        <v>6</v>
      </c>
      <c r="P1085" s="3">
        <v>0.2</v>
      </c>
      <c r="Q1085" t="s">
        <v>6</v>
      </c>
      <c r="R1085" s="7">
        <f t="shared" si="48"/>
        <v>17.700000000000003</v>
      </c>
      <c r="S1085" s="7">
        <f t="shared" si="49"/>
        <v>3.5400000000000009</v>
      </c>
      <c r="T1085">
        <f>Table1[[#This Row],[Total price]]-Table1[[#This Row],[Discount Amount]]</f>
        <v>14.160000000000002</v>
      </c>
      <c r="U1085">
        <f t="shared" si="50"/>
        <v>84.960000000000008</v>
      </c>
    </row>
    <row r="1086" spans="1:21">
      <c r="A1086">
        <v>1085</v>
      </c>
      <c r="B1086" s="3" t="s">
        <v>1538</v>
      </c>
      <c r="C1086" s="3" t="s">
        <v>1022</v>
      </c>
      <c r="D1086" s="3" t="s">
        <v>2866</v>
      </c>
      <c r="E1086" s="3" t="s">
        <v>4089</v>
      </c>
      <c r="F1086" s="3">
        <v>388</v>
      </c>
      <c r="G1086" s="4">
        <v>41244.529861111114</v>
      </c>
      <c r="H1086" s="3">
        <v>4</v>
      </c>
      <c r="I1086" s="5">
        <v>13</v>
      </c>
      <c r="J1086" t="s">
        <v>236</v>
      </c>
      <c r="K1086" t="s">
        <v>4498</v>
      </c>
      <c r="L1086">
        <v>536524</v>
      </c>
      <c r="M1086" s="2">
        <v>21106</v>
      </c>
      <c r="N1086">
        <v>2.95</v>
      </c>
      <c r="O1086" s="6">
        <v>6</v>
      </c>
      <c r="P1086" s="3">
        <v>7.0000000000000007E-2</v>
      </c>
      <c r="Q1086" t="s">
        <v>6</v>
      </c>
      <c r="R1086" s="7">
        <f t="shared" si="48"/>
        <v>17.700000000000003</v>
      </c>
      <c r="S1086" s="7">
        <f t="shared" si="49"/>
        <v>1.2390000000000003</v>
      </c>
      <c r="T1086">
        <f>Table1[[#This Row],[Total price]]-Table1[[#This Row],[Discount Amount]]</f>
        <v>16.461000000000002</v>
      </c>
      <c r="U1086">
        <f t="shared" si="50"/>
        <v>98.76600000000002</v>
      </c>
    </row>
    <row r="1087" spans="1:21">
      <c r="A1087">
        <v>1086</v>
      </c>
      <c r="B1087" s="3" t="s">
        <v>1537</v>
      </c>
      <c r="C1087" s="3" t="s">
        <v>1536</v>
      </c>
      <c r="D1087" s="3" t="s">
        <v>2866</v>
      </c>
      <c r="E1087" s="3" t="s">
        <v>4090</v>
      </c>
      <c r="F1087" s="3">
        <v>388</v>
      </c>
      <c r="G1087" s="4">
        <v>41244.529861111114</v>
      </c>
      <c r="H1087" s="3">
        <v>4</v>
      </c>
      <c r="I1087" s="5">
        <v>2</v>
      </c>
      <c r="J1087" t="s">
        <v>444</v>
      </c>
      <c r="K1087" t="s">
        <v>4498</v>
      </c>
      <c r="L1087">
        <v>536524</v>
      </c>
      <c r="M1087" s="2">
        <v>21107</v>
      </c>
      <c r="N1087">
        <v>2.95</v>
      </c>
      <c r="O1087" s="6">
        <v>6</v>
      </c>
      <c r="P1087" s="3">
        <v>7.0000000000000007E-2</v>
      </c>
      <c r="Q1087" t="s">
        <v>6</v>
      </c>
      <c r="R1087" s="7">
        <f t="shared" si="48"/>
        <v>17.700000000000003</v>
      </c>
      <c r="S1087" s="7">
        <f t="shared" si="49"/>
        <v>1.2390000000000003</v>
      </c>
      <c r="T1087">
        <f>Table1[[#This Row],[Total price]]-Table1[[#This Row],[Discount Amount]]</f>
        <v>16.461000000000002</v>
      </c>
      <c r="U1087">
        <f t="shared" si="50"/>
        <v>98.76600000000002</v>
      </c>
    </row>
    <row r="1088" spans="1:21">
      <c r="A1088">
        <v>1087</v>
      </c>
      <c r="B1088" s="3" t="s">
        <v>1535</v>
      </c>
      <c r="C1088" s="3" t="s">
        <v>1385</v>
      </c>
      <c r="D1088" s="3" t="s">
        <v>2866</v>
      </c>
      <c r="E1088" s="3" t="s">
        <v>4091</v>
      </c>
      <c r="F1088" s="3">
        <v>388</v>
      </c>
      <c r="G1088" s="4">
        <v>41244.529861111114</v>
      </c>
      <c r="H1088" s="3">
        <v>4</v>
      </c>
      <c r="I1088" s="5">
        <v>11</v>
      </c>
      <c r="J1088" t="s">
        <v>598</v>
      </c>
      <c r="K1088" t="s">
        <v>4498</v>
      </c>
      <c r="L1088">
        <v>536524</v>
      </c>
      <c r="M1088" s="2">
        <v>22697</v>
      </c>
      <c r="N1088">
        <v>2.95</v>
      </c>
      <c r="O1088" s="6">
        <v>6</v>
      </c>
      <c r="P1088" s="3">
        <v>0.1</v>
      </c>
      <c r="Q1088" t="s">
        <v>7</v>
      </c>
      <c r="R1088" s="7">
        <f t="shared" si="48"/>
        <v>17.700000000000003</v>
      </c>
      <c r="S1088" s="7">
        <f t="shared" si="49"/>
        <v>1.7700000000000005</v>
      </c>
      <c r="T1088">
        <f>Table1[[#This Row],[Total price]]-Table1[[#This Row],[Discount Amount]]</f>
        <v>15.930000000000003</v>
      </c>
      <c r="U1088">
        <f t="shared" si="50"/>
        <v>95.580000000000013</v>
      </c>
    </row>
    <row r="1089" spans="1:21">
      <c r="A1089">
        <v>1088</v>
      </c>
      <c r="B1089" s="3" t="s">
        <v>1534</v>
      </c>
      <c r="C1089" s="3" t="s">
        <v>1533</v>
      </c>
      <c r="D1089" s="3" t="s">
        <v>2866</v>
      </c>
      <c r="E1089" s="3" t="s">
        <v>4092</v>
      </c>
      <c r="F1089" s="3">
        <v>389</v>
      </c>
      <c r="G1089" s="4">
        <v>41244.529861111114</v>
      </c>
      <c r="H1089" s="3">
        <v>4</v>
      </c>
      <c r="I1089" s="5">
        <v>2</v>
      </c>
      <c r="J1089" t="s">
        <v>551</v>
      </c>
      <c r="K1089" t="s">
        <v>4498</v>
      </c>
      <c r="L1089">
        <v>536525</v>
      </c>
      <c r="M1089" s="2">
        <v>21826</v>
      </c>
      <c r="N1089">
        <v>1.25</v>
      </c>
      <c r="O1089" s="6">
        <v>2</v>
      </c>
      <c r="P1089" s="3">
        <v>7.0000000000000007E-2</v>
      </c>
      <c r="Q1089" t="s">
        <v>7</v>
      </c>
      <c r="R1089" s="7">
        <f t="shared" si="48"/>
        <v>2.5</v>
      </c>
      <c r="S1089" s="7">
        <f t="shared" si="49"/>
        <v>0.17500000000000002</v>
      </c>
      <c r="T1089">
        <f>Table1[[#This Row],[Total price]]-Table1[[#This Row],[Discount Amount]]</f>
        <v>2.3250000000000002</v>
      </c>
      <c r="U1089">
        <f t="shared" si="50"/>
        <v>4.6500000000000004</v>
      </c>
    </row>
    <row r="1090" spans="1:21">
      <c r="A1090">
        <v>1089</v>
      </c>
      <c r="B1090" s="3" t="s">
        <v>1532</v>
      </c>
      <c r="C1090" s="3" t="s">
        <v>1531</v>
      </c>
      <c r="D1090" s="3" t="s">
        <v>2866</v>
      </c>
      <c r="E1090" s="3" t="s">
        <v>4093</v>
      </c>
      <c r="F1090" s="3">
        <v>389</v>
      </c>
      <c r="G1090" s="4">
        <v>41244.529861111114</v>
      </c>
      <c r="H1090" s="3">
        <v>3</v>
      </c>
      <c r="I1090" s="5">
        <v>15</v>
      </c>
      <c r="J1090" t="s">
        <v>83</v>
      </c>
      <c r="K1090" t="s">
        <v>4498</v>
      </c>
      <c r="L1090">
        <v>536525</v>
      </c>
      <c r="M1090" s="2">
        <v>21791</v>
      </c>
      <c r="N1090">
        <v>1.25</v>
      </c>
      <c r="O1090" s="6">
        <v>1</v>
      </c>
      <c r="P1090" s="3">
        <v>7.0000000000000007E-2</v>
      </c>
      <c r="Q1090" t="s">
        <v>7</v>
      </c>
      <c r="R1090" s="7">
        <f t="shared" si="48"/>
        <v>1.25</v>
      </c>
      <c r="S1090" s="7">
        <f t="shared" si="49"/>
        <v>8.7500000000000008E-2</v>
      </c>
      <c r="T1090">
        <f>Table1[[#This Row],[Total price]]-Table1[[#This Row],[Discount Amount]]</f>
        <v>1.1625000000000001</v>
      </c>
      <c r="U1090">
        <f t="shared" si="50"/>
        <v>1.1625000000000001</v>
      </c>
    </row>
    <row r="1091" spans="1:21">
      <c r="A1091">
        <v>1090</v>
      </c>
      <c r="B1091" s="3" t="s">
        <v>1530</v>
      </c>
      <c r="C1091" s="3" t="s">
        <v>1529</v>
      </c>
      <c r="D1091" s="3" t="s">
        <v>2866</v>
      </c>
      <c r="E1091" s="3" t="s">
        <v>4094</v>
      </c>
      <c r="F1091" s="3">
        <v>389</v>
      </c>
      <c r="G1091" s="4">
        <v>41244.529861111114</v>
      </c>
      <c r="H1091" s="3">
        <v>4</v>
      </c>
      <c r="I1091" s="5">
        <v>10</v>
      </c>
      <c r="J1091" t="s">
        <v>389</v>
      </c>
      <c r="K1091" t="s">
        <v>4498</v>
      </c>
      <c r="L1091">
        <v>536525</v>
      </c>
      <c r="M1091" s="2">
        <v>22548</v>
      </c>
      <c r="N1091">
        <v>1.25</v>
      </c>
      <c r="O1091" s="6">
        <v>1</v>
      </c>
      <c r="P1091" s="3">
        <v>0.05</v>
      </c>
      <c r="Q1091" t="s">
        <v>7</v>
      </c>
      <c r="R1091" s="7">
        <f t="shared" ref="R1091:R1154" si="51">N1091*O1091</f>
        <v>1.25</v>
      </c>
      <c r="S1091" s="7">
        <f t="shared" ref="S1091:S1154" si="52">R1091*P1091</f>
        <v>6.25E-2</v>
      </c>
      <c r="T1091">
        <f>Table1[[#This Row],[Total price]]-Table1[[#This Row],[Discount Amount]]</f>
        <v>1.1875</v>
      </c>
      <c r="U1091">
        <f t="shared" ref="U1091:U1154" si="53">T1091*O1091</f>
        <v>1.1875</v>
      </c>
    </row>
    <row r="1092" spans="1:21">
      <c r="A1092">
        <v>1091</v>
      </c>
      <c r="B1092" s="3" t="s">
        <v>1528</v>
      </c>
      <c r="C1092" s="3" t="s">
        <v>1527</v>
      </c>
      <c r="D1092" s="3" t="s">
        <v>2866</v>
      </c>
      <c r="E1092" s="3" t="s">
        <v>4095</v>
      </c>
      <c r="F1092" s="3">
        <v>389</v>
      </c>
      <c r="G1092" s="4">
        <v>41244.529861111114</v>
      </c>
      <c r="H1092" s="3">
        <v>4</v>
      </c>
      <c r="I1092" s="5">
        <v>5</v>
      </c>
      <c r="J1092" t="s">
        <v>139</v>
      </c>
      <c r="K1092" t="s">
        <v>4498</v>
      </c>
      <c r="L1092">
        <v>536525</v>
      </c>
      <c r="M1092" s="2">
        <v>22149</v>
      </c>
      <c r="N1092">
        <v>2.1</v>
      </c>
      <c r="O1092" s="6">
        <v>1</v>
      </c>
      <c r="P1092" s="3">
        <v>0.05</v>
      </c>
      <c r="Q1092" t="s">
        <v>7</v>
      </c>
      <c r="R1092" s="7">
        <f t="shared" si="51"/>
        <v>2.1</v>
      </c>
      <c r="S1092" s="7">
        <f t="shared" si="52"/>
        <v>0.10500000000000001</v>
      </c>
      <c r="T1092">
        <f>Table1[[#This Row],[Total price]]-Table1[[#This Row],[Discount Amount]]</f>
        <v>1.9950000000000001</v>
      </c>
      <c r="U1092">
        <f t="shared" si="53"/>
        <v>1.9950000000000001</v>
      </c>
    </row>
    <row r="1093" spans="1:21">
      <c r="A1093">
        <v>1092</v>
      </c>
      <c r="B1093" s="3" t="s">
        <v>1526</v>
      </c>
      <c r="C1093" s="3" t="s">
        <v>944</v>
      </c>
      <c r="D1093" s="3" t="s">
        <v>2866</v>
      </c>
      <c r="E1093" s="3" t="s">
        <v>4096</v>
      </c>
      <c r="F1093" s="3">
        <v>389</v>
      </c>
      <c r="G1093" s="4">
        <v>41244.529861111114</v>
      </c>
      <c r="H1093" s="3">
        <v>4</v>
      </c>
      <c r="I1093" s="5">
        <v>9</v>
      </c>
      <c r="J1093" t="s">
        <v>686</v>
      </c>
      <c r="K1093" t="s">
        <v>4498</v>
      </c>
      <c r="L1093">
        <v>536525</v>
      </c>
      <c r="M1093" s="2" t="s">
        <v>685</v>
      </c>
      <c r="N1093">
        <v>0.42</v>
      </c>
      <c r="O1093" s="6">
        <v>2</v>
      </c>
      <c r="P1093" s="3">
        <v>0.2</v>
      </c>
      <c r="Q1093" t="s">
        <v>7</v>
      </c>
      <c r="R1093" s="7">
        <f t="shared" si="51"/>
        <v>0.84</v>
      </c>
      <c r="S1093" s="7">
        <f t="shared" si="52"/>
        <v>0.16800000000000001</v>
      </c>
      <c r="T1093">
        <f>Table1[[#This Row],[Total price]]-Table1[[#This Row],[Discount Amount]]</f>
        <v>0.67199999999999993</v>
      </c>
      <c r="U1093">
        <f t="shared" si="53"/>
        <v>1.3439999999999999</v>
      </c>
    </row>
    <row r="1094" spans="1:21">
      <c r="A1094">
        <v>1093</v>
      </c>
      <c r="B1094" s="3" t="s">
        <v>1525</v>
      </c>
      <c r="C1094" s="3" t="s">
        <v>1524</v>
      </c>
      <c r="D1094" s="3" t="s">
        <v>2866</v>
      </c>
      <c r="E1094" s="3" t="s">
        <v>4097</v>
      </c>
      <c r="F1094" s="3">
        <v>390</v>
      </c>
      <c r="G1094" s="4">
        <v>41244.529861111114</v>
      </c>
      <c r="H1094" s="3">
        <v>4</v>
      </c>
      <c r="I1094" s="5">
        <v>23</v>
      </c>
      <c r="J1094" t="s">
        <v>81</v>
      </c>
      <c r="K1094" t="s">
        <v>4498</v>
      </c>
      <c r="L1094">
        <v>536525</v>
      </c>
      <c r="M1094" s="2">
        <v>22423</v>
      </c>
      <c r="N1094">
        <v>12.75</v>
      </c>
      <c r="O1094" s="6">
        <v>2</v>
      </c>
      <c r="P1094" s="3">
        <v>0.05</v>
      </c>
      <c r="Q1094" t="s">
        <v>7</v>
      </c>
      <c r="R1094" s="7">
        <f t="shared" si="51"/>
        <v>25.5</v>
      </c>
      <c r="S1094" s="7">
        <f t="shared" si="52"/>
        <v>1.2750000000000001</v>
      </c>
      <c r="T1094">
        <f>Table1[[#This Row],[Total price]]-Table1[[#This Row],[Discount Amount]]</f>
        <v>24.225000000000001</v>
      </c>
      <c r="U1094">
        <f t="shared" si="53"/>
        <v>48.45</v>
      </c>
    </row>
    <row r="1095" spans="1:21">
      <c r="A1095">
        <v>1094</v>
      </c>
      <c r="B1095" s="3" t="s">
        <v>1523</v>
      </c>
      <c r="C1095" s="3" t="s">
        <v>1506</v>
      </c>
      <c r="D1095" s="3" t="s">
        <v>2866</v>
      </c>
      <c r="E1095" s="3" t="s">
        <v>4098</v>
      </c>
      <c r="F1095" s="3">
        <v>390</v>
      </c>
      <c r="G1095" s="4">
        <v>41244.529861111114</v>
      </c>
      <c r="H1095" s="3">
        <v>4</v>
      </c>
      <c r="I1095" s="5">
        <v>7</v>
      </c>
      <c r="J1095" t="s">
        <v>586</v>
      </c>
      <c r="K1095" t="s">
        <v>4498</v>
      </c>
      <c r="L1095">
        <v>536525</v>
      </c>
      <c r="M1095" s="2">
        <v>22429</v>
      </c>
      <c r="N1095">
        <v>4.25</v>
      </c>
      <c r="O1095" s="6">
        <v>1</v>
      </c>
      <c r="P1095" s="3">
        <v>7.0000000000000007E-2</v>
      </c>
      <c r="Q1095" t="s">
        <v>7</v>
      </c>
      <c r="R1095" s="7">
        <f t="shared" si="51"/>
        <v>4.25</v>
      </c>
      <c r="S1095" s="7">
        <f t="shared" si="52"/>
        <v>0.29750000000000004</v>
      </c>
      <c r="T1095">
        <f>Table1[[#This Row],[Total price]]-Table1[[#This Row],[Discount Amount]]</f>
        <v>3.9525000000000001</v>
      </c>
      <c r="U1095">
        <f t="shared" si="53"/>
        <v>3.9525000000000001</v>
      </c>
    </row>
    <row r="1096" spans="1:21">
      <c r="A1096">
        <v>1095</v>
      </c>
      <c r="B1096" s="3" t="s">
        <v>1522</v>
      </c>
      <c r="C1096" s="3" t="s">
        <v>1153</v>
      </c>
      <c r="D1096" s="3" t="s">
        <v>2866</v>
      </c>
      <c r="E1096" s="3" t="s">
        <v>4099</v>
      </c>
      <c r="F1096" s="3">
        <v>390</v>
      </c>
      <c r="G1096" s="4">
        <v>41244.529861111114</v>
      </c>
      <c r="H1096" s="3">
        <v>4</v>
      </c>
      <c r="I1096" s="5">
        <v>9</v>
      </c>
      <c r="J1096" t="s">
        <v>655</v>
      </c>
      <c r="K1096" t="s">
        <v>4498</v>
      </c>
      <c r="L1096">
        <v>536525</v>
      </c>
      <c r="M1096" s="2">
        <v>22428</v>
      </c>
      <c r="N1096">
        <v>6.95</v>
      </c>
      <c r="O1096" s="6">
        <v>1</v>
      </c>
      <c r="P1096" s="3">
        <v>0.05</v>
      </c>
      <c r="Q1096" t="s">
        <v>7</v>
      </c>
      <c r="R1096" s="7">
        <f t="shared" si="51"/>
        <v>6.95</v>
      </c>
      <c r="S1096" s="7">
        <f t="shared" si="52"/>
        <v>0.34750000000000003</v>
      </c>
      <c r="T1096">
        <f>Table1[[#This Row],[Total price]]-Table1[[#This Row],[Discount Amount]]</f>
        <v>6.6025</v>
      </c>
      <c r="U1096">
        <f t="shared" si="53"/>
        <v>6.6025</v>
      </c>
    </row>
    <row r="1097" spans="1:21">
      <c r="A1097">
        <v>1096</v>
      </c>
      <c r="B1097" s="3" t="s">
        <v>1521</v>
      </c>
      <c r="C1097" s="3" t="s">
        <v>1221</v>
      </c>
      <c r="D1097" s="3" t="s">
        <v>2866</v>
      </c>
      <c r="E1097" s="3" t="s">
        <v>4100</v>
      </c>
      <c r="F1097" s="3">
        <v>391</v>
      </c>
      <c r="G1097" s="4">
        <v>41244.529861111114</v>
      </c>
      <c r="H1097" s="3">
        <v>4</v>
      </c>
      <c r="I1097" s="5">
        <v>8</v>
      </c>
      <c r="J1097" t="s">
        <v>310</v>
      </c>
      <c r="K1097" t="s">
        <v>4498</v>
      </c>
      <c r="L1097">
        <v>536525</v>
      </c>
      <c r="M1097" s="2">
        <v>20974</v>
      </c>
      <c r="N1097">
        <v>0.65</v>
      </c>
      <c r="O1097" s="6">
        <v>3</v>
      </c>
      <c r="P1097" s="3">
        <v>7.0000000000000007E-2</v>
      </c>
      <c r="Q1097" t="s">
        <v>7</v>
      </c>
      <c r="R1097" s="7">
        <f t="shared" si="51"/>
        <v>1.9500000000000002</v>
      </c>
      <c r="S1097" s="7">
        <f t="shared" si="52"/>
        <v>0.13650000000000004</v>
      </c>
      <c r="T1097">
        <f>Table1[[#This Row],[Total price]]-Table1[[#This Row],[Discount Amount]]</f>
        <v>1.8135000000000001</v>
      </c>
      <c r="U1097">
        <f t="shared" si="53"/>
        <v>5.4405000000000001</v>
      </c>
    </row>
    <row r="1098" spans="1:21">
      <c r="A1098">
        <v>1097</v>
      </c>
      <c r="B1098" s="3" t="s">
        <v>1520</v>
      </c>
      <c r="C1098" s="3" t="s">
        <v>1519</v>
      </c>
      <c r="D1098" s="3" t="s">
        <v>2866</v>
      </c>
      <c r="E1098" s="3" t="s">
        <v>4101</v>
      </c>
      <c r="F1098" s="3">
        <v>391</v>
      </c>
      <c r="G1098" s="4">
        <v>41244.529861111114</v>
      </c>
      <c r="H1098" s="3">
        <v>4</v>
      </c>
      <c r="I1098" s="5">
        <v>5</v>
      </c>
      <c r="J1098" t="s">
        <v>399</v>
      </c>
      <c r="K1098" t="s">
        <v>4498</v>
      </c>
      <c r="L1098">
        <v>536525</v>
      </c>
      <c r="M1098" s="2">
        <v>20973</v>
      </c>
      <c r="N1098">
        <v>0.65</v>
      </c>
      <c r="O1098" s="6">
        <v>2</v>
      </c>
      <c r="P1098" s="3">
        <v>0.2</v>
      </c>
      <c r="Q1098" t="s">
        <v>4</v>
      </c>
      <c r="R1098" s="7">
        <f t="shared" si="51"/>
        <v>1.3</v>
      </c>
      <c r="S1098" s="7">
        <f t="shared" si="52"/>
        <v>0.26</v>
      </c>
      <c r="T1098">
        <f>Table1[[#This Row],[Total price]]-Table1[[#This Row],[Discount Amount]]</f>
        <v>1.04</v>
      </c>
      <c r="U1098">
        <f t="shared" si="53"/>
        <v>2.08</v>
      </c>
    </row>
    <row r="1099" spans="1:21">
      <c r="A1099">
        <v>1098</v>
      </c>
      <c r="B1099" s="3" t="s">
        <v>1518</v>
      </c>
      <c r="C1099" s="3" t="s">
        <v>1259</v>
      </c>
      <c r="D1099" s="3" t="s">
        <v>2866</v>
      </c>
      <c r="E1099" s="3" t="s">
        <v>4102</v>
      </c>
      <c r="F1099" s="3">
        <v>391</v>
      </c>
      <c r="G1099" s="4">
        <v>41244.529861111114</v>
      </c>
      <c r="H1099" s="3">
        <v>4</v>
      </c>
      <c r="I1099" s="5">
        <v>24</v>
      </c>
      <c r="J1099" t="s">
        <v>790</v>
      </c>
      <c r="K1099" t="s">
        <v>4498</v>
      </c>
      <c r="L1099">
        <v>536525</v>
      </c>
      <c r="M1099" s="2" t="s">
        <v>789</v>
      </c>
      <c r="N1099">
        <v>2.95</v>
      </c>
      <c r="O1099" s="6">
        <v>1</v>
      </c>
      <c r="P1099" s="3">
        <v>7.0000000000000007E-2</v>
      </c>
      <c r="Q1099" t="s">
        <v>4</v>
      </c>
      <c r="R1099" s="7">
        <f t="shared" si="51"/>
        <v>2.95</v>
      </c>
      <c r="S1099" s="7">
        <f t="shared" si="52"/>
        <v>0.20650000000000004</v>
      </c>
      <c r="T1099">
        <f>Table1[[#This Row],[Total price]]-Table1[[#This Row],[Discount Amount]]</f>
        <v>2.7435</v>
      </c>
      <c r="U1099">
        <f t="shared" si="53"/>
        <v>2.7435</v>
      </c>
    </row>
    <row r="1100" spans="1:21">
      <c r="A1100">
        <v>1099</v>
      </c>
      <c r="B1100" s="3" t="s">
        <v>1517</v>
      </c>
      <c r="C1100" s="3" t="s">
        <v>1092</v>
      </c>
      <c r="D1100" s="3" t="s">
        <v>2866</v>
      </c>
      <c r="E1100" s="3" t="s">
        <v>4103</v>
      </c>
      <c r="F1100" s="3">
        <v>392</v>
      </c>
      <c r="G1100" s="4">
        <v>41244.529861111114</v>
      </c>
      <c r="H1100" s="3">
        <v>4</v>
      </c>
      <c r="I1100" s="5">
        <v>14</v>
      </c>
      <c r="J1100" t="s">
        <v>18</v>
      </c>
      <c r="K1100" t="s">
        <v>4498</v>
      </c>
      <c r="L1100">
        <v>536525</v>
      </c>
      <c r="M1100" s="2">
        <v>21324</v>
      </c>
      <c r="N1100">
        <v>2.95</v>
      </c>
      <c r="O1100" s="6">
        <v>2</v>
      </c>
      <c r="P1100" s="3">
        <v>0.1</v>
      </c>
      <c r="Q1100" t="s">
        <v>4</v>
      </c>
      <c r="R1100" s="7">
        <f t="shared" si="51"/>
        <v>5.9</v>
      </c>
      <c r="S1100" s="7">
        <f t="shared" si="52"/>
        <v>0.59000000000000008</v>
      </c>
      <c r="T1100">
        <f>Table1[[#This Row],[Total price]]-Table1[[#This Row],[Discount Amount]]</f>
        <v>5.3100000000000005</v>
      </c>
      <c r="U1100">
        <f t="shared" si="53"/>
        <v>10.620000000000001</v>
      </c>
    </row>
    <row r="1101" spans="1:21">
      <c r="A1101">
        <v>1100</v>
      </c>
      <c r="B1101" s="3" t="s">
        <v>1516</v>
      </c>
      <c r="C1101" s="3" t="s">
        <v>893</v>
      </c>
      <c r="D1101" s="3" t="s">
        <v>2866</v>
      </c>
      <c r="E1101" s="3" t="s">
        <v>4104</v>
      </c>
      <c r="F1101" s="3">
        <v>392</v>
      </c>
      <c r="G1101" s="4">
        <v>41244.529861111114</v>
      </c>
      <c r="H1101" s="3">
        <v>4</v>
      </c>
      <c r="I1101" s="5">
        <v>3</v>
      </c>
      <c r="J1101" t="s">
        <v>364</v>
      </c>
      <c r="K1101" t="s">
        <v>4498</v>
      </c>
      <c r="L1101">
        <v>536525</v>
      </c>
      <c r="M1101" s="2">
        <v>20750</v>
      </c>
      <c r="N1101">
        <v>7.95</v>
      </c>
      <c r="O1101" s="6">
        <v>10</v>
      </c>
      <c r="P1101" s="3">
        <v>0.05</v>
      </c>
      <c r="Q1101" t="s">
        <v>4</v>
      </c>
      <c r="R1101" s="7">
        <f t="shared" si="51"/>
        <v>79.5</v>
      </c>
      <c r="S1101" s="7">
        <f t="shared" si="52"/>
        <v>3.9750000000000001</v>
      </c>
      <c r="T1101">
        <f>Table1[[#This Row],[Total price]]-Table1[[#This Row],[Discount Amount]]</f>
        <v>75.525000000000006</v>
      </c>
      <c r="U1101">
        <f t="shared" si="53"/>
        <v>755.25</v>
      </c>
    </row>
    <row r="1102" spans="1:21">
      <c r="A1102">
        <v>1101</v>
      </c>
      <c r="B1102" s="3" t="s">
        <v>1515</v>
      </c>
      <c r="C1102" s="3" t="s">
        <v>1514</v>
      </c>
      <c r="D1102" s="3" t="s">
        <v>2866</v>
      </c>
      <c r="E1102" s="3" t="s">
        <v>4105</v>
      </c>
      <c r="F1102" s="3">
        <v>393</v>
      </c>
      <c r="G1102" s="4">
        <v>41244.529861111114</v>
      </c>
      <c r="H1102" s="3">
        <v>4</v>
      </c>
      <c r="I1102" s="5">
        <v>6</v>
      </c>
      <c r="J1102" t="s">
        <v>381</v>
      </c>
      <c r="K1102" t="s">
        <v>4498</v>
      </c>
      <c r="L1102">
        <v>536526</v>
      </c>
      <c r="M1102" s="2">
        <v>21135</v>
      </c>
      <c r="N1102">
        <v>1.69</v>
      </c>
      <c r="O1102" s="6">
        <v>16</v>
      </c>
      <c r="P1102" s="3">
        <v>0.2</v>
      </c>
      <c r="Q1102" t="s">
        <v>4</v>
      </c>
      <c r="R1102" s="7">
        <f t="shared" si="51"/>
        <v>27.04</v>
      </c>
      <c r="S1102" s="7">
        <f t="shared" si="52"/>
        <v>5.4080000000000004</v>
      </c>
      <c r="T1102">
        <f>Table1[[#This Row],[Total price]]-Table1[[#This Row],[Discount Amount]]</f>
        <v>21.631999999999998</v>
      </c>
      <c r="U1102">
        <f t="shared" si="53"/>
        <v>346.11199999999997</v>
      </c>
    </row>
    <row r="1103" spans="1:21">
      <c r="A1103">
        <v>1102</v>
      </c>
      <c r="B1103" s="3" t="s">
        <v>1513</v>
      </c>
      <c r="C1103" s="3" t="s">
        <v>1512</v>
      </c>
      <c r="D1103" s="3" t="s">
        <v>4106</v>
      </c>
      <c r="E1103" s="3" t="s">
        <v>4107</v>
      </c>
      <c r="F1103" s="3">
        <v>394</v>
      </c>
      <c r="G1103" s="4">
        <v>41244.529861111114</v>
      </c>
      <c r="H1103" s="3">
        <v>4</v>
      </c>
      <c r="I1103" s="5">
        <v>23</v>
      </c>
      <c r="J1103" t="s">
        <v>137</v>
      </c>
      <c r="K1103" t="s">
        <v>4498</v>
      </c>
      <c r="L1103">
        <v>536526</v>
      </c>
      <c r="M1103" s="2">
        <v>22173</v>
      </c>
      <c r="N1103">
        <v>2.95</v>
      </c>
      <c r="O1103" s="6">
        <v>16</v>
      </c>
      <c r="P1103" s="3">
        <v>0.05</v>
      </c>
      <c r="Q1103" t="s">
        <v>4</v>
      </c>
      <c r="R1103" s="7">
        <f t="shared" si="51"/>
        <v>47.2</v>
      </c>
      <c r="S1103" s="7">
        <f t="shared" si="52"/>
        <v>2.3600000000000003</v>
      </c>
      <c r="T1103">
        <f>Table1[[#This Row],[Total price]]-Table1[[#This Row],[Discount Amount]]</f>
        <v>44.84</v>
      </c>
      <c r="U1103">
        <f t="shared" si="53"/>
        <v>717.44</v>
      </c>
    </row>
    <row r="1104" spans="1:21">
      <c r="A1104">
        <v>1103</v>
      </c>
      <c r="B1104" s="3" t="s">
        <v>1511</v>
      </c>
      <c r="C1104" s="3" t="s">
        <v>1510</v>
      </c>
      <c r="D1104" s="3" t="s">
        <v>2866</v>
      </c>
      <c r="E1104" s="3" t="s">
        <v>4108</v>
      </c>
      <c r="F1104" s="3">
        <v>394</v>
      </c>
      <c r="G1104" s="4">
        <v>41244.529861111114</v>
      </c>
      <c r="H1104" s="3">
        <v>4</v>
      </c>
      <c r="I1104" s="5">
        <v>16</v>
      </c>
      <c r="J1104" t="s">
        <v>752</v>
      </c>
      <c r="K1104" t="s">
        <v>4498</v>
      </c>
      <c r="L1104">
        <v>536526</v>
      </c>
      <c r="M1104" s="2">
        <v>22626</v>
      </c>
      <c r="N1104">
        <v>8.5</v>
      </c>
      <c r="O1104" s="6">
        <v>2</v>
      </c>
      <c r="P1104" s="3">
        <v>0.2</v>
      </c>
      <c r="Q1104" t="s">
        <v>4</v>
      </c>
      <c r="R1104" s="7">
        <f t="shared" si="51"/>
        <v>17</v>
      </c>
      <c r="S1104" s="7">
        <f t="shared" si="52"/>
        <v>3.4000000000000004</v>
      </c>
      <c r="T1104">
        <f>Table1[[#This Row],[Total price]]-Table1[[#This Row],[Discount Amount]]</f>
        <v>13.6</v>
      </c>
      <c r="U1104">
        <f t="shared" si="53"/>
        <v>27.2</v>
      </c>
    </row>
    <row r="1105" spans="1:21">
      <c r="A1105">
        <v>1104</v>
      </c>
      <c r="B1105" s="3" t="s">
        <v>1509</v>
      </c>
      <c r="C1105" s="3" t="s">
        <v>1508</v>
      </c>
      <c r="D1105" s="3" t="s">
        <v>2866</v>
      </c>
      <c r="E1105" s="3" t="s">
        <v>4109</v>
      </c>
      <c r="F1105" s="3">
        <v>394</v>
      </c>
      <c r="G1105" s="4">
        <v>41244.529861111114</v>
      </c>
      <c r="H1105" s="3">
        <v>4</v>
      </c>
      <c r="I1105" s="5">
        <v>14</v>
      </c>
      <c r="J1105" t="s">
        <v>107</v>
      </c>
      <c r="K1105" t="s">
        <v>4498</v>
      </c>
      <c r="L1105">
        <v>536526</v>
      </c>
      <c r="M1105" s="2">
        <v>22625</v>
      </c>
      <c r="N1105">
        <v>8.5</v>
      </c>
      <c r="O1105" s="6">
        <v>6</v>
      </c>
      <c r="P1105" s="3">
        <v>0.2</v>
      </c>
      <c r="Q1105" t="s">
        <v>4</v>
      </c>
      <c r="R1105" s="7">
        <f t="shared" si="51"/>
        <v>51</v>
      </c>
      <c r="S1105" s="7">
        <f t="shared" si="52"/>
        <v>10.200000000000001</v>
      </c>
      <c r="T1105">
        <f>Table1[[#This Row],[Total price]]-Table1[[#This Row],[Discount Amount]]</f>
        <v>40.799999999999997</v>
      </c>
      <c r="U1105">
        <f t="shared" si="53"/>
        <v>244.79999999999998</v>
      </c>
    </row>
    <row r="1106" spans="1:21">
      <c r="A1106">
        <v>1105</v>
      </c>
      <c r="B1106" s="3" t="s">
        <v>1507</v>
      </c>
      <c r="C1106" s="3" t="s">
        <v>1506</v>
      </c>
      <c r="D1106" s="3" t="s">
        <v>2866</v>
      </c>
      <c r="E1106" s="3" t="s">
        <v>4110</v>
      </c>
      <c r="F1106" s="3">
        <v>395</v>
      </c>
      <c r="G1106" s="4">
        <v>41244.529861111114</v>
      </c>
      <c r="H1106" s="3">
        <v>4</v>
      </c>
      <c r="I1106" s="5">
        <v>14</v>
      </c>
      <c r="J1106" t="s">
        <v>125</v>
      </c>
      <c r="K1106" t="s">
        <v>4498</v>
      </c>
      <c r="L1106">
        <v>536526</v>
      </c>
      <c r="M1106" s="2">
        <v>22624</v>
      </c>
      <c r="N1106">
        <v>8.5</v>
      </c>
      <c r="O1106" s="6">
        <v>6</v>
      </c>
      <c r="P1106" s="3">
        <v>0.05</v>
      </c>
      <c r="Q1106" t="s">
        <v>4</v>
      </c>
      <c r="R1106" s="7">
        <f t="shared" si="51"/>
        <v>51</v>
      </c>
      <c r="S1106" s="7">
        <f t="shared" si="52"/>
        <v>2.5500000000000003</v>
      </c>
      <c r="T1106">
        <f>Table1[[#This Row],[Total price]]-Table1[[#This Row],[Discount Amount]]</f>
        <v>48.45</v>
      </c>
      <c r="U1106">
        <f t="shared" si="53"/>
        <v>290.70000000000005</v>
      </c>
    </row>
    <row r="1107" spans="1:21">
      <c r="A1107">
        <v>1106</v>
      </c>
      <c r="B1107" s="3" t="s">
        <v>1505</v>
      </c>
      <c r="C1107" s="3" t="s">
        <v>1504</v>
      </c>
      <c r="D1107" s="3" t="s">
        <v>2866</v>
      </c>
      <c r="E1107" s="3" t="s">
        <v>4111</v>
      </c>
      <c r="F1107" s="3">
        <v>396</v>
      </c>
      <c r="G1107" s="4">
        <v>41244.529861111114</v>
      </c>
      <c r="H1107" s="3">
        <v>4</v>
      </c>
      <c r="I1107" s="5">
        <v>12</v>
      </c>
      <c r="J1107" t="s">
        <v>449</v>
      </c>
      <c r="K1107" t="s">
        <v>4498</v>
      </c>
      <c r="L1107">
        <v>536526</v>
      </c>
      <c r="M1107" s="2">
        <v>21929</v>
      </c>
      <c r="N1107">
        <v>1.95</v>
      </c>
      <c r="O1107" s="6">
        <v>20</v>
      </c>
      <c r="P1107" s="3">
        <v>0.1</v>
      </c>
      <c r="Q1107" t="s">
        <v>4</v>
      </c>
      <c r="R1107" s="7">
        <f t="shared" si="51"/>
        <v>39</v>
      </c>
      <c r="S1107" s="7">
        <f t="shared" si="52"/>
        <v>3.9000000000000004</v>
      </c>
      <c r="T1107">
        <f>Table1[[#This Row],[Total price]]-Table1[[#This Row],[Discount Amount]]</f>
        <v>35.1</v>
      </c>
      <c r="U1107">
        <f t="shared" si="53"/>
        <v>702</v>
      </c>
    </row>
    <row r="1108" spans="1:21">
      <c r="A1108">
        <v>1107</v>
      </c>
      <c r="B1108" s="3" t="s">
        <v>1503</v>
      </c>
      <c r="C1108" s="3" t="s">
        <v>1502</v>
      </c>
      <c r="D1108" s="3" t="s">
        <v>2866</v>
      </c>
      <c r="E1108" s="3" t="s">
        <v>4112</v>
      </c>
      <c r="F1108" s="3">
        <v>396</v>
      </c>
      <c r="G1108" s="4">
        <v>41244.529861111114</v>
      </c>
      <c r="H1108" s="3">
        <v>4</v>
      </c>
      <c r="I1108" s="5">
        <v>25</v>
      </c>
      <c r="J1108" t="s">
        <v>38</v>
      </c>
      <c r="K1108" t="s">
        <v>4498</v>
      </c>
      <c r="L1108">
        <v>536526</v>
      </c>
      <c r="M1108" s="2" t="s">
        <v>37</v>
      </c>
      <c r="N1108">
        <v>1.95</v>
      </c>
      <c r="O1108" s="6">
        <v>10</v>
      </c>
      <c r="P1108" s="3">
        <v>0.05</v>
      </c>
      <c r="Q1108" t="s">
        <v>4</v>
      </c>
      <c r="R1108" s="7">
        <f t="shared" si="51"/>
        <v>19.5</v>
      </c>
      <c r="S1108" s="7">
        <f t="shared" si="52"/>
        <v>0.97500000000000009</v>
      </c>
      <c r="T1108">
        <f>Table1[[#This Row],[Total price]]-Table1[[#This Row],[Discount Amount]]</f>
        <v>18.524999999999999</v>
      </c>
      <c r="U1108">
        <f t="shared" si="53"/>
        <v>185.25</v>
      </c>
    </row>
    <row r="1109" spans="1:21">
      <c r="A1109">
        <v>1108</v>
      </c>
      <c r="B1109" s="3" t="s">
        <v>1501</v>
      </c>
      <c r="C1109" s="3" t="s">
        <v>922</v>
      </c>
      <c r="D1109" s="3" t="s">
        <v>2866</v>
      </c>
      <c r="E1109" s="3" t="s">
        <v>4113</v>
      </c>
      <c r="F1109" s="3">
        <v>396</v>
      </c>
      <c r="G1109" s="4">
        <v>41244.529861111114</v>
      </c>
      <c r="H1109" s="3">
        <v>4</v>
      </c>
      <c r="I1109" s="5">
        <v>5</v>
      </c>
      <c r="J1109" t="s">
        <v>34</v>
      </c>
      <c r="K1109" t="s">
        <v>4498</v>
      </c>
      <c r="L1109">
        <v>536526</v>
      </c>
      <c r="M1109" s="2">
        <v>22411</v>
      </c>
      <c r="N1109">
        <v>1.95</v>
      </c>
      <c r="O1109" s="6">
        <v>10</v>
      </c>
      <c r="P1109" s="3">
        <v>0.2</v>
      </c>
      <c r="Q1109" t="s">
        <v>4</v>
      </c>
      <c r="R1109" s="7">
        <f t="shared" si="51"/>
        <v>19.5</v>
      </c>
      <c r="S1109" s="7">
        <f t="shared" si="52"/>
        <v>3.9000000000000004</v>
      </c>
      <c r="T1109">
        <f>Table1[[#This Row],[Total price]]-Table1[[#This Row],[Discount Amount]]</f>
        <v>15.6</v>
      </c>
      <c r="U1109">
        <f t="shared" si="53"/>
        <v>156</v>
      </c>
    </row>
    <row r="1110" spans="1:21">
      <c r="A1110">
        <v>1109</v>
      </c>
      <c r="B1110" s="3" t="s">
        <v>1500</v>
      </c>
      <c r="C1110" s="3" t="s">
        <v>1499</v>
      </c>
      <c r="D1110" s="3" t="s">
        <v>2866</v>
      </c>
      <c r="E1110" s="3" t="s">
        <v>4114</v>
      </c>
      <c r="F1110" s="3">
        <v>397</v>
      </c>
      <c r="G1110" s="4">
        <v>41244.529861111114</v>
      </c>
      <c r="H1110" s="3">
        <v>4</v>
      </c>
      <c r="I1110" s="5">
        <v>7</v>
      </c>
      <c r="J1110" t="s">
        <v>14</v>
      </c>
      <c r="K1110" t="s">
        <v>4498</v>
      </c>
      <c r="L1110">
        <v>536526</v>
      </c>
      <c r="M1110" s="2">
        <v>22113</v>
      </c>
      <c r="N1110">
        <v>3.75</v>
      </c>
      <c r="O1110" s="6">
        <v>8</v>
      </c>
      <c r="P1110" s="3">
        <v>0.05</v>
      </c>
      <c r="Q1110" t="s">
        <v>4</v>
      </c>
      <c r="R1110" s="7">
        <f t="shared" si="51"/>
        <v>30</v>
      </c>
      <c r="S1110" s="7">
        <f t="shared" si="52"/>
        <v>1.5</v>
      </c>
      <c r="T1110">
        <f>Table1[[#This Row],[Total price]]-Table1[[#This Row],[Discount Amount]]</f>
        <v>28.5</v>
      </c>
      <c r="U1110">
        <f t="shared" si="53"/>
        <v>228</v>
      </c>
    </row>
    <row r="1111" spans="1:21">
      <c r="A1111">
        <v>1110</v>
      </c>
      <c r="B1111" s="3" t="s">
        <v>1498</v>
      </c>
      <c r="C1111" s="3" t="s">
        <v>1316</v>
      </c>
      <c r="D1111" s="3" t="s">
        <v>2866</v>
      </c>
      <c r="E1111" s="3" t="s">
        <v>4115</v>
      </c>
      <c r="F1111" s="3">
        <v>398</v>
      </c>
      <c r="G1111" s="4">
        <v>41244.529861111114</v>
      </c>
      <c r="H1111" s="3">
        <v>1</v>
      </c>
      <c r="I1111" s="5">
        <v>8</v>
      </c>
      <c r="J1111" t="s">
        <v>464</v>
      </c>
      <c r="K1111" t="s">
        <v>4500</v>
      </c>
      <c r="L1111">
        <v>536527</v>
      </c>
      <c r="M1111" s="2">
        <v>22809</v>
      </c>
      <c r="N1111">
        <v>2.95</v>
      </c>
      <c r="O1111" s="6">
        <v>6</v>
      </c>
      <c r="P1111" s="3">
        <v>0.05</v>
      </c>
      <c r="Q1111" t="s">
        <v>7</v>
      </c>
      <c r="R1111" s="7">
        <f t="shared" si="51"/>
        <v>17.700000000000003</v>
      </c>
      <c r="S1111" s="7">
        <f t="shared" si="52"/>
        <v>0.88500000000000023</v>
      </c>
      <c r="T1111">
        <f>Table1[[#This Row],[Total price]]-Table1[[#This Row],[Discount Amount]]</f>
        <v>16.815000000000001</v>
      </c>
      <c r="U1111">
        <f t="shared" si="53"/>
        <v>100.89000000000001</v>
      </c>
    </row>
    <row r="1112" spans="1:21">
      <c r="A1112">
        <v>1111</v>
      </c>
      <c r="B1112" s="3" t="s">
        <v>1497</v>
      </c>
      <c r="C1112" s="3" t="s">
        <v>932</v>
      </c>
      <c r="D1112" s="3" t="s">
        <v>2866</v>
      </c>
      <c r="E1112" s="3" t="s">
        <v>4116</v>
      </c>
      <c r="F1112" s="3">
        <v>398</v>
      </c>
      <c r="G1112" s="4">
        <v>41244.529861111114</v>
      </c>
      <c r="H1112" s="3">
        <v>2</v>
      </c>
      <c r="I1112" s="5">
        <v>18</v>
      </c>
      <c r="J1112" t="s">
        <v>56</v>
      </c>
      <c r="K1112" t="s">
        <v>4500</v>
      </c>
      <c r="L1112">
        <v>536527</v>
      </c>
      <c r="M1112" s="2">
        <v>84347</v>
      </c>
      <c r="N1112">
        <v>2.5499999999999998</v>
      </c>
      <c r="O1112" s="6">
        <v>6</v>
      </c>
      <c r="P1112" s="3">
        <v>0.05</v>
      </c>
      <c r="Q1112" t="s">
        <v>7</v>
      </c>
      <c r="R1112" s="7">
        <f t="shared" si="51"/>
        <v>15.299999999999999</v>
      </c>
      <c r="S1112" s="7">
        <f t="shared" si="52"/>
        <v>0.76500000000000001</v>
      </c>
      <c r="T1112">
        <f>Table1[[#This Row],[Total price]]-Table1[[#This Row],[Discount Amount]]</f>
        <v>14.534999999999998</v>
      </c>
      <c r="U1112">
        <f t="shared" si="53"/>
        <v>87.21</v>
      </c>
    </row>
    <row r="1113" spans="1:21">
      <c r="A1113">
        <v>1112</v>
      </c>
      <c r="B1113" s="3" t="s">
        <v>1496</v>
      </c>
      <c r="C1113" s="3" t="s">
        <v>1264</v>
      </c>
      <c r="D1113" s="3" t="s">
        <v>2866</v>
      </c>
      <c r="E1113" s="3" t="s">
        <v>4117</v>
      </c>
      <c r="F1113" s="3">
        <v>398</v>
      </c>
      <c r="G1113" s="4">
        <v>41244.529861111114</v>
      </c>
      <c r="H1113" s="3">
        <v>2</v>
      </c>
      <c r="I1113" s="5">
        <v>25</v>
      </c>
      <c r="J1113" t="s">
        <v>36</v>
      </c>
      <c r="K1113" t="s">
        <v>4500</v>
      </c>
      <c r="L1113">
        <v>536527</v>
      </c>
      <c r="M1113" s="2">
        <v>84945</v>
      </c>
      <c r="N1113">
        <v>0.85</v>
      </c>
      <c r="O1113" s="6">
        <v>12</v>
      </c>
      <c r="P1113" s="3">
        <v>0.2</v>
      </c>
      <c r="Q1113" t="s">
        <v>7</v>
      </c>
      <c r="R1113" s="7">
        <f t="shared" si="51"/>
        <v>10.199999999999999</v>
      </c>
      <c r="S1113" s="7">
        <f t="shared" si="52"/>
        <v>2.04</v>
      </c>
      <c r="T1113">
        <f>Table1[[#This Row],[Total price]]-Table1[[#This Row],[Discount Amount]]</f>
        <v>8.16</v>
      </c>
      <c r="U1113">
        <f t="shared" si="53"/>
        <v>97.92</v>
      </c>
    </row>
    <row r="1114" spans="1:21">
      <c r="A1114">
        <v>1113</v>
      </c>
      <c r="B1114" s="3" t="s">
        <v>1495</v>
      </c>
      <c r="C1114" s="3" t="s">
        <v>1494</v>
      </c>
      <c r="D1114" s="3" t="s">
        <v>2866</v>
      </c>
      <c r="E1114" s="3" t="s">
        <v>4118</v>
      </c>
      <c r="F1114" s="3">
        <v>398</v>
      </c>
      <c r="G1114" s="4">
        <v>41244.529861111114</v>
      </c>
      <c r="H1114" s="3">
        <v>2</v>
      </c>
      <c r="I1114" s="5">
        <v>17</v>
      </c>
      <c r="J1114" t="s">
        <v>250</v>
      </c>
      <c r="K1114" t="s">
        <v>4500</v>
      </c>
      <c r="L1114">
        <v>536527</v>
      </c>
      <c r="M1114" s="2">
        <v>22242</v>
      </c>
      <c r="N1114">
        <v>1.65</v>
      </c>
      <c r="O1114" s="6">
        <v>12</v>
      </c>
      <c r="P1114" s="3">
        <v>0.05</v>
      </c>
      <c r="Q1114" t="s">
        <v>7</v>
      </c>
      <c r="R1114" s="7">
        <f t="shared" si="51"/>
        <v>19.799999999999997</v>
      </c>
      <c r="S1114" s="7">
        <f t="shared" si="52"/>
        <v>0.98999999999999988</v>
      </c>
      <c r="T1114">
        <f>Table1[[#This Row],[Total price]]-Table1[[#This Row],[Discount Amount]]</f>
        <v>18.809999999999999</v>
      </c>
      <c r="U1114">
        <f t="shared" si="53"/>
        <v>225.71999999999997</v>
      </c>
    </row>
    <row r="1115" spans="1:21">
      <c r="A1115">
        <v>1114</v>
      </c>
      <c r="B1115" s="3" t="s">
        <v>1493</v>
      </c>
      <c r="C1115" s="3" t="s">
        <v>1492</v>
      </c>
      <c r="D1115" s="3" t="s">
        <v>4119</v>
      </c>
      <c r="E1115" s="3" t="s">
        <v>4120</v>
      </c>
      <c r="F1115" s="3">
        <v>399</v>
      </c>
      <c r="G1115" s="4">
        <v>41244.529861111114</v>
      </c>
      <c r="H1115" s="3">
        <v>2</v>
      </c>
      <c r="I1115" s="5">
        <v>25</v>
      </c>
      <c r="J1115" t="s">
        <v>465</v>
      </c>
      <c r="K1115" t="s">
        <v>4500</v>
      </c>
      <c r="L1115">
        <v>536527</v>
      </c>
      <c r="M1115" s="2">
        <v>22244</v>
      </c>
      <c r="N1115">
        <v>1.95</v>
      </c>
      <c r="O1115" s="6">
        <v>12</v>
      </c>
      <c r="P1115" s="3">
        <v>0.05</v>
      </c>
      <c r="Q1115" t="s">
        <v>7</v>
      </c>
      <c r="R1115" s="7">
        <f t="shared" si="51"/>
        <v>23.4</v>
      </c>
      <c r="S1115" s="7">
        <f t="shared" si="52"/>
        <v>1.17</v>
      </c>
      <c r="T1115">
        <f>Table1[[#This Row],[Total price]]-Table1[[#This Row],[Discount Amount]]</f>
        <v>22.229999999999997</v>
      </c>
      <c r="U1115">
        <f t="shared" si="53"/>
        <v>266.76</v>
      </c>
    </row>
    <row r="1116" spans="1:21">
      <c r="A1116">
        <v>1115</v>
      </c>
      <c r="B1116" s="3" t="s">
        <v>1491</v>
      </c>
      <c r="C1116" s="3" t="s">
        <v>1490</v>
      </c>
      <c r="D1116" s="3" t="s">
        <v>2866</v>
      </c>
      <c r="E1116" s="3" t="s">
        <v>4121</v>
      </c>
      <c r="F1116" s="3">
        <v>399</v>
      </c>
      <c r="G1116" s="4">
        <v>41244.529861111114</v>
      </c>
      <c r="H1116" s="3">
        <v>2</v>
      </c>
      <c r="I1116" s="5">
        <v>11</v>
      </c>
      <c r="J1116" t="s">
        <v>466</v>
      </c>
      <c r="K1116" t="s">
        <v>4500</v>
      </c>
      <c r="L1116">
        <v>536527</v>
      </c>
      <c r="M1116" s="2">
        <v>22243</v>
      </c>
      <c r="N1116">
        <v>1.65</v>
      </c>
      <c r="O1116" s="6">
        <v>12</v>
      </c>
      <c r="P1116" s="3">
        <v>0.05</v>
      </c>
      <c r="Q1116" t="s">
        <v>7</v>
      </c>
      <c r="R1116" s="7">
        <f t="shared" si="51"/>
        <v>19.799999999999997</v>
      </c>
      <c r="S1116" s="7">
        <f t="shared" si="52"/>
        <v>0.98999999999999988</v>
      </c>
      <c r="T1116">
        <f>Table1[[#This Row],[Total price]]-Table1[[#This Row],[Discount Amount]]</f>
        <v>18.809999999999999</v>
      </c>
      <c r="U1116">
        <f t="shared" si="53"/>
        <v>225.71999999999997</v>
      </c>
    </row>
    <row r="1117" spans="1:21">
      <c r="A1117">
        <v>1116</v>
      </c>
      <c r="B1117" s="3" t="s">
        <v>1489</v>
      </c>
      <c r="C1117" s="3" t="s">
        <v>1488</v>
      </c>
      <c r="D1117" s="3" t="s">
        <v>2866</v>
      </c>
      <c r="E1117" s="3" t="s">
        <v>4122</v>
      </c>
      <c r="F1117" s="3">
        <v>399</v>
      </c>
      <c r="G1117" s="4">
        <v>41244.529861111114</v>
      </c>
      <c r="H1117" s="3">
        <v>2</v>
      </c>
      <c r="I1117" s="5">
        <v>14</v>
      </c>
      <c r="J1117" t="s">
        <v>836</v>
      </c>
      <c r="K1117" t="s">
        <v>4500</v>
      </c>
      <c r="L1117">
        <v>536527</v>
      </c>
      <c r="M1117" s="2">
        <v>47421</v>
      </c>
      <c r="N1117">
        <v>0.42</v>
      </c>
      <c r="O1117" s="6">
        <v>24</v>
      </c>
      <c r="P1117" s="3">
        <v>0.1</v>
      </c>
      <c r="Q1117" t="s">
        <v>7</v>
      </c>
      <c r="R1117" s="7">
        <f t="shared" si="51"/>
        <v>10.08</v>
      </c>
      <c r="S1117" s="7">
        <f t="shared" si="52"/>
        <v>1.008</v>
      </c>
      <c r="T1117">
        <f>Table1[[#This Row],[Total price]]-Table1[[#This Row],[Discount Amount]]</f>
        <v>9.0719999999999992</v>
      </c>
      <c r="U1117">
        <f t="shared" si="53"/>
        <v>217.72799999999998</v>
      </c>
    </row>
    <row r="1118" spans="1:21">
      <c r="A1118">
        <v>1117</v>
      </c>
      <c r="B1118" s="3" t="s">
        <v>1487</v>
      </c>
      <c r="C1118" s="3" t="s">
        <v>1486</v>
      </c>
      <c r="D1118" s="3" t="s">
        <v>2866</v>
      </c>
      <c r="E1118" s="3" t="s">
        <v>4123</v>
      </c>
      <c r="F1118" s="3">
        <v>400</v>
      </c>
      <c r="G1118" s="4">
        <v>41244.529861111114</v>
      </c>
      <c r="H1118" s="3">
        <v>1</v>
      </c>
      <c r="I1118" s="5">
        <v>24</v>
      </c>
      <c r="J1118" t="s">
        <v>355</v>
      </c>
      <c r="K1118" t="s">
        <v>4500</v>
      </c>
      <c r="L1118">
        <v>536527</v>
      </c>
      <c r="M1118" s="2">
        <v>20712</v>
      </c>
      <c r="N1118">
        <v>1.95</v>
      </c>
      <c r="O1118" s="6">
        <v>10</v>
      </c>
      <c r="P1118" s="3">
        <v>7.0000000000000007E-2</v>
      </c>
      <c r="Q1118" t="s">
        <v>7</v>
      </c>
      <c r="R1118" s="7">
        <f t="shared" si="51"/>
        <v>19.5</v>
      </c>
      <c r="S1118" s="7">
        <f t="shared" si="52"/>
        <v>1.3650000000000002</v>
      </c>
      <c r="T1118">
        <f>Table1[[#This Row],[Total price]]-Table1[[#This Row],[Discount Amount]]</f>
        <v>18.134999999999998</v>
      </c>
      <c r="U1118">
        <f t="shared" si="53"/>
        <v>181.34999999999997</v>
      </c>
    </row>
    <row r="1119" spans="1:21">
      <c r="A1119">
        <v>1118</v>
      </c>
      <c r="B1119" s="3" t="s">
        <v>1485</v>
      </c>
      <c r="C1119" s="3" t="s">
        <v>1031</v>
      </c>
      <c r="D1119" s="3" t="s">
        <v>2866</v>
      </c>
      <c r="E1119" s="3" t="s">
        <v>4124</v>
      </c>
      <c r="F1119" s="3">
        <v>400</v>
      </c>
      <c r="G1119" s="4">
        <v>41244.529861111114</v>
      </c>
      <c r="H1119" s="3">
        <v>1</v>
      </c>
      <c r="I1119" s="5">
        <v>9</v>
      </c>
      <c r="J1119" t="s">
        <v>356</v>
      </c>
      <c r="K1119" t="s">
        <v>4500</v>
      </c>
      <c r="L1119">
        <v>536527</v>
      </c>
      <c r="M1119" s="2">
        <v>20713</v>
      </c>
      <c r="N1119">
        <v>1.95</v>
      </c>
      <c r="O1119" s="6">
        <v>10</v>
      </c>
      <c r="P1119" s="3">
        <v>0.2</v>
      </c>
      <c r="Q1119" t="s">
        <v>7</v>
      </c>
      <c r="R1119" s="7">
        <f t="shared" si="51"/>
        <v>19.5</v>
      </c>
      <c r="S1119" s="7">
        <f t="shared" si="52"/>
        <v>3.9000000000000004</v>
      </c>
      <c r="T1119">
        <f>Table1[[#This Row],[Total price]]-Table1[[#This Row],[Discount Amount]]</f>
        <v>15.6</v>
      </c>
      <c r="U1119">
        <f t="shared" si="53"/>
        <v>156</v>
      </c>
    </row>
    <row r="1120" spans="1:21">
      <c r="A1120">
        <v>1119</v>
      </c>
      <c r="B1120" s="3" t="s">
        <v>1484</v>
      </c>
      <c r="C1120" s="3" t="s">
        <v>1483</v>
      </c>
      <c r="D1120" s="3" t="s">
        <v>2866</v>
      </c>
      <c r="E1120" s="3" t="s">
        <v>4125</v>
      </c>
      <c r="F1120" s="3">
        <v>400</v>
      </c>
      <c r="G1120" s="4">
        <v>41244.529861111114</v>
      </c>
      <c r="H1120" s="3">
        <v>3</v>
      </c>
      <c r="I1120" s="5">
        <v>3</v>
      </c>
      <c r="J1120" t="s">
        <v>11</v>
      </c>
      <c r="K1120" t="s">
        <v>4497</v>
      </c>
      <c r="L1120">
        <v>536527</v>
      </c>
      <c r="M1120" s="2">
        <v>22837</v>
      </c>
      <c r="N1120">
        <v>4.6500000000000004</v>
      </c>
      <c r="O1120" s="6">
        <v>4</v>
      </c>
      <c r="P1120" s="3">
        <v>0.2</v>
      </c>
      <c r="Q1120" t="s">
        <v>7</v>
      </c>
      <c r="R1120" s="7">
        <f t="shared" si="51"/>
        <v>18.600000000000001</v>
      </c>
      <c r="S1120" s="7">
        <f t="shared" si="52"/>
        <v>3.7200000000000006</v>
      </c>
      <c r="T1120">
        <f>Table1[[#This Row],[Total price]]-Table1[[#This Row],[Discount Amount]]</f>
        <v>14.88</v>
      </c>
      <c r="U1120">
        <f t="shared" si="53"/>
        <v>59.52</v>
      </c>
    </row>
    <row r="1121" spans="1:21">
      <c r="A1121">
        <v>1120</v>
      </c>
      <c r="B1121" s="3" t="s">
        <v>1482</v>
      </c>
      <c r="C1121" s="3" t="s">
        <v>1481</v>
      </c>
      <c r="D1121" s="3" t="s">
        <v>2866</v>
      </c>
      <c r="E1121" s="3" t="s">
        <v>4126</v>
      </c>
      <c r="F1121" s="3">
        <v>401</v>
      </c>
      <c r="G1121" s="4">
        <v>41244.529861111114</v>
      </c>
      <c r="H1121" s="3">
        <v>3</v>
      </c>
      <c r="I1121" s="5">
        <v>23</v>
      </c>
      <c r="J1121" t="s">
        <v>861</v>
      </c>
      <c r="K1121" t="s">
        <v>4497</v>
      </c>
      <c r="L1121">
        <v>536527</v>
      </c>
      <c r="M1121" s="2">
        <v>22969</v>
      </c>
      <c r="N1121">
        <v>1.45</v>
      </c>
      <c r="O1121" s="6">
        <v>12</v>
      </c>
      <c r="P1121" s="3">
        <v>0.2</v>
      </c>
      <c r="Q1121" t="s">
        <v>7</v>
      </c>
      <c r="R1121" s="7">
        <f t="shared" si="51"/>
        <v>17.399999999999999</v>
      </c>
      <c r="S1121" s="7">
        <f t="shared" si="52"/>
        <v>3.48</v>
      </c>
      <c r="T1121">
        <f>Table1[[#This Row],[Total price]]-Table1[[#This Row],[Discount Amount]]</f>
        <v>13.919999999999998</v>
      </c>
      <c r="U1121">
        <f t="shared" si="53"/>
        <v>167.03999999999996</v>
      </c>
    </row>
    <row r="1122" spans="1:21">
      <c r="A1122">
        <v>1121</v>
      </c>
      <c r="B1122" s="3" t="s">
        <v>1480</v>
      </c>
      <c r="C1122" s="3" t="s">
        <v>1479</v>
      </c>
      <c r="D1122" s="3" t="s">
        <v>2866</v>
      </c>
      <c r="E1122" s="3" t="s">
        <v>4127</v>
      </c>
      <c r="F1122" s="3">
        <v>401</v>
      </c>
      <c r="G1122" s="4">
        <v>41244.529861111114</v>
      </c>
      <c r="H1122" s="3">
        <v>4</v>
      </c>
      <c r="I1122" s="5">
        <v>10</v>
      </c>
      <c r="J1122" t="s">
        <v>873</v>
      </c>
      <c r="K1122" t="s">
        <v>4497</v>
      </c>
      <c r="L1122">
        <v>536527</v>
      </c>
      <c r="M1122" s="2">
        <v>22973</v>
      </c>
      <c r="N1122">
        <v>1.65</v>
      </c>
      <c r="O1122" s="6">
        <v>12</v>
      </c>
      <c r="P1122" s="3">
        <v>0.2</v>
      </c>
      <c r="Q1122" t="s">
        <v>7</v>
      </c>
      <c r="R1122" s="7">
        <f t="shared" si="51"/>
        <v>19.799999999999997</v>
      </c>
      <c r="S1122" s="7">
        <f t="shared" si="52"/>
        <v>3.9599999999999995</v>
      </c>
      <c r="T1122">
        <f>Table1[[#This Row],[Total price]]-Table1[[#This Row],[Discount Amount]]</f>
        <v>15.839999999999998</v>
      </c>
      <c r="U1122">
        <f t="shared" si="53"/>
        <v>190.07999999999998</v>
      </c>
    </row>
    <row r="1123" spans="1:21">
      <c r="A1123">
        <v>1122</v>
      </c>
      <c r="B1123" s="3" t="s">
        <v>1478</v>
      </c>
      <c r="C1123" s="3" t="s">
        <v>994</v>
      </c>
      <c r="D1123" s="3" t="s">
        <v>2866</v>
      </c>
      <c r="E1123" s="3" t="s">
        <v>4128</v>
      </c>
      <c r="F1123" s="3">
        <v>402</v>
      </c>
      <c r="G1123" s="4">
        <v>41244.529861111114</v>
      </c>
      <c r="H1123" s="3">
        <v>4</v>
      </c>
      <c r="I1123" s="5">
        <v>6</v>
      </c>
      <c r="J1123" t="s">
        <v>622</v>
      </c>
      <c r="K1123" t="s">
        <v>4499</v>
      </c>
      <c r="L1123">
        <v>536527</v>
      </c>
      <c r="M1123" s="2" t="s">
        <v>621</v>
      </c>
      <c r="N1123">
        <v>1.25</v>
      </c>
      <c r="O1123" s="6">
        <v>12</v>
      </c>
      <c r="P1123" s="3">
        <v>7.0000000000000007E-2</v>
      </c>
      <c r="Q1123" t="s">
        <v>7</v>
      </c>
      <c r="R1123" s="7">
        <f t="shared" si="51"/>
        <v>15</v>
      </c>
      <c r="S1123" s="7">
        <f t="shared" si="52"/>
        <v>1.05</v>
      </c>
      <c r="T1123">
        <f>Table1[[#This Row],[Total price]]-Table1[[#This Row],[Discount Amount]]</f>
        <v>13.95</v>
      </c>
      <c r="U1123">
        <f t="shared" si="53"/>
        <v>167.39999999999998</v>
      </c>
    </row>
    <row r="1124" spans="1:21">
      <c r="A1124">
        <v>1123</v>
      </c>
      <c r="B1124" s="3" t="s">
        <v>1477</v>
      </c>
      <c r="C1124" s="3" t="s">
        <v>1476</v>
      </c>
      <c r="D1124" s="3" t="s">
        <v>2866</v>
      </c>
      <c r="E1124" s="3" t="s">
        <v>4129</v>
      </c>
      <c r="F1124" s="3">
        <v>402</v>
      </c>
      <c r="G1124" s="4">
        <v>41244.529861111114</v>
      </c>
      <c r="H1124" s="3">
        <v>4</v>
      </c>
      <c r="I1124" s="5">
        <v>5</v>
      </c>
      <c r="J1124" t="s">
        <v>416</v>
      </c>
      <c r="K1124" t="s">
        <v>4499</v>
      </c>
      <c r="L1124">
        <v>536527</v>
      </c>
      <c r="M1124" s="2">
        <v>22549</v>
      </c>
      <c r="N1124">
        <v>1.45</v>
      </c>
      <c r="O1124" s="6">
        <v>12</v>
      </c>
      <c r="P1124" s="3">
        <v>7.0000000000000007E-2</v>
      </c>
      <c r="Q1124" t="s">
        <v>7</v>
      </c>
      <c r="R1124" s="7">
        <f t="shared" si="51"/>
        <v>17.399999999999999</v>
      </c>
      <c r="S1124" s="7">
        <f t="shared" si="52"/>
        <v>1.218</v>
      </c>
      <c r="T1124">
        <f>Table1[[#This Row],[Total price]]-Table1[[#This Row],[Discount Amount]]</f>
        <v>16.181999999999999</v>
      </c>
      <c r="U1124">
        <f t="shared" si="53"/>
        <v>194.18399999999997</v>
      </c>
    </row>
    <row r="1125" spans="1:21">
      <c r="A1125">
        <v>1124</v>
      </c>
      <c r="B1125" s="3" t="s">
        <v>1454</v>
      </c>
      <c r="C1125" s="3" t="s">
        <v>1475</v>
      </c>
      <c r="D1125" s="3" t="s">
        <v>2866</v>
      </c>
      <c r="E1125" s="3" t="s">
        <v>4130</v>
      </c>
      <c r="F1125" s="3">
        <v>402</v>
      </c>
      <c r="G1125" s="4">
        <v>41244.529861111114</v>
      </c>
      <c r="H1125" s="3">
        <v>4</v>
      </c>
      <c r="I1125" s="5">
        <v>26</v>
      </c>
      <c r="J1125" t="s">
        <v>597</v>
      </c>
      <c r="K1125" t="s">
        <v>4499</v>
      </c>
      <c r="L1125">
        <v>536527</v>
      </c>
      <c r="M1125" s="2" t="s">
        <v>596</v>
      </c>
      <c r="N1125">
        <v>18</v>
      </c>
      <c r="O1125" s="6">
        <v>1</v>
      </c>
      <c r="P1125" s="3">
        <v>0.05</v>
      </c>
      <c r="Q1125" t="s">
        <v>7</v>
      </c>
      <c r="R1125" s="7">
        <f t="shared" si="51"/>
        <v>18</v>
      </c>
      <c r="S1125" s="7">
        <f t="shared" si="52"/>
        <v>0.9</v>
      </c>
      <c r="T1125">
        <f>Table1[[#This Row],[Total price]]-Table1[[#This Row],[Discount Amount]]</f>
        <v>17.100000000000001</v>
      </c>
      <c r="U1125">
        <f t="shared" si="53"/>
        <v>17.100000000000001</v>
      </c>
    </row>
    <row r="1126" spans="1:21">
      <c r="A1126">
        <v>1125</v>
      </c>
      <c r="B1126" s="3" t="s">
        <v>1474</v>
      </c>
      <c r="C1126" s="3" t="s">
        <v>1473</v>
      </c>
      <c r="D1126" s="3" t="s">
        <v>2866</v>
      </c>
      <c r="E1126" s="3" t="s">
        <v>4131</v>
      </c>
      <c r="F1126" s="3">
        <v>403</v>
      </c>
      <c r="G1126" s="4">
        <v>41244.529861111114</v>
      </c>
      <c r="H1126" s="3">
        <v>4</v>
      </c>
      <c r="I1126" s="5">
        <v>12</v>
      </c>
      <c r="J1126" t="s">
        <v>115</v>
      </c>
      <c r="K1126" t="s">
        <v>4498</v>
      </c>
      <c r="L1126">
        <v>536528</v>
      </c>
      <c r="M1126" s="2">
        <v>22815</v>
      </c>
      <c r="N1126">
        <v>0.42</v>
      </c>
      <c r="O1126" s="6">
        <v>12</v>
      </c>
      <c r="P1126" s="3">
        <v>0.1</v>
      </c>
      <c r="Q1126" t="s">
        <v>4</v>
      </c>
      <c r="R1126" s="7">
        <f t="shared" si="51"/>
        <v>5.04</v>
      </c>
      <c r="S1126" s="7">
        <f t="shared" si="52"/>
        <v>0.504</v>
      </c>
      <c r="T1126">
        <f>Table1[[#This Row],[Total price]]-Table1[[#This Row],[Discount Amount]]</f>
        <v>4.5359999999999996</v>
      </c>
      <c r="U1126">
        <f t="shared" si="53"/>
        <v>54.431999999999995</v>
      </c>
    </row>
    <row r="1127" spans="1:21">
      <c r="A1127">
        <v>1126</v>
      </c>
      <c r="B1127" s="3" t="s">
        <v>1472</v>
      </c>
      <c r="C1127" s="3" t="s">
        <v>1471</v>
      </c>
      <c r="D1127" s="3" t="s">
        <v>2866</v>
      </c>
      <c r="E1127" s="3" t="s">
        <v>4132</v>
      </c>
      <c r="F1127" s="3">
        <v>403</v>
      </c>
      <c r="G1127" s="4">
        <v>41244.529861111114</v>
      </c>
      <c r="H1127" s="3">
        <v>4</v>
      </c>
      <c r="I1127" s="5">
        <v>7</v>
      </c>
      <c r="J1127" t="s">
        <v>27</v>
      </c>
      <c r="K1127" t="s">
        <v>4498</v>
      </c>
      <c r="L1127">
        <v>536528</v>
      </c>
      <c r="M1127" s="2">
        <v>22865</v>
      </c>
      <c r="N1127">
        <v>2.1</v>
      </c>
      <c r="O1127" s="6">
        <v>1</v>
      </c>
      <c r="P1127" s="3">
        <v>0.2</v>
      </c>
      <c r="Q1127" t="s">
        <v>4</v>
      </c>
      <c r="R1127" s="7">
        <f t="shared" si="51"/>
        <v>2.1</v>
      </c>
      <c r="S1127" s="7">
        <f t="shared" si="52"/>
        <v>0.42000000000000004</v>
      </c>
      <c r="T1127">
        <f>Table1[[#This Row],[Total price]]-Table1[[#This Row],[Discount Amount]]</f>
        <v>1.6800000000000002</v>
      </c>
      <c r="U1127">
        <f t="shared" si="53"/>
        <v>1.6800000000000002</v>
      </c>
    </row>
    <row r="1128" spans="1:21">
      <c r="A1128">
        <v>1127</v>
      </c>
      <c r="B1128" s="3" t="s">
        <v>1470</v>
      </c>
      <c r="C1128" s="3" t="s">
        <v>981</v>
      </c>
      <c r="D1128" s="3" t="s">
        <v>2866</v>
      </c>
      <c r="E1128" s="3" t="s">
        <v>4133</v>
      </c>
      <c r="F1128" s="3">
        <v>403</v>
      </c>
      <c r="G1128" s="4">
        <v>41244.529861111114</v>
      </c>
      <c r="H1128" s="3">
        <v>4</v>
      </c>
      <c r="I1128" s="5">
        <v>22</v>
      </c>
      <c r="J1128" t="s">
        <v>291</v>
      </c>
      <c r="K1128" t="s">
        <v>4498</v>
      </c>
      <c r="L1128">
        <v>536528</v>
      </c>
      <c r="M1128" s="2">
        <v>22585</v>
      </c>
      <c r="N1128">
        <v>1.25</v>
      </c>
      <c r="O1128" s="6">
        <v>6</v>
      </c>
      <c r="P1128" s="3">
        <v>0.05</v>
      </c>
      <c r="Q1128" t="s">
        <v>4</v>
      </c>
      <c r="R1128" s="7">
        <f t="shared" si="51"/>
        <v>7.5</v>
      </c>
      <c r="S1128" s="7">
        <f t="shared" si="52"/>
        <v>0.375</v>
      </c>
      <c r="T1128">
        <f>Table1[[#This Row],[Total price]]-Table1[[#This Row],[Discount Amount]]</f>
        <v>7.125</v>
      </c>
      <c r="U1128">
        <f t="shared" si="53"/>
        <v>42.75</v>
      </c>
    </row>
    <row r="1129" spans="1:21">
      <c r="A1129">
        <v>1128</v>
      </c>
      <c r="B1129" s="3" t="s">
        <v>1469</v>
      </c>
      <c r="C1129" s="3" t="s">
        <v>1468</v>
      </c>
      <c r="D1129" s="3" t="s">
        <v>2866</v>
      </c>
      <c r="E1129" s="3" t="s">
        <v>4134</v>
      </c>
      <c r="F1129" s="3">
        <v>403</v>
      </c>
      <c r="G1129" s="4">
        <v>41244.529861111114</v>
      </c>
      <c r="H1129" s="3">
        <v>4</v>
      </c>
      <c r="I1129" s="5">
        <v>24</v>
      </c>
      <c r="J1129" t="s">
        <v>293</v>
      </c>
      <c r="K1129" t="s">
        <v>4498</v>
      </c>
      <c r="L1129">
        <v>536528</v>
      </c>
      <c r="M1129" s="2">
        <v>21587</v>
      </c>
      <c r="N1129">
        <v>2.5499999999999998</v>
      </c>
      <c r="O1129" s="6">
        <v>1</v>
      </c>
      <c r="P1129" s="3">
        <v>0.2</v>
      </c>
      <c r="Q1129" t="s">
        <v>4</v>
      </c>
      <c r="R1129" s="7">
        <f t="shared" si="51"/>
        <v>2.5499999999999998</v>
      </c>
      <c r="S1129" s="7">
        <f t="shared" si="52"/>
        <v>0.51</v>
      </c>
      <c r="T1129">
        <f>Table1[[#This Row],[Total price]]-Table1[[#This Row],[Discount Amount]]</f>
        <v>2.04</v>
      </c>
      <c r="U1129">
        <f t="shared" si="53"/>
        <v>2.04</v>
      </c>
    </row>
    <row r="1130" spans="1:21">
      <c r="A1130">
        <v>1129</v>
      </c>
      <c r="B1130" s="3" t="s">
        <v>1467</v>
      </c>
      <c r="C1130" s="3" t="s">
        <v>1466</v>
      </c>
      <c r="D1130" s="3" t="s">
        <v>2866</v>
      </c>
      <c r="E1130" s="3" t="s">
        <v>4135</v>
      </c>
      <c r="F1130" s="3">
        <v>404</v>
      </c>
      <c r="G1130" s="4">
        <v>41244.529861111114</v>
      </c>
      <c r="H1130" s="3">
        <v>4</v>
      </c>
      <c r="I1130" s="5">
        <v>9</v>
      </c>
      <c r="J1130" t="s">
        <v>719</v>
      </c>
      <c r="K1130" t="s">
        <v>4498</v>
      </c>
      <c r="L1130">
        <v>536528</v>
      </c>
      <c r="M1130" s="2" t="s">
        <v>718</v>
      </c>
      <c r="N1130">
        <v>1.45</v>
      </c>
      <c r="O1130" s="6">
        <v>1</v>
      </c>
      <c r="P1130" s="3">
        <v>7.0000000000000007E-2</v>
      </c>
      <c r="Q1130" t="s">
        <v>4</v>
      </c>
      <c r="R1130" s="7">
        <f t="shared" si="51"/>
        <v>1.45</v>
      </c>
      <c r="S1130" s="7">
        <f t="shared" si="52"/>
        <v>0.10150000000000001</v>
      </c>
      <c r="T1130">
        <f>Table1[[#This Row],[Total price]]-Table1[[#This Row],[Discount Amount]]</f>
        <v>1.3485</v>
      </c>
      <c r="U1130">
        <f t="shared" si="53"/>
        <v>1.3485</v>
      </c>
    </row>
    <row r="1131" spans="1:21">
      <c r="A1131">
        <v>1130</v>
      </c>
      <c r="B1131" s="3" t="s">
        <v>1465</v>
      </c>
      <c r="C1131" s="3" t="s">
        <v>1464</v>
      </c>
      <c r="D1131" s="3" t="s">
        <v>2866</v>
      </c>
      <c r="E1131" s="3" t="s">
        <v>4136</v>
      </c>
      <c r="F1131" s="3">
        <v>404</v>
      </c>
      <c r="G1131" s="4">
        <v>41244.529861111114</v>
      </c>
      <c r="H1131" s="3">
        <v>4</v>
      </c>
      <c r="I1131" s="5">
        <v>25</v>
      </c>
      <c r="J1131" t="s">
        <v>538</v>
      </c>
      <c r="K1131" t="s">
        <v>4498</v>
      </c>
      <c r="L1131">
        <v>536528</v>
      </c>
      <c r="M1131" s="2" t="s">
        <v>537</v>
      </c>
      <c r="N1131">
        <v>1.65</v>
      </c>
      <c r="O1131" s="6">
        <v>1</v>
      </c>
      <c r="P1131" s="3">
        <v>0.05</v>
      </c>
      <c r="Q1131" t="s">
        <v>4</v>
      </c>
      <c r="R1131" s="7">
        <f t="shared" si="51"/>
        <v>1.65</v>
      </c>
      <c r="S1131" s="7">
        <f t="shared" si="52"/>
        <v>8.2500000000000004E-2</v>
      </c>
      <c r="T1131">
        <f>Table1[[#This Row],[Total price]]-Table1[[#This Row],[Discount Amount]]</f>
        <v>1.5674999999999999</v>
      </c>
      <c r="U1131">
        <f t="shared" si="53"/>
        <v>1.5674999999999999</v>
      </c>
    </row>
    <row r="1132" spans="1:21">
      <c r="A1132">
        <v>1131</v>
      </c>
      <c r="B1132" s="3" t="s">
        <v>1463</v>
      </c>
      <c r="C1132" s="3" t="s">
        <v>1462</v>
      </c>
      <c r="D1132" s="3" t="s">
        <v>2866</v>
      </c>
      <c r="E1132" s="3" t="s">
        <v>4137</v>
      </c>
      <c r="F1132" s="3">
        <v>404</v>
      </c>
      <c r="G1132" s="4">
        <v>41244.529861111114</v>
      </c>
      <c r="H1132" s="3">
        <v>4</v>
      </c>
      <c r="I1132" s="5">
        <v>16</v>
      </c>
      <c r="J1132" t="s">
        <v>262</v>
      </c>
      <c r="K1132" t="s">
        <v>4498</v>
      </c>
      <c r="L1132">
        <v>536528</v>
      </c>
      <c r="M1132" s="2">
        <v>22813</v>
      </c>
      <c r="N1132">
        <v>1.95</v>
      </c>
      <c r="O1132" s="6">
        <v>3</v>
      </c>
      <c r="P1132" s="3">
        <v>0.2</v>
      </c>
      <c r="Q1132" t="s">
        <v>4</v>
      </c>
      <c r="R1132" s="7">
        <f t="shared" si="51"/>
        <v>5.85</v>
      </c>
      <c r="S1132" s="7">
        <f t="shared" si="52"/>
        <v>1.17</v>
      </c>
      <c r="T1132">
        <f>Table1[[#This Row],[Total price]]-Table1[[#This Row],[Discount Amount]]</f>
        <v>4.68</v>
      </c>
      <c r="U1132">
        <f t="shared" si="53"/>
        <v>14.04</v>
      </c>
    </row>
    <row r="1133" spans="1:21">
      <c r="A1133">
        <v>1132</v>
      </c>
      <c r="B1133" s="3" t="s">
        <v>1461</v>
      </c>
      <c r="C1133" s="3" t="s">
        <v>1460</v>
      </c>
      <c r="D1133" s="3" t="s">
        <v>2866</v>
      </c>
      <c r="E1133" s="3" t="s">
        <v>4138</v>
      </c>
      <c r="F1133" s="3">
        <v>405</v>
      </c>
      <c r="G1133" s="4">
        <v>41244.529861111114</v>
      </c>
      <c r="H1133" s="3">
        <v>4</v>
      </c>
      <c r="I1133" s="5">
        <v>3</v>
      </c>
      <c r="J1133" t="s">
        <v>804</v>
      </c>
      <c r="K1133" t="s">
        <v>4498</v>
      </c>
      <c r="L1133">
        <v>536528</v>
      </c>
      <c r="M1133" s="2">
        <v>22128</v>
      </c>
      <c r="N1133">
        <v>1.25</v>
      </c>
      <c r="O1133" s="6">
        <v>6</v>
      </c>
      <c r="P1133" s="3">
        <v>0.2</v>
      </c>
      <c r="Q1133" t="s">
        <v>4</v>
      </c>
      <c r="R1133" s="7">
        <f t="shared" si="51"/>
        <v>7.5</v>
      </c>
      <c r="S1133" s="7">
        <f t="shared" si="52"/>
        <v>1.5</v>
      </c>
      <c r="T1133">
        <f>Table1[[#This Row],[Total price]]-Table1[[#This Row],[Discount Amount]]</f>
        <v>6</v>
      </c>
      <c r="U1133">
        <f t="shared" si="53"/>
        <v>36</v>
      </c>
    </row>
    <row r="1134" spans="1:21">
      <c r="A1134">
        <v>1133</v>
      </c>
      <c r="B1134" s="3" t="s">
        <v>1253</v>
      </c>
      <c r="C1134" s="3" t="s">
        <v>1096</v>
      </c>
      <c r="D1134" s="3" t="s">
        <v>2866</v>
      </c>
      <c r="E1134" s="3" t="s">
        <v>4139</v>
      </c>
      <c r="F1134" s="3">
        <v>405</v>
      </c>
      <c r="G1134" s="4">
        <v>41244.529861111114</v>
      </c>
      <c r="H1134" s="3">
        <v>4</v>
      </c>
      <c r="I1134" s="5">
        <v>10</v>
      </c>
      <c r="J1134" t="s">
        <v>432</v>
      </c>
      <c r="K1134" t="s">
        <v>4498</v>
      </c>
      <c r="L1134">
        <v>536528</v>
      </c>
      <c r="M1134" s="2">
        <v>22839</v>
      </c>
      <c r="N1134">
        <v>14.95</v>
      </c>
      <c r="O1134" s="6">
        <v>1</v>
      </c>
      <c r="P1134" s="3">
        <v>0.1</v>
      </c>
      <c r="Q1134" t="s">
        <v>4</v>
      </c>
      <c r="R1134" s="7">
        <f t="shared" si="51"/>
        <v>14.95</v>
      </c>
      <c r="S1134" s="7">
        <f t="shared" si="52"/>
        <v>1.4950000000000001</v>
      </c>
      <c r="T1134">
        <f>Table1[[#This Row],[Total price]]-Table1[[#This Row],[Discount Amount]]</f>
        <v>13.454999999999998</v>
      </c>
      <c r="U1134">
        <f t="shared" si="53"/>
        <v>13.454999999999998</v>
      </c>
    </row>
    <row r="1135" spans="1:21">
      <c r="A1135">
        <v>1134</v>
      </c>
      <c r="B1135" s="3" t="s">
        <v>1459</v>
      </c>
      <c r="C1135" s="3" t="s">
        <v>977</v>
      </c>
      <c r="D1135" s="3" t="s">
        <v>2866</v>
      </c>
      <c r="E1135" s="3" t="s">
        <v>4140</v>
      </c>
      <c r="F1135" s="3">
        <v>405</v>
      </c>
      <c r="G1135" s="4">
        <v>41244.529861111114</v>
      </c>
      <c r="H1135" s="3">
        <v>4</v>
      </c>
      <c r="I1135" s="5">
        <v>14</v>
      </c>
      <c r="J1135" t="s">
        <v>322</v>
      </c>
      <c r="K1135" t="s">
        <v>4498</v>
      </c>
      <c r="L1135">
        <v>536528</v>
      </c>
      <c r="M1135" s="2">
        <v>22584</v>
      </c>
      <c r="N1135">
        <v>2.5499999999999998</v>
      </c>
      <c r="O1135" s="6">
        <v>2</v>
      </c>
      <c r="P1135" s="3">
        <v>7.0000000000000007E-2</v>
      </c>
      <c r="Q1135" t="s">
        <v>4</v>
      </c>
      <c r="R1135" s="7">
        <f t="shared" si="51"/>
        <v>5.0999999999999996</v>
      </c>
      <c r="S1135" s="7">
        <f t="shared" si="52"/>
        <v>0.35699999999999998</v>
      </c>
      <c r="T1135">
        <f>Table1[[#This Row],[Total price]]-Table1[[#This Row],[Discount Amount]]</f>
        <v>4.7429999999999994</v>
      </c>
      <c r="U1135">
        <f t="shared" si="53"/>
        <v>9.4859999999999989</v>
      </c>
    </row>
    <row r="1136" spans="1:21">
      <c r="A1136">
        <v>1135</v>
      </c>
      <c r="B1136" s="3" t="s">
        <v>1458</v>
      </c>
      <c r="C1136" s="3" t="s">
        <v>1430</v>
      </c>
      <c r="D1136" s="3" t="s">
        <v>2866</v>
      </c>
      <c r="E1136" s="3" t="s">
        <v>4141</v>
      </c>
      <c r="F1136" s="3">
        <v>406</v>
      </c>
      <c r="G1136" s="4">
        <v>41244.529861111114</v>
      </c>
      <c r="H1136" s="3">
        <v>4</v>
      </c>
      <c r="I1136" s="5">
        <v>4</v>
      </c>
      <c r="J1136" t="s">
        <v>277</v>
      </c>
      <c r="K1136" t="s">
        <v>4498</v>
      </c>
      <c r="L1136">
        <v>536528</v>
      </c>
      <c r="M1136" s="2">
        <v>22130</v>
      </c>
      <c r="N1136">
        <v>0.85</v>
      </c>
      <c r="O1136" s="6">
        <v>12</v>
      </c>
      <c r="P1136" s="3">
        <v>0.2</v>
      </c>
      <c r="Q1136" t="s">
        <v>4</v>
      </c>
      <c r="R1136" s="7">
        <f t="shared" si="51"/>
        <v>10.199999999999999</v>
      </c>
      <c r="S1136" s="7">
        <f t="shared" si="52"/>
        <v>2.04</v>
      </c>
      <c r="T1136">
        <f>Table1[[#This Row],[Total price]]-Table1[[#This Row],[Discount Amount]]</f>
        <v>8.16</v>
      </c>
      <c r="U1136">
        <f t="shared" si="53"/>
        <v>97.92</v>
      </c>
    </row>
    <row r="1137" spans="1:21">
      <c r="A1137">
        <v>1136</v>
      </c>
      <c r="B1137" s="3" t="s">
        <v>1457</v>
      </c>
      <c r="C1137" s="3" t="s">
        <v>946</v>
      </c>
      <c r="D1137" s="3" t="s">
        <v>4142</v>
      </c>
      <c r="E1137" s="3" t="s">
        <v>4143</v>
      </c>
      <c r="F1137" s="3">
        <v>407</v>
      </c>
      <c r="G1137" s="4">
        <v>41244.529861111114</v>
      </c>
      <c r="H1137" s="3">
        <v>4</v>
      </c>
      <c r="I1137" s="5">
        <v>20</v>
      </c>
      <c r="J1137" t="s">
        <v>25</v>
      </c>
      <c r="K1137" t="s">
        <v>4498</v>
      </c>
      <c r="L1137">
        <v>536528</v>
      </c>
      <c r="M1137" s="2">
        <v>22938</v>
      </c>
      <c r="N1137">
        <v>1.95</v>
      </c>
      <c r="O1137" s="6">
        <v>3</v>
      </c>
      <c r="P1137" s="3">
        <v>0.2</v>
      </c>
      <c r="Q1137" t="s">
        <v>4</v>
      </c>
      <c r="R1137" s="7">
        <f t="shared" si="51"/>
        <v>5.85</v>
      </c>
      <c r="S1137" s="7">
        <f t="shared" si="52"/>
        <v>1.17</v>
      </c>
      <c r="T1137">
        <f>Table1[[#This Row],[Total price]]-Table1[[#This Row],[Discount Amount]]</f>
        <v>4.68</v>
      </c>
      <c r="U1137">
        <f t="shared" si="53"/>
        <v>14.04</v>
      </c>
    </row>
    <row r="1138" spans="1:21">
      <c r="A1138">
        <v>1137</v>
      </c>
      <c r="B1138" s="3" t="s">
        <v>1456</v>
      </c>
      <c r="C1138" s="3" t="s">
        <v>1455</v>
      </c>
      <c r="D1138" s="3" t="s">
        <v>2866</v>
      </c>
      <c r="E1138" s="3" t="s">
        <v>4144</v>
      </c>
      <c r="F1138" s="3">
        <v>407</v>
      </c>
      <c r="G1138" s="4">
        <v>41244.529861111114</v>
      </c>
      <c r="H1138" s="3">
        <v>4</v>
      </c>
      <c r="I1138" s="5">
        <v>5</v>
      </c>
      <c r="J1138" t="s">
        <v>34</v>
      </c>
      <c r="K1138" t="s">
        <v>4498</v>
      </c>
      <c r="L1138">
        <v>536528</v>
      </c>
      <c r="M1138" s="2">
        <v>22411</v>
      </c>
      <c r="N1138">
        <v>1.95</v>
      </c>
      <c r="O1138" s="6">
        <v>1</v>
      </c>
      <c r="P1138" s="3">
        <v>0.05</v>
      </c>
      <c r="Q1138" t="s">
        <v>4</v>
      </c>
      <c r="R1138" s="7">
        <f t="shared" si="51"/>
        <v>1.95</v>
      </c>
      <c r="S1138" s="7">
        <f t="shared" si="52"/>
        <v>9.7500000000000003E-2</v>
      </c>
      <c r="T1138">
        <f>Table1[[#This Row],[Total price]]-Table1[[#This Row],[Discount Amount]]</f>
        <v>1.8525</v>
      </c>
      <c r="U1138">
        <f t="shared" si="53"/>
        <v>1.8525</v>
      </c>
    </row>
    <row r="1139" spans="1:21">
      <c r="A1139">
        <v>1138</v>
      </c>
      <c r="B1139" s="3" t="s">
        <v>1454</v>
      </c>
      <c r="C1139" s="3" t="s">
        <v>1250</v>
      </c>
      <c r="D1139" s="3" t="s">
        <v>2866</v>
      </c>
      <c r="E1139" s="3" t="s">
        <v>4145</v>
      </c>
      <c r="F1139" s="3">
        <v>408</v>
      </c>
      <c r="G1139" s="4">
        <v>41244.529861111114</v>
      </c>
      <c r="H1139" s="3">
        <v>4</v>
      </c>
      <c r="I1139" s="5">
        <v>18</v>
      </c>
      <c r="J1139" t="s">
        <v>87</v>
      </c>
      <c r="K1139" t="s">
        <v>4498</v>
      </c>
      <c r="L1139">
        <v>536528</v>
      </c>
      <c r="M1139" s="2">
        <v>21731</v>
      </c>
      <c r="N1139">
        <v>1.65</v>
      </c>
      <c r="O1139" s="6">
        <v>2</v>
      </c>
      <c r="P1139" s="3">
        <v>0.2</v>
      </c>
      <c r="Q1139" t="s">
        <v>4</v>
      </c>
      <c r="R1139" s="7">
        <f t="shared" si="51"/>
        <v>3.3</v>
      </c>
      <c r="S1139" s="7">
        <f t="shared" si="52"/>
        <v>0.66</v>
      </c>
      <c r="T1139">
        <f>Table1[[#This Row],[Total price]]-Table1[[#This Row],[Discount Amount]]</f>
        <v>2.6399999999999997</v>
      </c>
      <c r="U1139">
        <f t="shared" si="53"/>
        <v>5.2799999999999994</v>
      </c>
    </row>
    <row r="1140" spans="1:21">
      <c r="A1140">
        <v>1139</v>
      </c>
      <c r="B1140" s="3" t="s">
        <v>1453</v>
      </c>
      <c r="C1140" s="3" t="s">
        <v>1452</v>
      </c>
      <c r="D1140" s="3" t="s">
        <v>2866</v>
      </c>
      <c r="E1140" s="3" t="s">
        <v>4146</v>
      </c>
      <c r="F1140" s="3">
        <v>408</v>
      </c>
      <c r="G1140" s="4">
        <v>41244.529861111114</v>
      </c>
      <c r="H1140" s="3">
        <v>4</v>
      </c>
      <c r="I1140" s="5">
        <v>3</v>
      </c>
      <c r="J1140" t="s">
        <v>225</v>
      </c>
      <c r="K1140" t="s">
        <v>4498</v>
      </c>
      <c r="L1140">
        <v>536528</v>
      </c>
      <c r="M1140" s="2">
        <v>22616</v>
      </c>
      <c r="N1140">
        <v>0.28999999999999998</v>
      </c>
      <c r="O1140" s="6">
        <v>1</v>
      </c>
      <c r="P1140" s="3">
        <v>7.0000000000000007E-2</v>
      </c>
      <c r="Q1140" t="s">
        <v>4</v>
      </c>
      <c r="R1140" s="7">
        <f t="shared" si="51"/>
        <v>0.28999999999999998</v>
      </c>
      <c r="S1140" s="7">
        <f t="shared" si="52"/>
        <v>2.0300000000000002E-2</v>
      </c>
      <c r="T1140">
        <f>Table1[[#This Row],[Total price]]-Table1[[#This Row],[Discount Amount]]</f>
        <v>0.2697</v>
      </c>
      <c r="U1140">
        <f t="shared" si="53"/>
        <v>0.2697</v>
      </c>
    </row>
    <row r="1141" spans="1:21">
      <c r="A1141">
        <v>1140</v>
      </c>
      <c r="B1141" s="3" t="s">
        <v>1451</v>
      </c>
      <c r="C1141" s="3" t="s">
        <v>1450</v>
      </c>
      <c r="D1141" s="3" t="s">
        <v>2866</v>
      </c>
      <c r="E1141" s="3" t="s">
        <v>4147</v>
      </c>
      <c r="F1141" s="3">
        <v>408</v>
      </c>
      <c r="G1141" s="4">
        <v>41244.529861111114</v>
      </c>
      <c r="H1141" s="3">
        <v>4</v>
      </c>
      <c r="I1141" s="5">
        <v>2</v>
      </c>
      <c r="J1141" t="s">
        <v>637</v>
      </c>
      <c r="K1141" t="s">
        <v>4498</v>
      </c>
      <c r="L1141">
        <v>536528</v>
      </c>
      <c r="M1141" s="2">
        <v>22454</v>
      </c>
      <c r="N1141">
        <v>2.95</v>
      </c>
      <c r="O1141" s="6">
        <v>1</v>
      </c>
      <c r="P1141" s="3">
        <v>7.0000000000000007E-2</v>
      </c>
      <c r="Q1141" t="s">
        <v>4</v>
      </c>
      <c r="R1141" s="7">
        <f t="shared" si="51"/>
        <v>2.95</v>
      </c>
      <c r="S1141" s="7">
        <f t="shared" si="52"/>
        <v>0.20650000000000004</v>
      </c>
      <c r="T1141">
        <f>Table1[[#This Row],[Total price]]-Table1[[#This Row],[Discount Amount]]</f>
        <v>2.7435</v>
      </c>
      <c r="U1141">
        <f t="shared" si="53"/>
        <v>2.7435</v>
      </c>
    </row>
    <row r="1142" spans="1:21">
      <c r="A1142">
        <v>1141</v>
      </c>
      <c r="B1142" s="3" t="s">
        <v>1449</v>
      </c>
      <c r="C1142" s="3" t="s">
        <v>1448</v>
      </c>
      <c r="D1142" s="3" t="s">
        <v>2866</v>
      </c>
      <c r="E1142" s="3" t="s">
        <v>4148</v>
      </c>
      <c r="F1142" s="3">
        <v>408</v>
      </c>
      <c r="G1142" s="4">
        <v>41244.529861111114</v>
      </c>
      <c r="H1142" s="3">
        <v>4</v>
      </c>
      <c r="I1142" s="5">
        <v>17</v>
      </c>
      <c r="J1142" t="s">
        <v>27</v>
      </c>
      <c r="K1142" t="s">
        <v>4498</v>
      </c>
      <c r="L1142">
        <v>536528</v>
      </c>
      <c r="M1142" s="2">
        <v>22865</v>
      </c>
      <c r="N1142">
        <v>2.1</v>
      </c>
      <c r="O1142" s="6">
        <v>1</v>
      </c>
      <c r="P1142" s="3">
        <v>0.2</v>
      </c>
      <c r="Q1142" t="s">
        <v>4</v>
      </c>
      <c r="R1142" s="7">
        <f t="shared" si="51"/>
        <v>2.1</v>
      </c>
      <c r="S1142" s="7">
        <f t="shared" si="52"/>
        <v>0.42000000000000004</v>
      </c>
      <c r="T1142">
        <f>Table1[[#This Row],[Total price]]-Table1[[#This Row],[Discount Amount]]</f>
        <v>1.6800000000000002</v>
      </c>
      <c r="U1142">
        <f t="shared" si="53"/>
        <v>1.6800000000000002</v>
      </c>
    </row>
    <row r="1143" spans="1:21">
      <c r="A1143">
        <v>1142</v>
      </c>
      <c r="B1143" s="3" t="s">
        <v>1447</v>
      </c>
      <c r="C1143" s="3" t="s">
        <v>1446</v>
      </c>
      <c r="D1143" s="3" t="s">
        <v>2866</v>
      </c>
      <c r="E1143" s="3" t="s">
        <v>4149</v>
      </c>
      <c r="F1143" s="3">
        <v>409</v>
      </c>
      <c r="G1143" s="4">
        <v>41244.529861111114</v>
      </c>
      <c r="H1143" s="3">
        <v>4</v>
      </c>
      <c r="I1143" s="5">
        <v>15</v>
      </c>
      <c r="J1143" t="s">
        <v>327</v>
      </c>
      <c r="K1143" t="s">
        <v>4498</v>
      </c>
      <c r="L1143">
        <v>536528</v>
      </c>
      <c r="M1143" s="2">
        <v>21992</v>
      </c>
      <c r="N1143">
        <v>2.95</v>
      </c>
      <c r="O1143" s="6">
        <v>1</v>
      </c>
      <c r="P1143" s="3">
        <v>7.0000000000000007E-2</v>
      </c>
      <c r="Q1143" t="s">
        <v>4</v>
      </c>
      <c r="R1143" s="7">
        <f t="shared" si="51"/>
        <v>2.95</v>
      </c>
      <c r="S1143" s="7">
        <f t="shared" si="52"/>
        <v>0.20650000000000004</v>
      </c>
      <c r="T1143">
        <f>Table1[[#This Row],[Total price]]-Table1[[#This Row],[Discount Amount]]</f>
        <v>2.7435</v>
      </c>
      <c r="U1143">
        <f t="shared" si="53"/>
        <v>2.7435</v>
      </c>
    </row>
    <row r="1144" spans="1:21">
      <c r="A1144">
        <v>1143</v>
      </c>
      <c r="B1144" s="3" t="s">
        <v>1445</v>
      </c>
      <c r="C1144" s="3" t="s">
        <v>1444</v>
      </c>
      <c r="D1144" s="3" t="s">
        <v>2866</v>
      </c>
      <c r="E1144" s="3" t="s">
        <v>4150</v>
      </c>
      <c r="F1144" s="3">
        <v>409</v>
      </c>
      <c r="G1144" s="4">
        <v>41244.529861111114</v>
      </c>
      <c r="H1144" s="3">
        <v>4</v>
      </c>
      <c r="I1144" s="5">
        <v>16</v>
      </c>
      <c r="J1144" t="s">
        <v>156</v>
      </c>
      <c r="K1144" t="s">
        <v>4498</v>
      </c>
      <c r="L1144">
        <v>536528</v>
      </c>
      <c r="M1144" s="2">
        <v>22326</v>
      </c>
      <c r="N1144">
        <v>2.95</v>
      </c>
      <c r="O1144" s="6">
        <v>4</v>
      </c>
      <c r="P1144" s="3">
        <v>0.2</v>
      </c>
      <c r="Q1144" t="s">
        <v>4</v>
      </c>
      <c r="R1144" s="7">
        <f t="shared" si="51"/>
        <v>11.8</v>
      </c>
      <c r="S1144" s="7">
        <f t="shared" si="52"/>
        <v>2.3600000000000003</v>
      </c>
      <c r="T1144">
        <f>Table1[[#This Row],[Total price]]-Table1[[#This Row],[Discount Amount]]</f>
        <v>9.4400000000000013</v>
      </c>
      <c r="U1144">
        <f t="shared" si="53"/>
        <v>37.760000000000005</v>
      </c>
    </row>
    <row r="1145" spans="1:21">
      <c r="A1145">
        <v>1144</v>
      </c>
      <c r="B1145" s="3" t="s">
        <v>1443</v>
      </c>
      <c r="C1145" s="3" t="s">
        <v>1442</v>
      </c>
      <c r="D1145" s="3" t="s">
        <v>2866</v>
      </c>
      <c r="E1145" s="3" t="s">
        <v>4151</v>
      </c>
      <c r="F1145" s="3">
        <v>409</v>
      </c>
      <c r="G1145" s="4">
        <v>41244.529861111114</v>
      </c>
      <c r="H1145" s="3">
        <v>4</v>
      </c>
      <c r="I1145" s="5">
        <v>21</v>
      </c>
      <c r="J1145" t="s">
        <v>493</v>
      </c>
      <c r="K1145" t="s">
        <v>4498</v>
      </c>
      <c r="L1145">
        <v>536528</v>
      </c>
      <c r="M1145" s="2">
        <v>22082</v>
      </c>
      <c r="N1145">
        <v>1.65</v>
      </c>
      <c r="O1145" s="6">
        <v>1</v>
      </c>
      <c r="P1145" s="3">
        <v>0.05</v>
      </c>
      <c r="Q1145" t="s">
        <v>4</v>
      </c>
      <c r="R1145" s="7">
        <f t="shared" si="51"/>
        <v>1.65</v>
      </c>
      <c r="S1145" s="7">
        <f t="shared" si="52"/>
        <v>8.2500000000000004E-2</v>
      </c>
      <c r="T1145">
        <f>Table1[[#This Row],[Total price]]-Table1[[#This Row],[Discount Amount]]</f>
        <v>1.5674999999999999</v>
      </c>
      <c r="U1145">
        <f t="shared" si="53"/>
        <v>1.5674999999999999</v>
      </c>
    </row>
    <row r="1146" spans="1:21">
      <c r="A1146">
        <v>1145</v>
      </c>
      <c r="B1146" s="3" t="s">
        <v>1334</v>
      </c>
      <c r="C1146" s="3" t="s">
        <v>1291</v>
      </c>
      <c r="D1146" s="3" t="s">
        <v>4152</v>
      </c>
      <c r="E1146" s="3" t="s">
        <v>4153</v>
      </c>
      <c r="F1146" s="3">
        <v>410</v>
      </c>
      <c r="G1146" s="4">
        <v>41244.529861111114</v>
      </c>
      <c r="H1146" s="3">
        <v>4</v>
      </c>
      <c r="I1146" s="5">
        <v>25</v>
      </c>
      <c r="J1146" t="s">
        <v>351</v>
      </c>
      <c r="K1146" t="s">
        <v>4498</v>
      </c>
      <c r="L1146">
        <v>536528</v>
      </c>
      <c r="M1146" s="2" t="s">
        <v>350</v>
      </c>
      <c r="N1146">
        <v>1.25</v>
      </c>
      <c r="O1146" s="6">
        <v>1</v>
      </c>
      <c r="P1146" s="3">
        <v>0.1</v>
      </c>
      <c r="Q1146" t="s">
        <v>4</v>
      </c>
      <c r="R1146" s="7">
        <f t="shared" si="51"/>
        <v>1.25</v>
      </c>
      <c r="S1146" s="7">
        <f t="shared" si="52"/>
        <v>0.125</v>
      </c>
      <c r="T1146">
        <f>Table1[[#This Row],[Total price]]-Table1[[#This Row],[Discount Amount]]</f>
        <v>1.125</v>
      </c>
      <c r="U1146">
        <f t="shared" si="53"/>
        <v>1.125</v>
      </c>
    </row>
    <row r="1147" spans="1:21">
      <c r="A1147">
        <v>1146</v>
      </c>
      <c r="B1147" s="3" t="s">
        <v>1441</v>
      </c>
      <c r="C1147" s="3" t="s">
        <v>1155</v>
      </c>
      <c r="D1147" s="3" t="s">
        <v>2866</v>
      </c>
      <c r="E1147" s="3" t="s">
        <v>4154</v>
      </c>
      <c r="F1147" s="3">
        <v>410</v>
      </c>
      <c r="G1147" s="4">
        <v>41244.529861111114</v>
      </c>
      <c r="H1147" s="3">
        <v>4</v>
      </c>
      <c r="I1147" s="5">
        <v>9</v>
      </c>
      <c r="J1147" t="s">
        <v>51</v>
      </c>
      <c r="K1147" t="s">
        <v>4498</v>
      </c>
      <c r="L1147">
        <v>536528</v>
      </c>
      <c r="M1147" s="2">
        <v>22077</v>
      </c>
      <c r="N1147">
        <v>1.65</v>
      </c>
      <c r="O1147" s="6">
        <v>2</v>
      </c>
      <c r="P1147" s="3">
        <v>0.05</v>
      </c>
      <c r="Q1147" t="s">
        <v>4</v>
      </c>
      <c r="R1147" s="7">
        <f t="shared" si="51"/>
        <v>3.3</v>
      </c>
      <c r="S1147" s="7">
        <f t="shared" si="52"/>
        <v>0.16500000000000001</v>
      </c>
      <c r="T1147">
        <f>Table1[[#This Row],[Total price]]-Table1[[#This Row],[Discount Amount]]</f>
        <v>3.1349999999999998</v>
      </c>
      <c r="U1147">
        <f t="shared" si="53"/>
        <v>6.27</v>
      </c>
    </row>
    <row r="1148" spans="1:21">
      <c r="A1148">
        <v>1147</v>
      </c>
      <c r="B1148" s="3" t="s">
        <v>1440</v>
      </c>
      <c r="C1148" s="3" t="s">
        <v>910</v>
      </c>
      <c r="D1148" s="3" t="s">
        <v>2866</v>
      </c>
      <c r="E1148" s="3" t="s">
        <v>4155</v>
      </c>
      <c r="F1148" s="3">
        <v>410</v>
      </c>
      <c r="G1148" s="4">
        <v>41244.529861111114</v>
      </c>
      <c r="H1148" s="3">
        <v>4</v>
      </c>
      <c r="I1148" s="5">
        <v>24</v>
      </c>
      <c r="J1148" t="s">
        <v>415</v>
      </c>
      <c r="K1148" t="s">
        <v>4498</v>
      </c>
      <c r="L1148">
        <v>536528</v>
      </c>
      <c r="M1148" s="2" t="s">
        <v>414</v>
      </c>
      <c r="N1148">
        <v>1.25</v>
      </c>
      <c r="O1148" s="6">
        <v>1</v>
      </c>
      <c r="P1148" s="3">
        <v>0.1</v>
      </c>
      <c r="Q1148" t="s">
        <v>4</v>
      </c>
      <c r="R1148" s="7">
        <f t="shared" si="51"/>
        <v>1.25</v>
      </c>
      <c r="S1148" s="7">
        <f t="shared" si="52"/>
        <v>0.125</v>
      </c>
      <c r="T1148">
        <f>Table1[[#This Row],[Total price]]-Table1[[#This Row],[Discount Amount]]</f>
        <v>1.125</v>
      </c>
      <c r="U1148">
        <f t="shared" si="53"/>
        <v>1.125</v>
      </c>
    </row>
    <row r="1149" spans="1:21">
      <c r="A1149">
        <v>1148</v>
      </c>
      <c r="B1149" s="3" t="s">
        <v>1439</v>
      </c>
      <c r="C1149" s="3" t="s">
        <v>1438</v>
      </c>
      <c r="D1149" s="3" t="s">
        <v>2866</v>
      </c>
      <c r="E1149" s="3" t="s">
        <v>4156</v>
      </c>
      <c r="F1149" s="3">
        <v>411</v>
      </c>
      <c r="G1149" s="4">
        <v>41244.529861111114</v>
      </c>
      <c r="H1149" s="3">
        <v>4</v>
      </c>
      <c r="I1149" s="5">
        <v>2</v>
      </c>
      <c r="J1149" t="s">
        <v>27</v>
      </c>
      <c r="K1149" t="s">
        <v>4498</v>
      </c>
      <c r="L1149">
        <v>536528</v>
      </c>
      <c r="M1149" s="2">
        <v>22865</v>
      </c>
      <c r="N1149">
        <v>2.1</v>
      </c>
      <c r="O1149" s="6">
        <v>2</v>
      </c>
      <c r="P1149" s="3">
        <v>7.0000000000000007E-2</v>
      </c>
      <c r="Q1149" t="s">
        <v>4</v>
      </c>
      <c r="R1149" s="7">
        <f t="shared" si="51"/>
        <v>4.2</v>
      </c>
      <c r="S1149" s="7">
        <f t="shared" si="52"/>
        <v>0.29400000000000004</v>
      </c>
      <c r="T1149">
        <f>Table1[[#This Row],[Total price]]-Table1[[#This Row],[Discount Amount]]</f>
        <v>3.9060000000000001</v>
      </c>
      <c r="U1149">
        <f t="shared" si="53"/>
        <v>7.8120000000000003</v>
      </c>
    </row>
    <row r="1150" spans="1:21">
      <c r="A1150">
        <v>1149</v>
      </c>
      <c r="B1150" s="3" t="s">
        <v>1437</v>
      </c>
      <c r="C1150" s="3" t="s">
        <v>1066</v>
      </c>
      <c r="D1150" s="3" t="s">
        <v>2866</v>
      </c>
      <c r="E1150" s="3" t="s">
        <v>4157</v>
      </c>
      <c r="F1150" s="3">
        <v>411</v>
      </c>
      <c r="G1150" s="4">
        <v>41244.529861111114</v>
      </c>
      <c r="H1150" s="3">
        <v>4</v>
      </c>
      <c r="I1150" s="5">
        <v>26</v>
      </c>
      <c r="J1150" t="s">
        <v>237</v>
      </c>
      <c r="K1150" t="s">
        <v>4498</v>
      </c>
      <c r="L1150">
        <v>536528</v>
      </c>
      <c r="M1150" s="2">
        <v>22867</v>
      </c>
      <c r="N1150">
        <v>2.1</v>
      </c>
      <c r="O1150" s="6">
        <v>3</v>
      </c>
      <c r="P1150" s="3">
        <v>0.05</v>
      </c>
      <c r="Q1150" t="s">
        <v>4</v>
      </c>
      <c r="R1150" s="7">
        <f t="shared" si="51"/>
        <v>6.3000000000000007</v>
      </c>
      <c r="S1150" s="7">
        <f t="shared" si="52"/>
        <v>0.31500000000000006</v>
      </c>
      <c r="T1150">
        <f>Table1[[#This Row],[Total price]]-Table1[[#This Row],[Discount Amount]]</f>
        <v>5.9850000000000003</v>
      </c>
      <c r="U1150">
        <f t="shared" si="53"/>
        <v>17.955000000000002</v>
      </c>
    </row>
    <row r="1151" spans="1:21">
      <c r="A1151">
        <v>1150</v>
      </c>
      <c r="B1151" s="3" t="s">
        <v>1436</v>
      </c>
      <c r="C1151" s="3" t="s">
        <v>1252</v>
      </c>
      <c r="D1151" s="3" t="s">
        <v>4158</v>
      </c>
      <c r="E1151" s="3" t="s">
        <v>4159</v>
      </c>
      <c r="F1151" s="3">
        <v>412</v>
      </c>
      <c r="G1151" s="4">
        <v>41244.529861111114</v>
      </c>
      <c r="H1151" s="3">
        <v>4</v>
      </c>
      <c r="I1151" s="5">
        <v>7</v>
      </c>
      <c r="J1151" t="s">
        <v>63</v>
      </c>
      <c r="K1151" t="s">
        <v>4498</v>
      </c>
      <c r="L1151">
        <v>536528</v>
      </c>
      <c r="M1151" s="2">
        <v>22910</v>
      </c>
      <c r="N1151">
        <v>2.95</v>
      </c>
      <c r="O1151" s="6">
        <v>3</v>
      </c>
      <c r="P1151" s="3">
        <v>0.1</v>
      </c>
      <c r="Q1151" t="s">
        <v>4</v>
      </c>
      <c r="R1151" s="7">
        <f t="shared" si="51"/>
        <v>8.8500000000000014</v>
      </c>
      <c r="S1151" s="7">
        <f t="shared" si="52"/>
        <v>0.88500000000000023</v>
      </c>
      <c r="T1151">
        <f>Table1[[#This Row],[Total price]]-Table1[[#This Row],[Discount Amount]]</f>
        <v>7.9650000000000016</v>
      </c>
      <c r="U1151">
        <f t="shared" si="53"/>
        <v>23.895000000000003</v>
      </c>
    </row>
    <row r="1152" spans="1:21">
      <c r="A1152">
        <v>1151</v>
      </c>
      <c r="B1152" s="3" t="s">
        <v>1435</v>
      </c>
      <c r="C1152" s="3" t="s">
        <v>1092</v>
      </c>
      <c r="D1152" s="3" t="s">
        <v>2866</v>
      </c>
      <c r="E1152" s="3" t="s">
        <v>4160</v>
      </c>
      <c r="F1152" s="3">
        <v>412</v>
      </c>
      <c r="G1152" s="4">
        <v>41244.529861111114</v>
      </c>
      <c r="H1152" s="3">
        <v>4</v>
      </c>
      <c r="I1152" s="5">
        <v>24</v>
      </c>
      <c r="J1152" t="s">
        <v>878</v>
      </c>
      <c r="K1152" t="s">
        <v>4498</v>
      </c>
      <c r="L1152">
        <v>536528</v>
      </c>
      <c r="M1152" s="2">
        <v>22963</v>
      </c>
      <c r="N1152">
        <v>0.85</v>
      </c>
      <c r="O1152" s="6">
        <v>2</v>
      </c>
      <c r="P1152" s="3">
        <v>7.0000000000000007E-2</v>
      </c>
      <c r="Q1152" t="s">
        <v>4</v>
      </c>
      <c r="R1152" s="7">
        <f t="shared" si="51"/>
        <v>1.7</v>
      </c>
      <c r="S1152" s="7">
        <f t="shared" si="52"/>
        <v>0.11900000000000001</v>
      </c>
      <c r="T1152">
        <f>Table1[[#This Row],[Total price]]-Table1[[#This Row],[Discount Amount]]</f>
        <v>1.581</v>
      </c>
      <c r="U1152">
        <f t="shared" si="53"/>
        <v>3.1619999999999999</v>
      </c>
    </row>
    <row r="1153" spans="1:21">
      <c r="A1153">
        <v>1152</v>
      </c>
      <c r="B1153" s="3" t="s">
        <v>1434</v>
      </c>
      <c r="C1153" s="3" t="s">
        <v>1433</v>
      </c>
      <c r="D1153" s="3" t="s">
        <v>2866</v>
      </c>
      <c r="E1153" s="3" t="s">
        <v>4161</v>
      </c>
      <c r="F1153" s="3">
        <v>412</v>
      </c>
      <c r="G1153" s="4">
        <v>41244.529861111114</v>
      </c>
      <c r="H1153" s="3">
        <v>4</v>
      </c>
      <c r="I1153" s="5">
        <v>17</v>
      </c>
      <c r="J1153" t="s">
        <v>879</v>
      </c>
      <c r="K1153" t="s">
        <v>4498</v>
      </c>
      <c r="L1153">
        <v>536528</v>
      </c>
      <c r="M1153" s="2">
        <v>22960</v>
      </c>
      <c r="N1153">
        <v>4.25</v>
      </c>
      <c r="O1153" s="6">
        <v>1</v>
      </c>
      <c r="P1153" s="3">
        <v>0.1</v>
      </c>
      <c r="Q1153" t="s">
        <v>4</v>
      </c>
      <c r="R1153" s="7">
        <f t="shared" si="51"/>
        <v>4.25</v>
      </c>
      <c r="S1153" s="7">
        <f t="shared" si="52"/>
        <v>0.42500000000000004</v>
      </c>
      <c r="T1153">
        <f>Table1[[#This Row],[Total price]]-Table1[[#This Row],[Discount Amount]]</f>
        <v>3.8250000000000002</v>
      </c>
      <c r="U1153">
        <f t="shared" si="53"/>
        <v>3.8250000000000002</v>
      </c>
    </row>
    <row r="1154" spans="1:21">
      <c r="A1154">
        <v>1153</v>
      </c>
      <c r="B1154" s="3" t="s">
        <v>1432</v>
      </c>
      <c r="C1154" s="3" t="s">
        <v>1431</v>
      </c>
      <c r="D1154" s="3" t="s">
        <v>2866</v>
      </c>
      <c r="E1154" s="3" t="s">
        <v>4162</v>
      </c>
      <c r="F1154" s="3">
        <v>413</v>
      </c>
      <c r="G1154" s="4">
        <v>41244.529861111114</v>
      </c>
      <c r="H1154" s="3">
        <v>4</v>
      </c>
      <c r="I1154" s="5">
        <v>8</v>
      </c>
      <c r="J1154" t="s">
        <v>725</v>
      </c>
      <c r="K1154" t="s">
        <v>4498</v>
      </c>
      <c r="L1154">
        <v>536528</v>
      </c>
      <c r="M1154" s="2" t="s">
        <v>724</v>
      </c>
      <c r="N1154">
        <v>1.65</v>
      </c>
      <c r="O1154" s="6">
        <v>1</v>
      </c>
      <c r="P1154" s="3">
        <v>0.05</v>
      </c>
      <c r="Q1154" t="s">
        <v>4</v>
      </c>
      <c r="R1154" s="7">
        <f t="shared" si="51"/>
        <v>1.65</v>
      </c>
      <c r="S1154" s="7">
        <f t="shared" si="52"/>
        <v>8.2500000000000004E-2</v>
      </c>
      <c r="T1154">
        <f>Table1[[#This Row],[Total price]]-Table1[[#This Row],[Discount Amount]]</f>
        <v>1.5674999999999999</v>
      </c>
      <c r="U1154">
        <f t="shared" si="53"/>
        <v>1.5674999999999999</v>
      </c>
    </row>
    <row r="1155" spans="1:21">
      <c r="A1155">
        <v>1154</v>
      </c>
      <c r="B1155" s="3" t="s">
        <v>1196</v>
      </c>
      <c r="C1155" s="3" t="s">
        <v>1430</v>
      </c>
      <c r="D1155" s="3" t="s">
        <v>2866</v>
      </c>
      <c r="E1155" s="3" t="s">
        <v>4163</v>
      </c>
      <c r="F1155" s="3">
        <v>413</v>
      </c>
      <c r="G1155" s="4">
        <v>41244.529861111114</v>
      </c>
      <c r="H1155" s="3">
        <v>4</v>
      </c>
      <c r="I1155" s="5">
        <v>25</v>
      </c>
      <c r="J1155" t="s">
        <v>538</v>
      </c>
      <c r="K1155" t="s">
        <v>4498</v>
      </c>
      <c r="L1155">
        <v>536528</v>
      </c>
      <c r="M1155" s="2" t="s">
        <v>537</v>
      </c>
      <c r="N1155">
        <v>1.65</v>
      </c>
      <c r="O1155" s="6">
        <v>1</v>
      </c>
      <c r="P1155" s="3">
        <v>0.1</v>
      </c>
      <c r="Q1155" t="s">
        <v>4</v>
      </c>
      <c r="R1155" s="7">
        <f t="shared" ref="R1155:R1218" si="54">N1155*O1155</f>
        <v>1.65</v>
      </c>
      <c r="S1155" s="7">
        <f t="shared" ref="S1155:S1218" si="55">R1155*P1155</f>
        <v>0.16500000000000001</v>
      </c>
      <c r="T1155">
        <f>Table1[[#This Row],[Total price]]-Table1[[#This Row],[Discount Amount]]</f>
        <v>1.4849999999999999</v>
      </c>
      <c r="U1155">
        <f t="shared" ref="U1155:U1218" si="56">T1155*O1155</f>
        <v>1.4849999999999999</v>
      </c>
    </row>
    <row r="1156" spans="1:21">
      <c r="A1156">
        <v>1155</v>
      </c>
      <c r="B1156" s="3" t="s">
        <v>1429</v>
      </c>
      <c r="C1156" s="3" t="s">
        <v>1403</v>
      </c>
      <c r="D1156" s="3" t="s">
        <v>2866</v>
      </c>
      <c r="E1156" s="3" t="s">
        <v>4164</v>
      </c>
      <c r="F1156" s="3">
        <v>413</v>
      </c>
      <c r="G1156" s="4">
        <v>41244.529861111114</v>
      </c>
      <c r="H1156" s="3">
        <v>4</v>
      </c>
      <c r="I1156" s="5">
        <v>9</v>
      </c>
      <c r="J1156" t="s">
        <v>874</v>
      </c>
      <c r="K1156" t="s">
        <v>4498</v>
      </c>
      <c r="L1156">
        <v>536528</v>
      </c>
      <c r="M1156" s="2">
        <v>22974</v>
      </c>
      <c r="N1156">
        <v>1.65</v>
      </c>
      <c r="O1156" s="6">
        <v>2</v>
      </c>
      <c r="P1156" s="3">
        <v>7.0000000000000007E-2</v>
      </c>
      <c r="Q1156" t="s">
        <v>4</v>
      </c>
      <c r="R1156" s="7">
        <f t="shared" si="54"/>
        <v>3.3</v>
      </c>
      <c r="S1156" s="7">
        <f t="shared" si="55"/>
        <v>0.23100000000000001</v>
      </c>
      <c r="T1156">
        <f>Table1[[#This Row],[Total price]]-Table1[[#This Row],[Discount Amount]]</f>
        <v>3.069</v>
      </c>
      <c r="U1156">
        <f t="shared" si="56"/>
        <v>6.1379999999999999</v>
      </c>
    </row>
    <row r="1157" spans="1:21">
      <c r="A1157">
        <v>1156</v>
      </c>
      <c r="B1157" s="3" t="s">
        <v>1428</v>
      </c>
      <c r="C1157" s="3" t="s">
        <v>922</v>
      </c>
      <c r="D1157" s="3" t="s">
        <v>2866</v>
      </c>
      <c r="E1157" s="3" t="s">
        <v>4165</v>
      </c>
      <c r="F1157" s="3">
        <v>414</v>
      </c>
      <c r="G1157" s="4">
        <v>41244.529861111114</v>
      </c>
      <c r="H1157" s="3">
        <v>4</v>
      </c>
      <c r="I1157" s="5">
        <v>4</v>
      </c>
      <c r="J1157" t="s">
        <v>81</v>
      </c>
      <c r="K1157" t="s">
        <v>4498</v>
      </c>
      <c r="L1157">
        <v>536528</v>
      </c>
      <c r="M1157" s="2">
        <v>22423</v>
      </c>
      <c r="N1157">
        <v>12.75</v>
      </c>
      <c r="O1157" s="6">
        <v>1</v>
      </c>
      <c r="P1157" s="3">
        <v>0.1</v>
      </c>
      <c r="Q1157" t="s">
        <v>4</v>
      </c>
      <c r="R1157" s="7">
        <f t="shared" si="54"/>
        <v>12.75</v>
      </c>
      <c r="S1157" s="7">
        <f t="shared" si="55"/>
        <v>1.2750000000000001</v>
      </c>
      <c r="T1157">
        <f>Table1[[#This Row],[Total price]]-Table1[[#This Row],[Discount Amount]]</f>
        <v>11.475</v>
      </c>
      <c r="U1157">
        <f t="shared" si="56"/>
        <v>11.475</v>
      </c>
    </row>
    <row r="1158" spans="1:21">
      <c r="A1158">
        <v>1157</v>
      </c>
      <c r="B1158" s="3" t="s">
        <v>1427</v>
      </c>
      <c r="C1158" s="3" t="s">
        <v>1426</v>
      </c>
      <c r="D1158" s="3" t="s">
        <v>4166</v>
      </c>
      <c r="E1158" s="3" t="s">
        <v>4167</v>
      </c>
      <c r="F1158" s="3">
        <v>415</v>
      </c>
      <c r="G1158" s="4">
        <v>41244.529861111114</v>
      </c>
      <c r="H1158" s="3">
        <v>4</v>
      </c>
      <c r="I1158" s="5">
        <v>3</v>
      </c>
      <c r="J1158" t="s">
        <v>669</v>
      </c>
      <c r="K1158" t="s">
        <v>4498</v>
      </c>
      <c r="L1158">
        <v>536528</v>
      </c>
      <c r="M1158" s="2">
        <v>21452</v>
      </c>
      <c r="N1158">
        <v>2.95</v>
      </c>
      <c r="O1158" s="6">
        <v>2</v>
      </c>
      <c r="P1158" s="3">
        <v>7.0000000000000007E-2</v>
      </c>
      <c r="Q1158" t="s">
        <v>4</v>
      </c>
      <c r="R1158" s="7">
        <f t="shared" si="54"/>
        <v>5.9</v>
      </c>
      <c r="S1158" s="7">
        <f t="shared" si="55"/>
        <v>0.41300000000000009</v>
      </c>
      <c r="T1158">
        <f>Table1[[#This Row],[Total price]]-Table1[[#This Row],[Discount Amount]]</f>
        <v>5.4870000000000001</v>
      </c>
      <c r="U1158">
        <f t="shared" si="56"/>
        <v>10.974</v>
      </c>
    </row>
    <row r="1159" spans="1:21">
      <c r="A1159">
        <v>1158</v>
      </c>
      <c r="B1159" s="3" t="s">
        <v>1425</v>
      </c>
      <c r="C1159" s="3" t="s">
        <v>1424</v>
      </c>
      <c r="D1159" s="3" t="s">
        <v>2866</v>
      </c>
      <c r="E1159" s="3" t="s">
        <v>4168</v>
      </c>
      <c r="F1159" s="3">
        <v>415</v>
      </c>
      <c r="G1159" s="4">
        <v>41244.529861111114</v>
      </c>
      <c r="H1159" s="3">
        <v>4</v>
      </c>
      <c r="I1159" s="5">
        <v>23</v>
      </c>
      <c r="J1159" t="s">
        <v>25</v>
      </c>
      <c r="K1159" t="s">
        <v>4498</v>
      </c>
      <c r="L1159">
        <v>536528</v>
      </c>
      <c r="M1159" s="2">
        <v>22938</v>
      </c>
      <c r="N1159">
        <v>1.95</v>
      </c>
      <c r="O1159" s="6">
        <v>1</v>
      </c>
      <c r="P1159" s="3">
        <v>0.2</v>
      </c>
      <c r="Q1159" t="s">
        <v>4</v>
      </c>
      <c r="R1159" s="7">
        <f t="shared" si="54"/>
        <v>1.95</v>
      </c>
      <c r="S1159" s="7">
        <f t="shared" si="55"/>
        <v>0.39</v>
      </c>
      <c r="T1159">
        <f>Table1[[#This Row],[Total price]]-Table1[[#This Row],[Discount Amount]]</f>
        <v>1.56</v>
      </c>
      <c r="U1159">
        <f t="shared" si="56"/>
        <v>1.56</v>
      </c>
    </row>
    <row r="1160" spans="1:21">
      <c r="A1160">
        <v>1159</v>
      </c>
      <c r="B1160" s="3" t="s">
        <v>1423</v>
      </c>
      <c r="C1160" s="3" t="s">
        <v>1422</v>
      </c>
      <c r="D1160" s="3" t="s">
        <v>2866</v>
      </c>
      <c r="E1160" s="3" t="s">
        <v>4169</v>
      </c>
      <c r="F1160" s="3">
        <v>415</v>
      </c>
      <c r="G1160" s="4">
        <v>41244.529861111114</v>
      </c>
      <c r="H1160" s="3">
        <v>4</v>
      </c>
      <c r="I1160" s="5">
        <v>5</v>
      </c>
      <c r="J1160" t="s">
        <v>275</v>
      </c>
      <c r="K1160" t="s">
        <v>4498</v>
      </c>
      <c r="L1160">
        <v>536528</v>
      </c>
      <c r="M1160" s="2">
        <v>22812</v>
      </c>
      <c r="N1160">
        <v>1.95</v>
      </c>
      <c r="O1160" s="6">
        <v>3</v>
      </c>
      <c r="P1160" s="3">
        <v>0.2</v>
      </c>
      <c r="Q1160" t="s">
        <v>4</v>
      </c>
      <c r="R1160" s="7">
        <f t="shared" si="54"/>
        <v>5.85</v>
      </c>
      <c r="S1160" s="7">
        <f t="shared" si="55"/>
        <v>1.17</v>
      </c>
      <c r="T1160">
        <f>Table1[[#This Row],[Total price]]-Table1[[#This Row],[Discount Amount]]</f>
        <v>4.68</v>
      </c>
      <c r="U1160">
        <f t="shared" si="56"/>
        <v>14.04</v>
      </c>
    </row>
    <row r="1161" spans="1:21">
      <c r="A1161">
        <v>1160</v>
      </c>
      <c r="B1161" s="3" t="s">
        <v>1421</v>
      </c>
      <c r="C1161" s="3" t="s">
        <v>1420</v>
      </c>
      <c r="D1161" s="3" t="s">
        <v>2866</v>
      </c>
      <c r="E1161" s="3" t="s">
        <v>4170</v>
      </c>
      <c r="F1161" s="3">
        <v>415</v>
      </c>
      <c r="G1161" s="4">
        <v>41244.529861111114</v>
      </c>
      <c r="H1161" s="3">
        <v>4</v>
      </c>
      <c r="I1161" s="5">
        <v>6</v>
      </c>
      <c r="J1161" t="s">
        <v>322</v>
      </c>
      <c r="K1161" t="s">
        <v>4498</v>
      </c>
      <c r="L1161">
        <v>536528</v>
      </c>
      <c r="M1161" s="2">
        <v>22584</v>
      </c>
      <c r="N1161">
        <v>2.5499999999999998</v>
      </c>
      <c r="O1161" s="6">
        <v>2</v>
      </c>
      <c r="P1161" s="3">
        <v>0.05</v>
      </c>
      <c r="Q1161" t="s">
        <v>4</v>
      </c>
      <c r="R1161" s="7">
        <f t="shared" si="54"/>
        <v>5.0999999999999996</v>
      </c>
      <c r="S1161" s="7">
        <f t="shared" si="55"/>
        <v>0.255</v>
      </c>
      <c r="T1161">
        <f>Table1[[#This Row],[Total price]]-Table1[[#This Row],[Discount Amount]]</f>
        <v>4.8449999999999998</v>
      </c>
      <c r="U1161">
        <f t="shared" si="56"/>
        <v>9.69</v>
      </c>
    </row>
    <row r="1162" spans="1:21">
      <c r="A1162">
        <v>1161</v>
      </c>
      <c r="B1162" s="3" t="s">
        <v>1419</v>
      </c>
      <c r="C1162" s="3" t="s">
        <v>1418</v>
      </c>
      <c r="D1162" s="3" t="s">
        <v>2866</v>
      </c>
      <c r="E1162" s="3" t="s">
        <v>4171</v>
      </c>
      <c r="F1162" s="3">
        <v>416</v>
      </c>
      <c r="G1162" s="4">
        <v>41244.529861111114</v>
      </c>
      <c r="H1162" s="3">
        <v>4</v>
      </c>
      <c r="I1162" s="5">
        <v>22</v>
      </c>
      <c r="J1162" t="s">
        <v>266</v>
      </c>
      <c r="K1162" t="s">
        <v>4498</v>
      </c>
      <c r="L1162">
        <v>536528</v>
      </c>
      <c r="M1162" s="2">
        <v>22744</v>
      </c>
      <c r="N1162">
        <v>2.95</v>
      </c>
      <c r="O1162" s="6">
        <v>2</v>
      </c>
      <c r="P1162" s="3">
        <v>7.0000000000000007E-2</v>
      </c>
      <c r="Q1162" t="s">
        <v>4</v>
      </c>
      <c r="R1162" s="7">
        <f t="shared" si="54"/>
        <v>5.9</v>
      </c>
      <c r="S1162" s="7">
        <f t="shared" si="55"/>
        <v>0.41300000000000009</v>
      </c>
      <c r="T1162">
        <f>Table1[[#This Row],[Total price]]-Table1[[#This Row],[Discount Amount]]</f>
        <v>5.4870000000000001</v>
      </c>
      <c r="U1162">
        <f t="shared" si="56"/>
        <v>10.974</v>
      </c>
    </row>
    <row r="1163" spans="1:21">
      <c r="A1163">
        <v>1162</v>
      </c>
      <c r="B1163" s="3" t="s">
        <v>1417</v>
      </c>
      <c r="C1163" s="3" t="s">
        <v>1416</v>
      </c>
      <c r="D1163" s="3" t="s">
        <v>2866</v>
      </c>
      <c r="E1163" s="3" t="s">
        <v>4172</v>
      </c>
      <c r="F1163" s="3">
        <v>416</v>
      </c>
      <c r="G1163" s="4">
        <v>41244.529861111114</v>
      </c>
      <c r="H1163" s="3">
        <v>4</v>
      </c>
      <c r="I1163" s="5">
        <v>14</v>
      </c>
      <c r="J1163" t="s">
        <v>265</v>
      </c>
      <c r="K1163" t="s">
        <v>4498</v>
      </c>
      <c r="L1163">
        <v>536528</v>
      </c>
      <c r="M1163" s="2">
        <v>22743</v>
      </c>
      <c r="N1163">
        <v>2.95</v>
      </c>
      <c r="O1163" s="6">
        <v>1</v>
      </c>
      <c r="P1163" s="3">
        <v>7.0000000000000007E-2</v>
      </c>
      <c r="Q1163" t="s">
        <v>4</v>
      </c>
      <c r="R1163" s="7">
        <f t="shared" si="54"/>
        <v>2.95</v>
      </c>
      <c r="S1163" s="7">
        <f t="shared" si="55"/>
        <v>0.20650000000000004</v>
      </c>
      <c r="T1163">
        <f>Table1[[#This Row],[Total price]]-Table1[[#This Row],[Discount Amount]]</f>
        <v>2.7435</v>
      </c>
      <c r="U1163">
        <f t="shared" si="56"/>
        <v>2.7435</v>
      </c>
    </row>
    <row r="1164" spans="1:21">
      <c r="A1164">
        <v>1163</v>
      </c>
      <c r="B1164" s="3" t="s">
        <v>1415</v>
      </c>
      <c r="C1164" s="3" t="s">
        <v>1237</v>
      </c>
      <c r="D1164" s="3" t="s">
        <v>2866</v>
      </c>
      <c r="E1164" s="3" t="s">
        <v>4173</v>
      </c>
      <c r="F1164" s="3">
        <v>416</v>
      </c>
      <c r="G1164" s="4">
        <v>41244.529861111114</v>
      </c>
      <c r="H1164" s="3">
        <v>4</v>
      </c>
      <c r="I1164" s="5">
        <v>24</v>
      </c>
      <c r="J1164" t="s">
        <v>410</v>
      </c>
      <c r="K1164" t="s">
        <v>4498</v>
      </c>
      <c r="L1164">
        <v>536528</v>
      </c>
      <c r="M1164" s="2">
        <v>22911</v>
      </c>
      <c r="N1164">
        <v>2.95</v>
      </c>
      <c r="O1164" s="6">
        <v>1</v>
      </c>
      <c r="P1164" s="3">
        <v>0.1</v>
      </c>
      <c r="Q1164" t="s">
        <v>4</v>
      </c>
      <c r="R1164" s="7">
        <f t="shared" si="54"/>
        <v>2.95</v>
      </c>
      <c r="S1164" s="7">
        <f t="shared" si="55"/>
        <v>0.29500000000000004</v>
      </c>
      <c r="T1164">
        <f>Table1[[#This Row],[Total price]]-Table1[[#This Row],[Discount Amount]]</f>
        <v>2.6550000000000002</v>
      </c>
      <c r="U1164">
        <f t="shared" si="56"/>
        <v>2.6550000000000002</v>
      </c>
    </row>
    <row r="1165" spans="1:21">
      <c r="A1165">
        <v>1164</v>
      </c>
      <c r="B1165" s="3" t="s">
        <v>1414</v>
      </c>
      <c r="C1165" s="3" t="s">
        <v>1413</v>
      </c>
      <c r="D1165" s="3" t="s">
        <v>2866</v>
      </c>
      <c r="E1165" s="3" t="s">
        <v>4174</v>
      </c>
      <c r="F1165" s="3">
        <v>417</v>
      </c>
      <c r="G1165" s="4">
        <v>41244.529861111114</v>
      </c>
      <c r="H1165" s="3">
        <v>4</v>
      </c>
      <c r="I1165" s="5">
        <v>26</v>
      </c>
      <c r="J1165" t="s">
        <v>291</v>
      </c>
      <c r="K1165" t="s">
        <v>4498</v>
      </c>
      <c r="L1165">
        <v>536528</v>
      </c>
      <c r="M1165" s="2">
        <v>22585</v>
      </c>
      <c r="N1165">
        <v>1.25</v>
      </c>
      <c r="O1165" s="6">
        <v>5</v>
      </c>
      <c r="P1165" s="3">
        <v>7.0000000000000007E-2</v>
      </c>
      <c r="Q1165" t="s">
        <v>4</v>
      </c>
      <c r="R1165" s="7">
        <f t="shared" si="54"/>
        <v>6.25</v>
      </c>
      <c r="S1165" s="7">
        <f t="shared" si="55"/>
        <v>0.43750000000000006</v>
      </c>
      <c r="T1165">
        <f>Table1[[#This Row],[Total price]]-Table1[[#This Row],[Discount Amount]]</f>
        <v>5.8125</v>
      </c>
      <c r="U1165">
        <f t="shared" si="56"/>
        <v>29.0625</v>
      </c>
    </row>
    <row r="1166" spans="1:21">
      <c r="A1166">
        <v>1165</v>
      </c>
      <c r="B1166" s="3" t="s">
        <v>1412</v>
      </c>
      <c r="C1166" s="3" t="s">
        <v>1411</v>
      </c>
      <c r="D1166" s="3" t="s">
        <v>4175</v>
      </c>
      <c r="E1166" s="3" t="s">
        <v>4176</v>
      </c>
      <c r="F1166" s="3">
        <v>417</v>
      </c>
      <c r="G1166" s="4">
        <v>41244.529861111114</v>
      </c>
      <c r="H1166" s="3">
        <v>4</v>
      </c>
      <c r="I1166" s="5">
        <v>6</v>
      </c>
      <c r="J1166" t="s">
        <v>513</v>
      </c>
      <c r="K1166" t="s">
        <v>4498</v>
      </c>
      <c r="L1166">
        <v>536528</v>
      </c>
      <c r="M1166" s="2">
        <v>22900</v>
      </c>
      <c r="N1166">
        <v>2.95</v>
      </c>
      <c r="O1166" s="6">
        <v>1</v>
      </c>
      <c r="P1166" s="3">
        <v>7.0000000000000007E-2</v>
      </c>
      <c r="Q1166" t="s">
        <v>4</v>
      </c>
      <c r="R1166" s="7">
        <f t="shared" si="54"/>
        <v>2.95</v>
      </c>
      <c r="S1166" s="7">
        <f t="shared" si="55"/>
        <v>0.20650000000000004</v>
      </c>
      <c r="T1166">
        <f>Table1[[#This Row],[Total price]]-Table1[[#This Row],[Discount Amount]]</f>
        <v>2.7435</v>
      </c>
      <c r="U1166">
        <f t="shared" si="56"/>
        <v>2.7435</v>
      </c>
    </row>
    <row r="1167" spans="1:21">
      <c r="A1167">
        <v>1166</v>
      </c>
      <c r="B1167" s="3" t="s">
        <v>1410</v>
      </c>
      <c r="C1167" s="3" t="s">
        <v>1409</v>
      </c>
      <c r="D1167" s="3" t="s">
        <v>2866</v>
      </c>
      <c r="E1167" s="3" t="s">
        <v>4177</v>
      </c>
      <c r="F1167" s="3">
        <v>418</v>
      </c>
      <c r="G1167" s="4">
        <v>41244.529861111114</v>
      </c>
      <c r="H1167" s="3">
        <v>4</v>
      </c>
      <c r="I1167" s="5">
        <v>12</v>
      </c>
      <c r="J1167" t="s">
        <v>410</v>
      </c>
      <c r="K1167" t="s">
        <v>4498</v>
      </c>
      <c r="L1167">
        <v>536528</v>
      </c>
      <c r="M1167" s="2">
        <v>22911</v>
      </c>
      <c r="N1167">
        <v>2.95</v>
      </c>
      <c r="O1167" s="6">
        <v>1</v>
      </c>
      <c r="P1167" s="3">
        <v>0.05</v>
      </c>
      <c r="Q1167" t="s">
        <v>4</v>
      </c>
      <c r="R1167" s="7">
        <f t="shared" si="54"/>
        <v>2.95</v>
      </c>
      <c r="S1167" s="7">
        <f t="shared" si="55"/>
        <v>0.14750000000000002</v>
      </c>
      <c r="T1167">
        <f>Table1[[#This Row],[Total price]]-Table1[[#This Row],[Discount Amount]]</f>
        <v>2.8025000000000002</v>
      </c>
      <c r="U1167">
        <f t="shared" si="56"/>
        <v>2.8025000000000002</v>
      </c>
    </row>
    <row r="1168" spans="1:21">
      <c r="A1168">
        <v>1167</v>
      </c>
      <c r="B1168" s="3" t="s">
        <v>1408</v>
      </c>
      <c r="C1168" s="3" t="s">
        <v>1407</v>
      </c>
      <c r="D1168" s="3" t="s">
        <v>2866</v>
      </c>
      <c r="E1168" s="3" t="s">
        <v>4178</v>
      </c>
      <c r="F1168" s="3">
        <v>418</v>
      </c>
      <c r="G1168" s="4">
        <v>41244.529861111114</v>
      </c>
      <c r="H1168" s="3">
        <v>4</v>
      </c>
      <c r="I1168" s="5">
        <v>20</v>
      </c>
      <c r="J1168" t="s">
        <v>265</v>
      </c>
      <c r="K1168" t="s">
        <v>4498</v>
      </c>
      <c r="L1168">
        <v>536528</v>
      </c>
      <c r="M1168" s="2">
        <v>22743</v>
      </c>
      <c r="N1168">
        <v>2.95</v>
      </c>
      <c r="O1168" s="6">
        <v>1</v>
      </c>
      <c r="P1168" s="3">
        <v>0.05</v>
      </c>
      <c r="Q1168" t="s">
        <v>4</v>
      </c>
      <c r="R1168" s="7">
        <f t="shared" si="54"/>
        <v>2.95</v>
      </c>
      <c r="S1168" s="7">
        <f t="shared" si="55"/>
        <v>0.14750000000000002</v>
      </c>
      <c r="T1168">
        <f>Table1[[#This Row],[Total price]]-Table1[[#This Row],[Discount Amount]]</f>
        <v>2.8025000000000002</v>
      </c>
      <c r="U1168">
        <f t="shared" si="56"/>
        <v>2.8025000000000002</v>
      </c>
    </row>
    <row r="1169" spans="1:21">
      <c r="A1169">
        <v>1168</v>
      </c>
      <c r="B1169" s="3" t="s">
        <v>1406</v>
      </c>
      <c r="C1169" s="3" t="s">
        <v>1405</v>
      </c>
      <c r="D1169" s="3" t="s">
        <v>2866</v>
      </c>
      <c r="E1169" s="3" t="s">
        <v>4179</v>
      </c>
      <c r="F1169" s="3">
        <v>419</v>
      </c>
      <c r="G1169" s="4">
        <v>41244.529861111114</v>
      </c>
      <c r="H1169" s="3">
        <v>4</v>
      </c>
      <c r="I1169" s="5">
        <v>9</v>
      </c>
      <c r="J1169" t="s">
        <v>266</v>
      </c>
      <c r="K1169" t="s">
        <v>4498</v>
      </c>
      <c r="L1169">
        <v>536528</v>
      </c>
      <c r="M1169" s="2">
        <v>22744</v>
      </c>
      <c r="N1169">
        <v>2.95</v>
      </c>
      <c r="O1169" s="6">
        <v>200</v>
      </c>
      <c r="P1169" s="3">
        <v>0.05</v>
      </c>
      <c r="Q1169" t="s">
        <v>4</v>
      </c>
      <c r="R1169" s="7">
        <f t="shared" si="54"/>
        <v>590</v>
      </c>
      <c r="S1169" s="7">
        <f t="shared" si="55"/>
        <v>29.5</v>
      </c>
      <c r="T1169">
        <f>Table1[[#This Row],[Total price]]-Table1[[#This Row],[Discount Amount]]</f>
        <v>560.5</v>
      </c>
      <c r="U1169">
        <f t="shared" si="56"/>
        <v>112100</v>
      </c>
    </row>
    <row r="1170" spans="1:21">
      <c r="A1170">
        <v>1169</v>
      </c>
      <c r="B1170" s="3" t="s">
        <v>1404</v>
      </c>
      <c r="C1170" s="3" t="s">
        <v>1403</v>
      </c>
      <c r="D1170" s="3" t="s">
        <v>2866</v>
      </c>
      <c r="E1170" s="3" t="s">
        <v>4180</v>
      </c>
      <c r="F1170" s="3">
        <v>420</v>
      </c>
      <c r="G1170" s="4">
        <v>41244.529861111114</v>
      </c>
      <c r="H1170" s="3">
        <v>4</v>
      </c>
      <c r="I1170" s="5">
        <v>17</v>
      </c>
      <c r="J1170" t="s">
        <v>876</v>
      </c>
      <c r="K1170" t="s">
        <v>4498</v>
      </c>
      <c r="L1170">
        <v>536528</v>
      </c>
      <c r="M1170" s="2">
        <v>22961</v>
      </c>
      <c r="N1170">
        <v>1.45</v>
      </c>
      <c r="O1170" s="6">
        <v>100</v>
      </c>
      <c r="P1170" s="3">
        <v>0.2</v>
      </c>
      <c r="Q1170" t="s">
        <v>4</v>
      </c>
      <c r="R1170" s="7">
        <f t="shared" si="54"/>
        <v>145</v>
      </c>
      <c r="S1170" s="7">
        <f t="shared" si="55"/>
        <v>29</v>
      </c>
      <c r="T1170">
        <f>Table1[[#This Row],[Total price]]-Table1[[#This Row],[Discount Amount]]</f>
        <v>116</v>
      </c>
      <c r="U1170">
        <f t="shared" si="56"/>
        <v>11600</v>
      </c>
    </row>
    <row r="1171" spans="1:21">
      <c r="A1171">
        <v>1170</v>
      </c>
      <c r="B1171" s="3" t="s">
        <v>1402</v>
      </c>
      <c r="C1171" s="3" t="s">
        <v>1002</v>
      </c>
      <c r="D1171" s="3" t="s">
        <v>2866</v>
      </c>
      <c r="E1171" s="3" t="s">
        <v>4181</v>
      </c>
      <c r="F1171" s="3">
        <v>420</v>
      </c>
      <c r="G1171" s="4">
        <v>41244.529861111114</v>
      </c>
      <c r="H1171" s="3">
        <v>4</v>
      </c>
      <c r="I1171" s="5">
        <v>15</v>
      </c>
      <c r="J1171" t="s">
        <v>34</v>
      </c>
      <c r="K1171" t="s">
        <v>4498</v>
      </c>
      <c r="L1171">
        <v>536528</v>
      </c>
      <c r="M1171" s="2">
        <v>22411</v>
      </c>
      <c r="N1171">
        <v>1.95</v>
      </c>
      <c r="O1171" s="6">
        <v>300</v>
      </c>
      <c r="P1171" s="3">
        <v>0.1</v>
      </c>
      <c r="Q1171" t="s">
        <v>4</v>
      </c>
      <c r="R1171" s="7">
        <f t="shared" si="54"/>
        <v>585</v>
      </c>
      <c r="S1171" s="7">
        <f t="shared" si="55"/>
        <v>58.5</v>
      </c>
      <c r="T1171">
        <f>Table1[[#This Row],[Total price]]-Table1[[#This Row],[Discount Amount]]</f>
        <v>526.5</v>
      </c>
      <c r="U1171">
        <f t="shared" si="56"/>
        <v>157950</v>
      </c>
    </row>
    <row r="1172" spans="1:21">
      <c r="A1172">
        <v>1171</v>
      </c>
      <c r="B1172" s="3" t="s">
        <v>1401</v>
      </c>
      <c r="C1172" s="3" t="s">
        <v>1400</v>
      </c>
      <c r="D1172" s="3" t="s">
        <v>2866</v>
      </c>
      <c r="E1172" s="3" t="s">
        <v>4182</v>
      </c>
      <c r="F1172" s="3">
        <v>420</v>
      </c>
      <c r="G1172" s="4">
        <v>41244.529861111114</v>
      </c>
      <c r="H1172" s="3">
        <v>4</v>
      </c>
      <c r="I1172" s="5">
        <v>3</v>
      </c>
      <c r="J1172" t="s">
        <v>637</v>
      </c>
      <c r="K1172" t="s">
        <v>4498</v>
      </c>
      <c r="L1172">
        <v>536528</v>
      </c>
      <c r="M1172" s="2">
        <v>22454</v>
      </c>
      <c r="N1172">
        <v>2.95</v>
      </c>
      <c r="O1172" s="6">
        <v>600</v>
      </c>
      <c r="P1172" s="3">
        <v>0.05</v>
      </c>
      <c r="Q1172" t="s">
        <v>4</v>
      </c>
      <c r="R1172" s="7">
        <f t="shared" si="54"/>
        <v>1770</v>
      </c>
      <c r="S1172" s="7">
        <f t="shared" si="55"/>
        <v>88.5</v>
      </c>
      <c r="T1172">
        <f>Table1[[#This Row],[Total price]]-Table1[[#This Row],[Discount Amount]]</f>
        <v>1681.5</v>
      </c>
      <c r="U1172">
        <f t="shared" si="56"/>
        <v>1008900</v>
      </c>
    </row>
    <row r="1173" spans="1:21">
      <c r="A1173">
        <v>1172</v>
      </c>
      <c r="B1173" s="3" t="s">
        <v>1399</v>
      </c>
      <c r="C1173" s="3" t="s">
        <v>1379</v>
      </c>
      <c r="D1173" s="3" t="s">
        <v>2866</v>
      </c>
      <c r="E1173" s="3" t="s">
        <v>4183</v>
      </c>
      <c r="F1173" s="3">
        <v>421</v>
      </c>
      <c r="G1173" s="4">
        <v>41244.529861111114</v>
      </c>
      <c r="H1173" s="3">
        <v>4</v>
      </c>
      <c r="I1173" s="5">
        <v>6</v>
      </c>
      <c r="J1173" t="s">
        <v>740</v>
      </c>
      <c r="K1173" t="s">
        <v>4498</v>
      </c>
      <c r="L1173">
        <v>536528</v>
      </c>
      <c r="M1173" s="2">
        <v>22453</v>
      </c>
      <c r="N1173">
        <v>2.95</v>
      </c>
      <c r="O1173" s="6">
        <v>1</v>
      </c>
      <c r="P1173" s="3">
        <v>7.0000000000000007E-2</v>
      </c>
      <c r="Q1173" t="s">
        <v>4</v>
      </c>
      <c r="R1173" s="7">
        <f t="shared" si="54"/>
        <v>2.95</v>
      </c>
      <c r="S1173" s="7">
        <f t="shared" si="55"/>
        <v>0.20650000000000004</v>
      </c>
      <c r="T1173">
        <f>Table1[[#This Row],[Total price]]-Table1[[#This Row],[Discount Amount]]</f>
        <v>2.7435</v>
      </c>
      <c r="U1173">
        <f t="shared" si="56"/>
        <v>2.7435</v>
      </c>
    </row>
    <row r="1174" spans="1:21">
      <c r="A1174">
        <v>1173</v>
      </c>
      <c r="B1174" s="3" t="s">
        <v>1398</v>
      </c>
      <c r="C1174" s="3" t="s">
        <v>1397</v>
      </c>
      <c r="D1174" s="3" t="s">
        <v>2866</v>
      </c>
      <c r="E1174" s="3" t="s">
        <v>4184</v>
      </c>
      <c r="F1174" s="3">
        <v>421</v>
      </c>
      <c r="G1174" s="4">
        <v>41244.529861111114</v>
      </c>
      <c r="H1174" s="3">
        <v>4</v>
      </c>
      <c r="I1174" s="5">
        <v>3</v>
      </c>
      <c r="J1174" t="s">
        <v>719</v>
      </c>
      <c r="K1174" t="s">
        <v>4498</v>
      </c>
      <c r="L1174">
        <v>536528</v>
      </c>
      <c r="M1174" s="2" t="s">
        <v>718</v>
      </c>
      <c r="N1174">
        <v>1.45</v>
      </c>
      <c r="O1174" s="6">
        <v>1</v>
      </c>
      <c r="P1174" s="3">
        <v>0.2</v>
      </c>
      <c r="Q1174" t="s">
        <v>4</v>
      </c>
      <c r="R1174" s="7">
        <f t="shared" si="54"/>
        <v>1.45</v>
      </c>
      <c r="S1174" s="7">
        <f t="shared" si="55"/>
        <v>0.28999999999999998</v>
      </c>
      <c r="T1174">
        <f>Table1[[#This Row],[Total price]]-Table1[[#This Row],[Discount Amount]]</f>
        <v>1.1599999999999999</v>
      </c>
      <c r="U1174">
        <f t="shared" si="56"/>
        <v>1.1599999999999999</v>
      </c>
    </row>
    <row r="1175" spans="1:21">
      <c r="A1175">
        <v>1174</v>
      </c>
      <c r="B1175" s="3" t="s">
        <v>1396</v>
      </c>
      <c r="C1175" s="3" t="s">
        <v>1395</v>
      </c>
      <c r="D1175" s="3" t="s">
        <v>4185</v>
      </c>
      <c r="E1175" s="3" t="s">
        <v>4186</v>
      </c>
      <c r="F1175" s="3">
        <v>421</v>
      </c>
      <c r="G1175" s="4">
        <v>41244.529861111114</v>
      </c>
      <c r="H1175" s="3">
        <v>4</v>
      </c>
      <c r="I1175" s="5">
        <v>20</v>
      </c>
      <c r="J1175" t="s">
        <v>457</v>
      </c>
      <c r="K1175" t="s">
        <v>4498</v>
      </c>
      <c r="L1175">
        <v>536528</v>
      </c>
      <c r="M1175" s="2">
        <v>22445</v>
      </c>
      <c r="N1175">
        <v>2.95</v>
      </c>
      <c r="O1175" s="6">
        <v>4</v>
      </c>
      <c r="P1175" s="3">
        <v>0.2</v>
      </c>
      <c r="Q1175" t="s">
        <v>4</v>
      </c>
      <c r="R1175" s="7">
        <f t="shared" si="54"/>
        <v>11.8</v>
      </c>
      <c r="S1175" s="7">
        <f t="shared" si="55"/>
        <v>2.3600000000000003</v>
      </c>
      <c r="T1175">
        <f>Table1[[#This Row],[Total price]]-Table1[[#This Row],[Discount Amount]]</f>
        <v>9.4400000000000013</v>
      </c>
      <c r="U1175">
        <f t="shared" si="56"/>
        <v>37.760000000000005</v>
      </c>
    </row>
    <row r="1176" spans="1:21">
      <c r="A1176">
        <v>1175</v>
      </c>
      <c r="B1176" s="3" t="s">
        <v>1394</v>
      </c>
      <c r="C1176" s="3" t="s">
        <v>1185</v>
      </c>
      <c r="D1176" s="3" t="s">
        <v>2866</v>
      </c>
      <c r="E1176" s="3" t="s">
        <v>4187</v>
      </c>
      <c r="F1176" s="3">
        <v>421</v>
      </c>
      <c r="G1176" s="4">
        <v>41244.529861111114</v>
      </c>
      <c r="H1176" s="3">
        <v>4</v>
      </c>
      <c r="I1176" s="5">
        <v>4</v>
      </c>
      <c r="J1176" t="s">
        <v>630</v>
      </c>
      <c r="K1176" t="s">
        <v>4498</v>
      </c>
      <c r="L1176">
        <v>536528</v>
      </c>
      <c r="M1176" s="2">
        <v>22568</v>
      </c>
      <c r="N1176">
        <v>3.75</v>
      </c>
      <c r="O1176" s="6">
        <v>3</v>
      </c>
      <c r="P1176" s="3">
        <v>7.0000000000000007E-2</v>
      </c>
      <c r="Q1176" t="s">
        <v>4</v>
      </c>
      <c r="R1176" s="7">
        <f t="shared" si="54"/>
        <v>11.25</v>
      </c>
      <c r="S1176" s="7">
        <f t="shared" si="55"/>
        <v>0.78750000000000009</v>
      </c>
      <c r="T1176">
        <f>Table1[[#This Row],[Total price]]-Table1[[#This Row],[Discount Amount]]</f>
        <v>10.4625</v>
      </c>
      <c r="U1176">
        <f t="shared" si="56"/>
        <v>31.387500000000003</v>
      </c>
    </row>
    <row r="1177" spans="1:21">
      <c r="A1177">
        <v>1176</v>
      </c>
      <c r="B1177" s="3" t="s">
        <v>1393</v>
      </c>
      <c r="C1177" s="3" t="s">
        <v>1392</v>
      </c>
      <c r="D1177" s="3" t="s">
        <v>2866</v>
      </c>
      <c r="E1177" s="3" t="s">
        <v>4188</v>
      </c>
      <c r="F1177" s="3">
        <v>421</v>
      </c>
      <c r="G1177" s="4">
        <v>41244.529861111114</v>
      </c>
      <c r="H1177" s="3">
        <v>4</v>
      </c>
      <c r="I1177" s="5">
        <v>23</v>
      </c>
      <c r="J1177" t="s">
        <v>631</v>
      </c>
      <c r="K1177" t="s">
        <v>4498</v>
      </c>
      <c r="L1177">
        <v>536528</v>
      </c>
      <c r="M1177" s="2">
        <v>22570</v>
      </c>
      <c r="N1177">
        <v>3.75</v>
      </c>
      <c r="O1177" s="6">
        <v>1</v>
      </c>
      <c r="P1177" s="3">
        <v>0.2</v>
      </c>
      <c r="Q1177" t="s">
        <v>4</v>
      </c>
      <c r="R1177" s="7">
        <f t="shared" si="54"/>
        <v>3.75</v>
      </c>
      <c r="S1177" s="7">
        <f t="shared" si="55"/>
        <v>0.75</v>
      </c>
      <c r="T1177">
        <f>Table1[[#This Row],[Total price]]-Table1[[#This Row],[Discount Amount]]</f>
        <v>3</v>
      </c>
      <c r="U1177">
        <f t="shared" si="56"/>
        <v>3</v>
      </c>
    </row>
    <row r="1178" spans="1:21">
      <c r="A1178">
        <v>1177</v>
      </c>
      <c r="B1178" s="3" t="s">
        <v>1391</v>
      </c>
      <c r="C1178" s="3" t="s">
        <v>1362</v>
      </c>
      <c r="D1178" s="3" t="s">
        <v>2866</v>
      </c>
      <c r="E1178" s="3" t="s">
        <v>4189</v>
      </c>
      <c r="F1178" s="3">
        <v>422</v>
      </c>
      <c r="G1178" s="4">
        <v>41244.529861111114</v>
      </c>
      <c r="H1178" s="3">
        <v>3</v>
      </c>
      <c r="I1178" s="5">
        <v>20</v>
      </c>
      <c r="J1178" t="s">
        <v>833</v>
      </c>
      <c r="K1178" t="s">
        <v>4498</v>
      </c>
      <c r="L1178">
        <v>536528</v>
      </c>
      <c r="M1178" s="2">
        <v>22607</v>
      </c>
      <c r="N1178">
        <v>9.9499999999999993</v>
      </c>
      <c r="O1178" s="6">
        <v>1</v>
      </c>
      <c r="P1178" s="3">
        <v>0.05</v>
      </c>
      <c r="Q1178" t="s">
        <v>4</v>
      </c>
      <c r="R1178" s="7">
        <f t="shared" si="54"/>
        <v>9.9499999999999993</v>
      </c>
      <c r="S1178" s="7">
        <f t="shared" si="55"/>
        <v>0.4975</v>
      </c>
      <c r="T1178">
        <f>Table1[[#This Row],[Total price]]-Table1[[#This Row],[Discount Amount]]</f>
        <v>9.4524999999999988</v>
      </c>
      <c r="U1178">
        <f t="shared" si="56"/>
        <v>9.4524999999999988</v>
      </c>
    </row>
    <row r="1179" spans="1:21">
      <c r="A1179">
        <v>1178</v>
      </c>
      <c r="B1179" s="3" t="s">
        <v>1390</v>
      </c>
      <c r="C1179" s="3" t="s">
        <v>1389</v>
      </c>
      <c r="D1179" s="3" t="s">
        <v>4190</v>
      </c>
      <c r="E1179" s="3" t="s">
        <v>4191</v>
      </c>
      <c r="F1179" s="3">
        <v>423</v>
      </c>
      <c r="G1179" s="4">
        <v>41244.529861111114</v>
      </c>
      <c r="H1179" s="3">
        <v>4</v>
      </c>
      <c r="I1179" s="5">
        <v>8</v>
      </c>
      <c r="J1179" t="s">
        <v>46</v>
      </c>
      <c r="K1179" t="s">
        <v>4498</v>
      </c>
      <c r="L1179">
        <v>536528</v>
      </c>
      <c r="M1179" s="2">
        <v>22635</v>
      </c>
      <c r="N1179">
        <v>9.9499999999999993</v>
      </c>
      <c r="O1179" s="6">
        <v>1</v>
      </c>
      <c r="P1179" s="3">
        <v>0.05</v>
      </c>
      <c r="Q1179" t="s">
        <v>4</v>
      </c>
      <c r="R1179" s="7">
        <f t="shared" si="54"/>
        <v>9.9499999999999993</v>
      </c>
      <c r="S1179" s="7">
        <f t="shared" si="55"/>
        <v>0.4975</v>
      </c>
      <c r="T1179">
        <f>Table1[[#This Row],[Total price]]-Table1[[#This Row],[Discount Amount]]</f>
        <v>9.4524999999999988</v>
      </c>
      <c r="U1179">
        <f t="shared" si="56"/>
        <v>9.4524999999999988</v>
      </c>
    </row>
    <row r="1180" spans="1:21">
      <c r="A1180">
        <v>1179</v>
      </c>
      <c r="B1180" s="3" t="s">
        <v>1388</v>
      </c>
      <c r="C1180" s="3" t="s">
        <v>1387</v>
      </c>
      <c r="D1180" s="3" t="s">
        <v>2866</v>
      </c>
      <c r="E1180" s="3" t="s">
        <v>4192</v>
      </c>
      <c r="F1180" s="3">
        <v>423</v>
      </c>
      <c r="G1180" s="4">
        <v>41244.529861111114</v>
      </c>
      <c r="H1180" s="3">
        <v>4</v>
      </c>
      <c r="I1180" s="5">
        <v>17</v>
      </c>
      <c r="J1180" t="s">
        <v>47</v>
      </c>
      <c r="K1180" t="s">
        <v>4498</v>
      </c>
      <c r="L1180">
        <v>536528</v>
      </c>
      <c r="M1180" s="2">
        <v>22634</v>
      </c>
      <c r="N1180">
        <v>9.9499999999999993</v>
      </c>
      <c r="O1180" s="6">
        <v>1</v>
      </c>
      <c r="P1180" s="3">
        <v>0.2</v>
      </c>
      <c r="Q1180" t="s">
        <v>4</v>
      </c>
      <c r="R1180" s="7">
        <f t="shared" si="54"/>
        <v>9.9499999999999993</v>
      </c>
      <c r="S1180" s="7">
        <f t="shared" si="55"/>
        <v>1.99</v>
      </c>
      <c r="T1180">
        <f>Table1[[#This Row],[Total price]]-Table1[[#This Row],[Discount Amount]]</f>
        <v>7.9599999999999991</v>
      </c>
      <c r="U1180">
        <f t="shared" si="56"/>
        <v>7.9599999999999991</v>
      </c>
    </row>
    <row r="1181" spans="1:21">
      <c r="A1181">
        <v>1180</v>
      </c>
      <c r="B1181" s="3" t="s">
        <v>1386</v>
      </c>
      <c r="C1181" s="3" t="s">
        <v>1385</v>
      </c>
      <c r="D1181" s="3" t="s">
        <v>2866</v>
      </c>
      <c r="E1181" s="3" t="s">
        <v>4193</v>
      </c>
      <c r="F1181" s="3">
        <v>423</v>
      </c>
      <c r="G1181" s="4">
        <v>41244.529861111114</v>
      </c>
      <c r="H1181" s="3">
        <v>4</v>
      </c>
      <c r="I1181" s="5">
        <v>23</v>
      </c>
      <c r="J1181" t="s">
        <v>432</v>
      </c>
      <c r="K1181" t="s">
        <v>4498</v>
      </c>
      <c r="L1181">
        <v>536528</v>
      </c>
      <c r="M1181" s="2">
        <v>22839</v>
      </c>
      <c r="N1181">
        <v>14.95</v>
      </c>
      <c r="O1181" s="6">
        <v>1</v>
      </c>
      <c r="P1181" s="3">
        <v>7.0000000000000007E-2</v>
      </c>
      <c r="Q1181" t="s">
        <v>4</v>
      </c>
      <c r="R1181" s="7">
        <f t="shared" si="54"/>
        <v>14.95</v>
      </c>
      <c r="S1181" s="7">
        <f t="shared" si="55"/>
        <v>1.0465</v>
      </c>
      <c r="T1181">
        <f>Table1[[#This Row],[Total price]]-Table1[[#This Row],[Discount Amount]]</f>
        <v>13.903499999999999</v>
      </c>
      <c r="U1181">
        <f t="shared" si="56"/>
        <v>13.903499999999999</v>
      </c>
    </row>
    <row r="1182" spans="1:21">
      <c r="A1182">
        <v>1181</v>
      </c>
      <c r="B1182" s="3" t="s">
        <v>1384</v>
      </c>
      <c r="C1182" s="3" t="s">
        <v>1383</v>
      </c>
      <c r="D1182" s="3" t="s">
        <v>2866</v>
      </c>
      <c r="E1182" s="3" t="s">
        <v>4194</v>
      </c>
      <c r="F1182" s="3">
        <v>423</v>
      </c>
      <c r="G1182" s="4">
        <v>41244.529861111114</v>
      </c>
      <c r="H1182" s="3">
        <v>4</v>
      </c>
      <c r="I1182" s="5">
        <v>2</v>
      </c>
      <c r="J1182" t="s">
        <v>373</v>
      </c>
      <c r="K1182" t="s">
        <v>4498</v>
      </c>
      <c r="L1182">
        <v>536528</v>
      </c>
      <c r="M1182" s="2">
        <v>22968</v>
      </c>
      <c r="N1182">
        <v>9.9499999999999993</v>
      </c>
      <c r="O1182" s="6">
        <v>3</v>
      </c>
      <c r="P1182" s="3">
        <v>0.2</v>
      </c>
      <c r="Q1182" t="s">
        <v>4</v>
      </c>
      <c r="R1182" s="7">
        <f t="shared" si="54"/>
        <v>29.849999999999998</v>
      </c>
      <c r="S1182" s="7">
        <f t="shared" si="55"/>
        <v>5.97</v>
      </c>
      <c r="T1182">
        <f>Table1[[#This Row],[Total price]]-Table1[[#This Row],[Discount Amount]]</f>
        <v>23.88</v>
      </c>
      <c r="U1182">
        <f t="shared" si="56"/>
        <v>71.64</v>
      </c>
    </row>
    <row r="1183" spans="1:21">
      <c r="A1183">
        <v>1182</v>
      </c>
      <c r="B1183" s="3" t="s">
        <v>1382</v>
      </c>
      <c r="C1183" s="3" t="s">
        <v>1381</v>
      </c>
      <c r="D1183" s="3" t="s">
        <v>2866</v>
      </c>
      <c r="E1183" s="3" t="s">
        <v>4195</v>
      </c>
      <c r="F1183" s="3">
        <v>424</v>
      </c>
      <c r="G1183" s="4">
        <v>41244.529861111114</v>
      </c>
      <c r="H1183" s="3">
        <v>4</v>
      </c>
      <c r="I1183" s="5">
        <v>22</v>
      </c>
      <c r="J1183" t="s">
        <v>567</v>
      </c>
      <c r="K1183" t="s">
        <v>4498</v>
      </c>
      <c r="L1183">
        <v>536529</v>
      </c>
      <c r="M1183" s="2">
        <v>22222</v>
      </c>
      <c r="N1183">
        <v>4.95</v>
      </c>
      <c r="O1183" s="6">
        <v>3</v>
      </c>
      <c r="P1183" s="3">
        <v>0.1</v>
      </c>
      <c r="Q1183" t="s">
        <v>4</v>
      </c>
      <c r="R1183" s="7">
        <f t="shared" si="54"/>
        <v>14.850000000000001</v>
      </c>
      <c r="S1183" s="7">
        <f t="shared" si="55"/>
        <v>1.4850000000000003</v>
      </c>
      <c r="T1183">
        <f>Table1[[#This Row],[Total price]]-Table1[[#This Row],[Discount Amount]]</f>
        <v>13.365000000000002</v>
      </c>
      <c r="U1183">
        <f t="shared" si="56"/>
        <v>40.095000000000006</v>
      </c>
    </row>
    <row r="1184" spans="1:21">
      <c r="A1184">
        <v>1183</v>
      </c>
      <c r="B1184" s="3" t="s">
        <v>1380</v>
      </c>
      <c r="C1184" s="3" t="s">
        <v>1379</v>
      </c>
      <c r="D1184" s="3" t="s">
        <v>2866</v>
      </c>
      <c r="E1184" s="3" t="s">
        <v>4196</v>
      </c>
      <c r="F1184" s="3">
        <v>424</v>
      </c>
      <c r="G1184" s="4">
        <v>41244.529861111114</v>
      </c>
      <c r="H1184" s="3">
        <v>4</v>
      </c>
      <c r="I1184" s="5">
        <v>6</v>
      </c>
      <c r="J1184" t="s">
        <v>189</v>
      </c>
      <c r="K1184" t="s">
        <v>4498</v>
      </c>
      <c r="L1184">
        <v>536529</v>
      </c>
      <c r="M1184" s="2">
        <v>22947</v>
      </c>
      <c r="N1184">
        <v>16.95</v>
      </c>
      <c r="O1184" s="6">
        <v>2</v>
      </c>
      <c r="P1184" s="3">
        <v>0.05</v>
      </c>
      <c r="Q1184" t="s">
        <v>4</v>
      </c>
      <c r="R1184" s="7">
        <f t="shared" si="54"/>
        <v>33.9</v>
      </c>
      <c r="S1184" s="7">
        <f t="shared" si="55"/>
        <v>1.6950000000000001</v>
      </c>
      <c r="T1184">
        <f>Table1[[#This Row],[Total price]]-Table1[[#This Row],[Discount Amount]]</f>
        <v>32.204999999999998</v>
      </c>
      <c r="U1184">
        <f t="shared" si="56"/>
        <v>64.41</v>
      </c>
    </row>
    <row r="1185" spans="1:21">
      <c r="A1185">
        <v>1184</v>
      </c>
      <c r="B1185" s="3" t="s">
        <v>1378</v>
      </c>
      <c r="C1185" s="3" t="s">
        <v>1287</v>
      </c>
      <c r="D1185" s="3" t="s">
        <v>2866</v>
      </c>
      <c r="E1185" s="3" t="s">
        <v>4197</v>
      </c>
      <c r="F1185" s="3">
        <v>425</v>
      </c>
      <c r="G1185" s="4">
        <v>41244.529861111114</v>
      </c>
      <c r="H1185" s="3">
        <v>4</v>
      </c>
      <c r="I1185" s="5">
        <v>6</v>
      </c>
      <c r="J1185" t="s">
        <v>569</v>
      </c>
      <c r="K1185" t="s">
        <v>4498</v>
      </c>
      <c r="L1185">
        <v>536529</v>
      </c>
      <c r="M1185" s="2">
        <v>21743</v>
      </c>
      <c r="N1185">
        <v>2.95</v>
      </c>
      <c r="O1185" s="6">
        <v>6</v>
      </c>
      <c r="P1185" s="3">
        <v>0.1</v>
      </c>
      <c r="Q1185" t="s">
        <v>4</v>
      </c>
      <c r="R1185" s="7">
        <f t="shared" si="54"/>
        <v>17.700000000000003</v>
      </c>
      <c r="S1185" s="7">
        <f t="shared" si="55"/>
        <v>1.7700000000000005</v>
      </c>
      <c r="T1185">
        <f>Table1[[#This Row],[Total price]]-Table1[[#This Row],[Discount Amount]]</f>
        <v>15.930000000000003</v>
      </c>
      <c r="U1185">
        <f t="shared" si="56"/>
        <v>95.580000000000013</v>
      </c>
    </row>
    <row r="1186" spans="1:21">
      <c r="A1186">
        <v>1185</v>
      </c>
      <c r="B1186" s="3" t="s">
        <v>1377</v>
      </c>
      <c r="C1186" s="3" t="s">
        <v>1376</v>
      </c>
      <c r="D1186" s="3" t="s">
        <v>2866</v>
      </c>
      <c r="E1186" s="3" t="s">
        <v>4198</v>
      </c>
      <c r="F1186" s="3">
        <v>425</v>
      </c>
      <c r="G1186" s="4">
        <v>41244.529861111114</v>
      </c>
      <c r="H1186" s="3">
        <v>4</v>
      </c>
      <c r="I1186" s="5">
        <v>21</v>
      </c>
      <c r="J1186" t="s">
        <v>530</v>
      </c>
      <c r="K1186" t="s">
        <v>4498</v>
      </c>
      <c r="L1186">
        <v>536529</v>
      </c>
      <c r="M1186" s="2">
        <v>22187</v>
      </c>
      <c r="N1186">
        <v>4.25</v>
      </c>
      <c r="O1186" s="6">
        <v>4</v>
      </c>
      <c r="P1186" s="3">
        <v>7.0000000000000007E-2</v>
      </c>
      <c r="Q1186" t="s">
        <v>4</v>
      </c>
      <c r="R1186" s="7">
        <f t="shared" si="54"/>
        <v>17</v>
      </c>
      <c r="S1186" s="7">
        <f t="shared" si="55"/>
        <v>1.1900000000000002</v>
      </c>
      <c r="T1186">
        <f>Table1[[#This Row],[Total price]]-Table1[[#This Row],[Discount Amount]]</f>
        <v>15.81</v>
      </c>
      <c r="U1186">
        <f t="shared" si="56"/>
        <v>63.24</v>
      </c>
    </row>
    <row r="1187" spans="1:21">
      <c r="A1187">
        <v>1186</v>
      </c>
      <c r="B1187" s="3" t="s">
        <v>1375</v>
      </c>
      <c r="C1187" s="3" t="s">
        <v>1374</v>
      </c>
      <c r="D1187" s="3" t="s">
        <v>2866</v>
      </c>
      <c r="E1187" s="3" t="s">
        <v>4199</v>
      </c>
      <c r="F1187" s="3">
        <v>425</v>
      </c>
      <c r="G1187" s="4">
        <v>41244.529861111114</v>
      </c>
      <c r="H1187" s="3">
        <v>4</v>
      </c>
      <c r="I1187" s="5">
        <v>19</v>
      </c>
      <c r="J1187" t="s">
        <v>764</v>
      </c>
      <c r="K1187" t="s">
        <v>4498</v>
      </c>
      <c r="L1187">
        <v>536529</v>
      </c>
      <c r="M1187" s="2">
        <v>22164</v>
      </c>
      <c r="N1187">
        <v>2.95</v>
      </c>
      <c r="O1187" s="6">
        <v>6</v>
      </c>
      <c r="P1187" s="3">
        <v>0.05</v>
      </c>
      <c r="Q1187" t="s">
        <v>4</v>
      </c>
      <c r="R1187" s="7">
        <f t="shared" si="54"/>
        <v>17.700000000000003</v>
      </c>
      <c r="S1187" s="7">
        <f t="shared" si="55"/>
        <v>0.88500000000000023</v>
      </c>
      <c r="T1187">
        <f>Table1[[#This Row],[Total price]]-Table1[[#This Row],[Discount Amount]]</f>
        <v>16.815000000000001</v>
      </c>
      <c r="U1187">
        <f t="shared" si="56"/>
        <v>100.89000000000001</v>
      </c>
    </row>
    <row r="1188" spans="1:21">
      <c r="A1188">
        <v>1187</v>
      </c>
      <c r="B1188" s="3" t="s">
        <v>1373</v>
      </c>
      <c r="C1188" s="3" t="s">
        <v>1372</v>
      </c>
      <c r="D1188" s="3" t="s">
        <v>2866</v>
      </c>
      <c r="E1188" s="3" t="s">
        <v>4200</v>
      </c>
      <c r="F1188" s="3">
        <v>426</v>
      </c>
      <c r="G1188" s="4">
        <v>41244.529861111114</v>
      </c>
      <c r="H1188" s="3">
        <v>4</v>
      </c>
      <c r="I1188" s="5">
        <v>10</v>
      </c>
      <c r="J1188" t="s">
        <v>452</v>
      </c>
      <c r="K1188" t="s">
        <v>4498</v>
      </c>
      <c r="L1188">
        <v>536529</v>
      </c>
      <c r="M1188" s="2">
        <v>72598</v>
      </c>
      <c r="N1188">
        <v>0.85</v>
      </c>
      <c r="O1188" s="6">
        <v>12</v>
      </c>
      <c r="P1188" s="3">
        <v>0.1</v>
      </c>
      <c r="Q1188" t="s">
        <v>4</v>
      </c>
      <c r="R1188" s="7">
        <f t="shared" si="54"/>
        <v>10.199999999999999</v>
      </c>
      <c r="S1188" s="7">
        <f t="shared" si="55"/>
        <v>1.02</v>
      </c>
      <c r="T1188">
        <f>Table1[[#This Row],[Total price]]-Table1[[#This Row],[Discount Amount]]</f>
        <v>9.18</v>
      </c>
      <c r="U1188">
        <f t="shared" si="56"/>
        <v>110.16</v>
      </c>
    </row>
    <row r="1189" spans="1:21">
      <c r="A1189">
        <v>1188</v>
      </c>
      <c r="B1189" s="3" t="s">
        <v>1371</v>
      </c>
      <c r="C1189" s="3" t="s">
        <v>1163</v>
      </c>
      <c r="D1189" s="3" t="s">
        <v>4201</v>
      </c>
      <c r="E1189" s="3" t="s">
        <v>4202</v>
      </c>
      <c r="F1189" s="3">
        <v>426</v>
      </c>
      <c r="G1189" s="4">
        <v>41244.529861111114</v>
      </c>
      <c r="H1189" s="3">
        <v>4</v>
      </c>
      <c r="I1189" s="5">
        <v>23</v>
      </c>
      <c r="J1189" t="s">
        <v>207</v>
      </c>
      <c r="K1189" t="s">
        <v>4498</v>
      </c>
      <c r="L1189">
        <v>536529</v>
      </c>
      <c r="M1189" s="2">
        <v>21258</v>
      </c>
      <c r="N1189">
        <v>12.75</v>
      </c>
      <c r="O1189" s="6">
        <v>1</v>
      </c>
      <c r="P1189" s="3">
        <v>0.05</v>
      </c>
      <c r="Q1189" t="s">
        <v>4</v>
      </c>
      <c r="R1189" s="7">
        <f t="shared" si="54"/>
        <v>12.75</v>
      </c>
      <c r="S1189" s="7">
        <f t="shared" si="55"/>
        <v>0.63750000000000007</v>
      </c>
      <c r="T1189">
        <f>Table1[[#This Row],[Total price]]-Table1[[#This Row],[Discount Amount]]</f>
        <v>12.112500000000001</v>
      </c>
      <c r="U1189">
        <f t="shared" si="56"/>
        <v>12.112500000000001</v>
      </c>
    </row>
    <row r="1190" spans="1:21">
      <c r="A1190">
        <v>1189</v>
      </c>
      <c r="B1190" s="3" t="s">
        <v>1370</v>
      </c>
      <c r="C1190" s="3" t="s">
        <v>1056</v>
      </c>
      <c r="D1190" s="3" t="s">
        <v>2866</v>
      </c>
      <c r="E1190" s="3" t="s">
        <v>4203</v>
      </c>
      <c r="F1190" s="3">
        <v>427</v>
      </c>
      <c r="G1190" s="4">
        <v>41244.529861111114</v>
      </c>
      <c r="H1190" s="3">
        <v>4</v>
      </c>
      <c r="I1190" s="5">
        <v>12</v>
      </c>
      <c r="J1190" t="s">
        <v>526</v>
      </c>
      <c r="K1190" t="s">
        <v>4498</v>
      </c>
      <c r="L1190">
        <v>536529</v>
      </c>
      <c r="M1190" s="2">
        <v>22627</v>
      </c>
      <c r="N1190">
        <v>8.5</v>
      </c>
      <c r="O1190" s="6">
        <v>2</v>
      </c>
      <c r="P1190" s="3">
        <v>7.0000000000000007E-2</v>
      </c>
      <c r="Q1190" t="s">
        <v>4</v>
      </c>
      <c r="R1190" s="7">
        <f t="shared" si="54"/>
        <v>17</v>
      </c>
      <c r="S1190" s="7">
        <f t="shared" si="55"/>
        <v>1.1900000000000002</v>
      </c>
      <c r="T1190">
        <f>Table1[[#This Row],[Total price]]-Table1[[#This Row],[Discount Amount]]</f>
        <v>15.81</v>
      </c>
      <c r="U1190">
        <f t="shared" si="56"/>
        <v>31.62</v>
      </c>
    </row>
    <row r="1191" spans="1:21">
      <c r="A1191">
        <v>1190</v>
      </c>
      <c r="B1191" s="3" t="s">
        <v>1369</v>
      </c>
      <c r="C1191" s="3" t="s">
        <v>1368</v>
      </c>
      <c r="D1191" s="3" t="s">
        <v>2866</v>
      </c>
      <c r="E1191" s="3" t="s">
        <v>4204</v>
      </c>
      <c r="F1191" s="3">
        <v>427</v>
      </c>
      <c r="G1191" s="4">
        <v>41244.529861111114</v>
      </c>
      <c r="H1191" s="3">
        <v>4</v>
      </c>
      <c r="I1191" s="5">
        <v>15</v>
      </c>
      <c r="J1191" t="s">
        <v>215</v>
      </c>
      <c r="K1191" t="s">
        <v>4498</v>
      </c>
      <c r="L1191">
        <v>536529</v>
      </c>
      <c r="M1191" s="2">
        <v>22487</v>
      </c>
      <c r="N1191">
        <v>9.9499999999999993</v>
      </c>
      <c r="O1191" s="6">
        <v>2</v>
      </c>
      <c r="P1191" s="3">
        <v>0.1</v>
      </c>
      <c r="Q1191" t="s">
        <v>4</v>
      </c>
      <c r="R1191" s="7">
        <f t="shared" si="54"/>
        <v>19.899999999999999</v>
      </c>
      <c r="S1191" s="7">
        <f t="shared" si="55"/>
        <v>1.99</v>
      </c>
      <c r="T1191">
        <f>Table1[[#This Row],[Total price]]-Table1[[#This Row],[Discount Amount]]</f>
        <v>17.91</v>
      </c>
      <c r="U1191">
        <f t="shared" si="56"/>
        <v>35.82</v>
      </c>
    </row>
    <row r="1192" spans="1:21">
      <c r="A1192">
        <v>1191</v>
      </c>
      <c r="B1192" s="3" t="s">
        <v>1367</v>
      </c>
      <c r="C1192" s="3" t="s">
        <v>1366</v>
      </c>
      <c r="D1192" s="3" t="s">
        <v>4205</v>
      </c>
      <c r="E1192" s="3" t="s">
        <v>4206</v>
      </c>
      <c r="F1192" s="3">
        <v>427</v>
      </c>
      <c r="G1192" s="4">
        <v>41244.529861111114</v>
      </c>
      <c r="H1192" s="3">
        <v>4</v>
      </c>
      <c r="I1192" s="5">
        <v>26</v>
      </c>
      <c r="J1192" t="s">
        <v>707</v>
      </c>
      <c r="K1192" t="s">
        <v>4498</v>
      </c>
      <c r="L1192">
        <v>536530</v>
      </c>
      <c r="M1192" s="2">
        <v>22360</v>
      </c>
      <c r="N1192">
        <v>2.95</v>
      </c>
      <c r="O1192" s="6">
        <v>2</v>
      </c>
      <c r="P1192" s="3">
        <v>7.0000000000000007E-2</v>
      </c>
      <c r="Q1192" t="s">
        <v>4</v>
      </c>
      <c r="R1192" s="7">
        <f t="shared" si="54"/>
        <v>5.9</v>
      </c>
      <c r="S1192" s="7">
        <f t="shared" si="55"/>
        <v>0.41300000000000009</v>
      </c>
      <c r="T1192">
        <f>Table1[[#This Row],[Total price]]-Table1[[#This Row],[Discount Amount]]</f>
        <v>5.4870000000000001</v>
      </c>
      <c r="U1192">
        <f t="shared" si="56"/>
        <v>10.974</v>
      </c>
    </row>
    <row r="1193" spans="1:21">
      <c r="A1193">
        <v>1192</v>
      </c>
      <c r="B1193" s="3" t="s">
        <v>1365</v>
      </c>
      <c r="C1193" s="3" t="s">
        <v>1364</v>
      </c>
      <c r="D1193" s="3" t="s">
        <v>2866</v>
      </c>
      <c r="E1193" s="3" t="s">
        <v>4207</v>
      </c>
      <c r="F1193" s="3">
        <v>428</v>
      </c>
      <c r="G1193" s="4">
        <v>41244.529861111114</v>
      </c>
      <c r="H1193" s="3">
        <v>4</v>
      </c>
      <c r="I1193" s="5">
        <v>5</v>
      </c>
      <c r="J1193" t="s">
        <v>308</v>
      </c>
      <c r="K1193" t="s">
        <v>4498</v>
      </c>
      <c r="L1193">
        <v>536530</v>
      </c>
      <c r="M1193" s="2">
        <v>22364</v>
      </c>
      <c r="N1193">
        <v>2.95</v>
      </c>
      <c r="O1193" s="6">
        <v>1</v>
      </c>
      <c r="P1193" s="3">
        <v>0.2</v>
      </c>
      <c r="Q1193" t="s">
        <v>4</v>
      </c>
      <c r="R1193" s="7">
        <f t="shared" si="54"/>
        <v>2.95</v>
      </c>
      <c r="S1193" s="7">
        <f t="shared" si="55"/>
        <v>0.59000000000000008</v>
      </c>
      <c r="T1193">
        <f>Table1[[#This Row],[Total price]]-Table1[[#This Row],[Discount Amount]]</f>
        <v>2.3600000000000003</v>
      </c>
      <c r="U1193">
        <f t="shared" si="56"/>
        <v>2.3600000000000003</v>
      </c>
    </row>
    <row r="1194" spans="1:21">
      <c r="A1194">
        <v>1193</v>
      </c>
      <c r="B1194" s="3" t="s">
        <v>1363</v>
      </c>
      <c r="C1194" s="3" t="s">
        <v>1362</v>
      </c>
      <c r="D1194" s="3" t="s">
        <v>2866</v>
      </c>
      <c r="E1194" s="3" t="s">
        <v>4208</v>
      </c>
      <c r="F1194" s="3">
        <v>428</v>
      </c>
      <c r="G1194" s="4">
        <v>41244.529861111114</v>
      </c>
      <c r="H1194" s="3">
        <v>4</v>
      </c>
      <c r="I1194" s="5">
        <v>14</v>
      </c>
      <c r="J1194" t="s">
        <v>799</v>
      </c>
      <c r="K1194" t="s">
        <v>4498</v>
      </c>
      <c r="L1194">
        <v>536530</v>
      </c>
      <c r="M1194" s="2">
        <v>21657</v>
      </c>
      <c r="N1194">
        <v>6.95</v>
      </c>
      <c r="O1194" s="6">
        <v>1</v>
      </c>
      <c r="P1194" s="3">
        <v>0.2</v>
      </c>
      <c r="Q1194" t="s">
        <v>4</v>
      </c>
      <c r="R1194" s="7">
        <f t="shared" si="54"/>
        <v>6.95</v>
      </c>
      <c r="S1194" s="7">
        <f t="shared" si="55"/>
        <v>1.3900000000000001</v>
      </c>
      <c r="T1194">
        <f>Table1[[#This Row],[Total price]]-Table1[[#This Row],[Discount Amount]]</f>
        <v>5.5600000000000005</v>
      </c>
      <c r="U1194">
        <f t="shared" si="56"/>
        <v>5.5600000000000005</v>
      </c>
    </row>
    <row r="1195" spans="1:21">
      <c r="A1195">
        <v>1194</v>
      </c>
      <c r="B1195" s="3" t="s">
        <v>1361</v>
      </c>
      <c r="C1195" s="3" t="s">
        <v>1353</v>
      </c>
      <c r="D1195" s="3" t="s">
        <v>2866</v>
      </c>
      <c r="E1195" s="3" t="s">
        <v>4209</v>
      </c>
      <c r="F1195" s="3">
        <v>429</v>
      </c>
      <c r="G1195" s="4">
        <v>41244.529861111114</v>
      </c>
      <c r="H1195" s="3">
        <v>4</v>
      </c>
      <c r="I1195" s="5">
        <v>11</v>
      </c>
      <c r="J1195" t="s">
        <v>561</v>
      </c>
      <c r="K1195" t="s">
        <v>4498</v>
      </c>
      <c r="L1195">
        <v>536530</v>
      </c>
      <c r="M1195" s="2">
        <v>22699</v>
      </c>
      <c r="N1195">
        <v>2.95</v>
      </c>
      <c r="O1195" s="6">
        <v>4</v>
      </c>
      <c r="P1195" s="3">
        <v>0.2</v>
      </c>
      <c r="Q1195" t="s">
        <v>4</v>
      </c>
      <c r="R1195" s="7">
        <f t="shared" si="54"/>
        <v>11.8</v>
      </c>
      <c r="S1195" s="7">
        <f t="shared" si="55"/>
        <v>2.3600000000000003</v>
      </c>
      <c r="T1195">
        <f>Table1[[#This Row],[Total price]]-Table1[[#This Row],[Discount Amount]]</f>
        <v>9.4400000000000013</v>
      </c>
      <c r="U1195">
        <f t="shared" si="56"/>
        <v>37.760000000000005</v>
      </c>
    </row>
    <row r="1196" spans="1:21">
      <c r="A1196">
        <v>1195</v>
      </c>
      <c r="B1196" s="3" t="s">
        <v>1360</v>
      </c>
      <c r="C1196" s="3" t="s">
        <v>1359</v>
      </c>
      <c r="D1196" s="3" t="s">
        <v>4210</v>
      </c>
      <c r="E1196" s="3" t="s">
        <v>4211</v>
      </c>
      <c r="F1196" s="3">
        <v>429</v>
      </c>
      <c r="G1196" s="4">
        <v>41244.529861111114</v>
      </c>
      <c r="H1196" s="3">
        <v>4</v>
      </c>
      <c r="I1196" s="5">
        <v>4</v>
      </c>
      <c r="J1196" t="s">
        <v>646</v>
      </c>
      <c r="K1196" t="s">
        <v>4498</v>
      </c>
      <c r="L1196">
        <v>536530</v>
      </c>
      <c r="M1196" s="2">
        <v>21071</v>
      </c>
      <c r="N1196">
        <v>1.25</v>
      </c>
      <c r="O1196" s="6">
        <v>24</v>
      </c>
      <c r="P1196" s="3">
        <v>0.1</v>
      </c>
      <c r="Q1196" t="s">
        <v>4</v>
      </c>
      <c r="R1196" s="7">
        <f t="shared" si="54"/>
        <v>30</v>
      </c>
      <c r="S1196" s="7">
        <f t="shared" si="55"/>
        <v>3</v>
      </c>
      <c r="T1196">
        <f>Table1[[#This Row],[Total price]]-Table1[[#This Row],[Discount Amount]]</f>
        <v>27</v>
      </c>
      <c r="U1196">
        <f t="shared" si="56"/>
        <v>648</v>
      </c>
    </row>
    <row r="1197" spans="1:21">
      <c r="A1197">
        <v>1196</v>
      </c>
      <c r="B1197" s="3" t="s">
        <v>1358</v>
      </c>
      <c r="C1197" s="3" t="s">
        <v>1357</v>
      </c>
      <c r="D1197" s="3" t="s">
        <v>2866</v>
      </c>
      <c r="E1197" s="3" t="s">
        <v>4212</v>
      </c>
      <c r="F1197" s="3">
        <v>429</v>
      </c>
      <c r="G1197" s="4">
        <v>41244.529861111114</v>
      </c>
      <c r="H1197" s="3">
        <v>4</v>
      </c>
      <c r="I1197" s="5">
        <v>5</v>
      </c>
      <c r="J1197" t="s">
        <v>93</v>
      </c>
      <c r="K1197" t="s">
        <v>4498</v>
      </c>
      <c r="L1197">
        <v>536530</v>
      </c>
      <c r="M1197" s="2">
        <v>22941</v>
      </c>
      <c r="N1197">
        <v>8.5</v>
      </c>
      <c r="O1197" s="6">
        <v>1</v>
      </c>
      <c r="P1197" s="3">
        <v>0.05</v>
      </c>
      <c r="Q1197" t="s">
        <v>4</v>
      </c>
      <c r="R1197" s="7">
        <f t="shared" si="54"/>
        <v>8.5</v>
      </c>
      <c r="S1197" s="7">
        <f t="shared" si="55"/>
        <v>0.42500000000000004</v>
      </c>
      <c r="T1197">
        <f>Table1[[#This Row],[Total price]]-Table1[[#This Row],[Discount Amount]]</f>
        <v>8.0749999999999993</v>
      </c>
      <c r="U1197">
        <f t="shared" si="56"/>
        <v>8.0749999999999993</v>
      </c>
    </row>
    <row r="1198" spans="1:21">
      <c r="A1198">
        <v>1197</v>
      </c>
      <c r="B1198" s="3" t="s">
        <v>1356</v>
      </c>
      <c r="C1198" s="3" t="s">
        <v>1355</v>
      </c>
      <c r="D1198" s="3" t="s">
        <v>2866</v>
      </c>
      <c r="E1198" s="3" t="s">
        <v>4213</v>
      </c>
      <c r="F1198" s="3">
        <v>429</v>
      </c>
      <c r="G1198" s="4">
        <v>41244.529861111114</v>
      </c>
      <c r="H1198" s="3">
        <v>4</v>
      </c>
      <c r="I1198" s="5">
        <v>6</v>
      </c>
      <c r="J1198" t="s">
        <v>371</v>
      </c>
      <c r="K1198" t="s">
        <v>4498</v>
      </c>
      <c r="L1198">
        <v>536530</v>
      </c>
      <c r="M1198" s="2">
        <v>22120</v>
      </c>
      <c r="N1198">
        <v>9.9499999999999993</v>
      </c>
      <c r="O1198" s="6">
        <v>1</v>
      </c>
      <c r="P1198" s="3">
        <v>7.0000000000000007E-2</v>
      </c>
      <c r="Q1198" t="s">
        <v>4</v>
      </c>
      <c r="R1198" s="7">
        <f t="shared" si="54"/>
        <v>9.9499999999999993</v>
      </c>
      <c r="S1198" s="7">
        <f t="shared" si="55"/>
        <v>0.69650000000000001</v>
      </c>
      <c r="T1198">
        <f>Table1[[#This Row],[Total price]]-Table1[[#This Row],[Discount Amount]]</f>
        <v>9.2534999999999989</v>
      </c>
      <c r="U1198">
        <f t="shared" si="56"/>
        <v>9.2534999999999989</v>
      </c>
    </row>
    <row r="1199" spans="1:21">
      <c r="A1199">
        <v>1198</v>
      </c>
      <c r="B1199" s="3" t="s">
        <v>1354</v>
      </c>
      <c r="C1199" s="3" t="s">
        <v>1353</v>
      </c>
      <c r="D1199" s="3" t="s">
        <v>2866</v>
      </c>
      <c r="E1199" s="3" t="s">
        <v>4214</v>
      </c>
      <c r="F1199" s="3">
        <v>429</v>
      </c>
      <c r="G1199" s="4">
        <v>41244.529861111114</v>
      </c>
      <c r="H1199" s="3">
        <v>4</v>
      </c>
      <c r="I1199" s="5">
        <v>2</v>
      </c>
      <c r="J1199" t="s">
        <v>81</v>
      </c>
      <c r="K1199" t="s">
        <v>4498</v>
      </c>
      <c r="L1199">
        <v>536530</v>
      </c>
      <c r="M1199" s="2">
        <v>22423</v>
      </c>
      <c r="N1199">
        <v>12.75</v>
      </c>
      <c r="O1199" s="6">
        <v>1</v>
      </c>
      <c r="P1199" s="3">
        <v>0.1</v>
      </c>
      <c r="Q1199" t="s">
        <v>4</v>
      </c>
      <c r="R1199" s="7">
        <f t="shared" si="54"/>
        <v>12.75</v>
      </c>
      <c r="S1199" s="7">
        <f t="shared" si="55"/>
        <v>1.2750000000000001</v>
      </c>
      <c r="T1199">
        <f>Table1[[#This Row],[Total price]]-Table1[[#This Row],[Discount Amount]]</f>
        <v>11.475</v>
      </c>
      <c r="U1199">
        <f t="shared" si="56"/>
        <v>11.475</v>
      </c>
    </row>
    <row r="1200" spans="1:21">
      <c r="A1200">
        <v>1199</v>
      </c>
      <c r="B1200" s="3" t="s">
        <v>1117</v>
      </c>
      <c r="C1200" s="3" t="s">
        <v>1352</v>
      </c>
      <c r="D1200" s="3" t="s">
        <v>2866</v>
      </c>
      <c r="E1200" s="3" t="s">
        <v>4215</v>
      </c>
      <c r="F1200" s="3">
        <v>430</v>
      </c>
      <c r="G1200" s="4">
        <v>41244.529861111114</v>
      </c>
      <c r="H1200" s="3">
        <v>4</v>
      </c>
      <c r="I1200" s="5">
        <v>22</v>
      </c>
      <c r="J1200" t="s">
        <v>759</v>
      </c>
      <c r="K1200" t="s">
        <v>4498</v>
      </c>
      <c r="L1200">
        <v>536530</v>
      </c>
      <c r="M1200" s="2">
        <v>21038</v>
      </c>
      <c r="N1200">
        <v>2.95</v>
      </c>
      <c r="O1200" s="6">
        <v>1</v>
      </c>
      <c r="P1200" s="3">
        <v>0.1</v>
      </c>
      <c r="Q1200" t="s">
        <v>4</v>
      </c>
      <c r="R1200" s="7">
        <f t="shared" si="54"/>
        <v>2.95</v>
      </c>
      <c r="S1200" s="7">
        <f t="shared" si="55"/>
        <v>0.29500000000000004</v>
      </c>
      <c r="T1200">
        <f>Table1[[#This Row],[Total price]]-Table1[[#This Row],[Discount Amount]]</f>
        <v>2.6550000000000002</v>
      </c>
      <c r="U1200">
        <f t="shared" si="56"/>
        <v>2.6550000000000002</v>
      </c>
    </row>
    <row r="1201" spans="1:21">
      <c r="A1201">
        <v>1200</v>
      </c>
      <c r="B1201" s="3" t="s">
        <v>1351</v>
      </c>
      <c r="C1201" s="3" t="s">
        <v>1350</v>
      </c>
      <c r="D1201" s="3" t="s">
        <v>2866</v>
      </c>
      <c r="E1201" s="3" t="s">
        <v>4216</v>
      </c>
      <c r="F1201" s="3">
        <v>430</v>
      </c>
      <c r="G1201" s="4">
        <v>41244.529861111114</v>
      </c>
      <c r="H1201" s="3">
        <v>4</v>
      </c>
      <c r="I1201" s="5">
        <v>11</v>
      </c>
      <c r="J1201" t="s">
        <v>278</v>
      </c>
      <c r="K1201" t="s">
        <v>4498</v>
      </c>
      <c r="L1201">
        <v>536530</v>
      </c>
      <c r="M1201" s="2">
        <v>21625</v>
      </c>
      <c r="N1201">
        <v>6.95</v>
      </c>
      <c r="O1201" s="6">
        <v>1</v>
      </c>
      <c r="P1201" s="3">
        <v>7.0000000000000007E-2</v>
      </c>
      <c r="Q1201" t="s">
        <v>4</v>
      </c>
      <c r="R1201" s="7">
        <f t="shared" si="54"/>
        <v>6.95</v>
      </c>
      <c r="S1201" s="7">
        <f t="shared" si="55"/>
        <v>0.48650000000000004</v>
      </c>
      <c r="T1201">
        <f>Table1[[#This Row],[Total price]]-Table1[[#This Row],[Discount Amount]]</f>
        <v>6.4634999999999998</v>
      </c>
      <c r="U1201">
        <f t="shared" si="56"/>
        <v>6.4634999999999998</v>
      </c>
    </row>
    <row r="1202" spans="1:21">
      <c r="A1202">
        <v>1201</v>
      </c>
      <c r="B1202" s="3" t="s">
        <v>1349</v>
      </c>
      <c r="C1202" s="3" t="s">
        <v>1348</v>
      </c>
      <c r="D1202" s="3" t="s">
        <v>2866</v>
      </c>
      <c r="E1202" s="3" t="s">
        <v>4217</v>
      </c>
      <c r="F1202" s="3">
        <v>430</v>
      </c>
      <c r="G1202" s="4">
        <v>41244.529861111114</v>
      </c>
      <c r="H1202" s="3">
        <v>4</v>
      </c>
      <c r="I1202" s="5">
        <v>4</v>
      </c>
      <c r="J1202" t="s">
        <v>475</v>
      </c>
      <c r="K1202" t="s">
        <v>4498</v>
      </c>
      <c r="L1202">
        <v>536530</v>
      </c>
      <c r="M1202" s="2">
        <v>22783</v>
      </c>
      <c r="N1202">
        <v>19.95</v>
      </c>
      <c r="O1202" s="6">
        <v>1</v>
      </c>
      <c r="P1202" s="3">
        <v>0.2</v>
      </c>
      <c r="Q1202" t="s">
        <v>4</v>
      </c>
      <c r="R1202" s="7">
        <f t="shared" si="54"/>
        <v>19.95</v>
      </c>
      <c r="S1202" s="7">
        <f t="shared" si="55"/>
        <v>3.99</v>
      </c>
      <c r="T1202">
        <f>Table1[[#This Row],[Total price]]-Table1[[#This Row],[Discount Amount]]</f>
        <v>15.959999999999999</v>
      </c>
      <c r="U1202">
        <f t="shared" si="56"/>
        <v>15.959999999999999</v>
      </c>
    </row>
    <row r="1203" spans="1:21">
      <c r="A1203">
        <v>1202</v>
      </c>
      <c r="B1203" s="3" t="s">
        <v>1347</v>
      </c>
      <c r="C1203" s="3" t="s">
        <v>1346</v>
      </c>
      <c r="D1203" s="3" t="s">
        <v>2866</v>
      </c>
      <c r="E1203" s="3" t="s">
        <v>4218</v>
      </c>
      <c r="F1203" s="3">
        <v>430</v>
      </c>
      <c r="G1203" s="4">
        <v>41244.529861111114</v>
      </c>
      <c r="H1203" s="3">
        <v>4</v>
      </c>
      <c r="I1203" s="5">
        <v>13</v>
      </c>
      <c r="J1203" t="s">
        <v>713</v>
      </c>
      <c r="K1203" t="s">
        <v>4498</v>
      </c>
      <c r="L1203">
        <v>536530</v>
      </c>
      <c r="M1203" s="2">
        <v>22097</v>
      </c>
      <c r="N1203">
        <v>1.25</v>
      </c>
      <c r="O1203" s="6">
        <v>1</v>
      </c>
      <c r="P1203" s="3">
        <v>0.2</v>
      </c>
      <c r="Q1203" t="s">
        <v>4</v>
      </c>
      <c r="R1203" s="7">
        <f t="shared" si="54"/>
        <v>1.25</v>
      </c>
      <c r="S1203" s="7">
        <f t="shared" si="55"/>
        <v>0.25</v>
      </c>
      <c r="T1203">
        <f>Table1[[#This Row],[Total price]]-Table1[[#This Row],[Discount Amount]]</f>
        <v>1</v>
      </c>
      <c r="U1203">
        <f t="shared" si="56"/>
        <v>1</v>
      </c>
    </row>
    <row r="1204" spans="1:21">
      <c r="A1204">
        <v>1203</v>
      </c>
      <c r="B1204" s="3" t="s">
        <v>1345</v>
      </c>
      <c r="C1204" s="3" t="s">
        <v>1038</v>
      </c>
      <c r="D1204" s="3" t="s">
        <v>2866</v>
      </c>
      <c r="E1204" s="3" t="s">
        <v>4219</v>
      </c>
      <c r="F1204" s="3">
        <v>430</v>
      </c>
      <c r="G1204" s="4">
        <v>41244.529861111114</v>
      </c>
      <c r="H1204" s="3">
        <v>4</v>
      </c>
      <c r="I1204" s="5">
        <v>8</v>
      </c>
      <c r="J1204" t="s">
        <v>787</v>
      </c>
      <c r="K1204" t="s">
        <v>4498</v>
      </c>
      <c r="L1204">
        <v>536530</v>
      </c>
      <c r="M1204" s="2">
        <v>82552</v>
      </c>
      <c r="N1204">
        <v>1.45</v>
      </c>
      <c r="O1204" s="6">
        <v>1</v>
      </c>
      <c r="P1204" s="3">
        <v>0.2</v>
      </c>
      <c r="Q1204" t="s">
        <v>7</v>
      </c>
      <c r="R1204" s="7">
        <f t="shared" si="54"/>
        <v>1.45</v>
      </c>
      <c r="S1204" s="7">
        <f t="shared" si="55"/>
        <v>0.28999999999999998</v>
      </c>
      <c r="T1204">
        <f>Table1[[#This Row],[Total price]]-Table1[[#This Row],[Discount Amount]]</f>
        <v>1.1599999999999999</v>
      </c>
      <c r="U1204">
        <f t="shared" si="56"/>
        <v>1.1599999999999999</v>
      </c>
    </row>
    <row r="1205" spans="1:21">
      <c r="A1205">
        <v>1204</v>
      </c>
      <c r="B1205" s="3" t="s">
        <v>1344</v>
      </c>
      <c r="C1205" s="3" t="s">
        <v>1343</v>
      </c>
      <c r="D1205" s="3" t="s">
        <v>2866</v>
      </c>
      <c r="E1205" s="3" t="s">
        <v>4220</v>
      </c>
      <c r="F1205" s="3">
        <v>431</v>
      </c>
      <c r="G1205" s="4">
        <v>41244.529861111114</v>
      </c>
      <c r="H1205" s="3">
        <v>4</v>
      </c>
      <c r="I1205" s="5">
        <v>14</v>
      </c>
      <c r="J1205" t="s">
        <v>248</v>
      </c>
      <c r="K1205" t="s">
        <v>4498</v>
      </c>
      <c r="L1205">
        <v>536530</v>
      </c>
      <c r="M1205" s="2">
        <v>21179</v>
      </c>
      <c r="N1205">
        <v>1.25</v>
      </c>
      <c r="O1205" s="6">
        <v>1</v>
      </c>
      <c r="P1205" s="3">
        <v>0.2</v>
      </c>
      <c r="Q1205" t="s">
        <v>7</v>
      </c>
      <c r="R1205" s="7">
        <f t="shared" si="54"/>
        <v>1.25</v>
      </c>
      <c r="S1205" s="7">
        <f t="shared" si="55"/>
        <v>0.25</v>
      </c>
      <c r="T1205">
        <f>Table1[[#This Row],[Total price]]-Table1[[#This Row],[Discount Amount]]</f>
        <v>1</v>
      </c>
      <c r="U1205">
        <f t="shared" si="56"/>
        <v>1</v>
      </c>
    </row>
    <row r="1206" spans="1:21">
      <c r="A1206">
        <v>1205</v>
      </c>
      <c r="B1206" s="3" t="s">
        <v>1342</v>
      </c>
      <c r="C1206" s="3" t="s">
        <v>1341</v>
      </c>
      <c r="D1206" s="3" t="s">
        <v>2866</v>
      </c>
      <c r="E1206" s="3" t="s">
        <v>4221</v>
      </c>
      <c r="F1206" s="3">
        <v>431</v>
      </c>
      <c r="G1206" s="4">
        <v>41244.529861111114</v>
      </c>
      <c r="H1206" s="3">
        <v>4</v>
      </c>
      <c r="I1206" s="5">
        <v>6</v>
      </c>
      <c r="J1206" t="s">
        <v>543</v>
      </c>
      <c r="K1206" t="s">
        <v>4498</v>
      </c>
      <c r="L1206">
        <v>536530</v>
      </c>
      <c r="M1206" s="2">
        <v>22185</v>
      </c>
      <c r="N1206">
        <v>1.65</v>
      </c>
      <c r="O1206" s="6">
        <v>4</v>
      </c>
      <c r="P1206" s="3">
        <v>0.1</v>
      </c>
      <c r="Q1206" t="s">
        <v>7</v>
      </c>
      <c r="R1206" s="7">
        <f t="shared" si="54"/>
        <v>6.6</v>
      </c>
      <c r="S1206" s="7">
        <f t="shared" si="55"/>
        <v>0.66</v>
      </c>
      <c r="T1206">
        <f>Table1[[#This Row],[Total price]]-Table1[[#This Row],[Discount Amount]]</f>
        <v>5.9399999999999995</v>
      </c>
      <c r="U1206">
        <f t="shared" si="56"/>
        <v>23.759999999999998</v>
      </c>
    </row>
    <row r="1207" spans="1:21">
      <c r="A1207">
        <v>1206</v>
      </c>
      <c r="B1207" s="3" t="s">
        <v>1340</v>
      </c>
      <c r="C1207" s="3" t="s">
        <v>1339</v>
      </c>
      <c r="D1207" s="3" t="s">
        <v>2866</v>
      </c>
      <c r="E1207" s="3" t="s">
        <v>4222</v>
      </c>
      <c r="F1207" s="3">
        <v>431</v>
      </c>
      <c r="G1207" s="4">
        <v>41244.529861111114</v>
      </c>
      <c r="H1207" s="3">
        <v>4</v>
      </c>
      <c r="I1207" s="5">
        <v>18</v>
      </c>
      <c r="J1207" t="s">
        <v>713</v>
      </c>
      <c r="K1207" t="s">
        <v>4498</v>
      </c>
      <c r="L1207">
        <v>536530</v>
      </c>
      <c r="M1207" s="2">
        <v>22097</v>
      </c>
      <c r="N1207">
        <v>1.25</v>
      </c>
      <c r="O1207" s="6">
        <v>1</v>
      </c>
      <c r="P1207" s="3">
        <v>0.2</v>
      </c>
      <c r="Q1207" t="s">
        <v>7</v>
      </c>
      <c r="R1207" s="7">
        <f t="shared" si="54"/>
        <v>1.25</v>
      </c>
      <c r="S1207" s="7">
        <f t="shared" si="55"/>
        <v>0.25</v>
      </c>
      <c r="T1207">
        <f>Table1[[#This Row],[Total price]]-Table1[[#This Row],[Discount Amount]]</f>
        <v>1</v>
      </c>
      <c r="U1207">
        <f t="shared" si="56"/>
        <v>1</v>
      </c>
    </row>
    <row r="1208" spans="1:21">
      <c r="A1208">
        <v>1207</v>
      </c>
      <c r="B1208" s="3" t="s">
        <v>1338</v>
      </c>
      <c r="C1208" s="3" t="s">
        <v>1337</v>
      </c>
      <c r="D1208" s="3" t="s">
        <v>4223</v>
      </c>
      <c r="E1208" s="3" t="s">
        <v>4224</v>
      </c>
      <c r="F1208" s="3">
        <v>431</v>
      </c>
      <c r="G1208" s="4">
        <v>41244.529861111114</v>
      </c>
      <c r="H1208" s="3">
        <v>4</v>
      </c>
      <c r="I1208" s="5">
        <v>13</v>
      </c>
      <c r="J1208" t="s">
        <v>808</v>
      </c>
      <c r="K1208" t="s">
        <v>4498</v>
      </c>
      <c r="L1208">
        <v>536530</v>
      </c>
      <c r="M1208" s="2">
        <v>21662</v>
      </c>
      <c r="N1208">
        <v>5.95</v>
      </c>
      <c r="O1208" s="6">
        <v>1</v>
      </c>
      <c r="P1208" s="3">
        <v>7.0000000000000007E-2</v>
      </c>
      <c r="Q1208" t="s">
        <v>7</v>
      </c>
      <c r="R1208" s="7">
        <f t="shared" si="54"/>
        <v>5.95</v>
      </c>
      <c r="S1208" s="7">
        <f t="shared" si="55"/>
        <v>0.41650000000000004</v>
      </c>
      <c r="T1208">
        <f>Table1[[#This Row],[Total price]]-Table1[[#This Row],[Discount Amount]]</f>
        <v>5.5335000000000001</v>
      </c>
      <c r="U1208">
        <f t="shared" si="56"/>
        <v>5.5335000000000001</v>
      </c>
    </row>
    <row r="1209" spans="1:21">
      <c r="A1209">
        <v>1208</v>
      </c>
      <c r="B1209" s="3" t="s">
        <v>1336</v>
      </c>
      <c r="C1209" s="3" t="s">
        <v>1335</v>
      </c>
      <c r="D1209" s="3" t="s">
        <v>2866</v>
      </c>
      <c r="E1209" s="3" t="s">
        <v>4225</v>
      </c>
      <c r="F1209" s="3">
        <v>431</v>
      </c>
      <c r="G1209" s="4">
        <v>41244.529861111114</v>
      </c>
      <c r="H1209" s="3">
        <v>4</v>
      </c>
      <c r="I1209" s="5">
        <v>19</v>
      </c>
      <c r="J1209" t="s">
        <v>800</v>
      </c>
      <c r="K1209" t="s">
        <v>4498</v>
      </c>
      <c r="L1209">
        <v>536530</v>
      </c>
      <c r="M1209" s="2">
        <v>85104</v>
      </c>
      <c r="N1209">
        <v>2.95</v>
      </c>
      <c r="O1209" s="6">
        <v>8</v>
      </c>
      <c r="P1209" s="3">
        <v>7.0000000000000007E-2</v>
      </c>
      <c r="Q1209" t="s">
        <v>7</v>
      </c>
      <c r="R1209" s="7">
        <f t="shared" si="54"/>
        <v>23.6</v>
      </c>
      <c r="S1209" s="7">
        <f t="shared" si="55"/>
        <v>1.6520000000000004</v>
      </c>
      <c r="T1209">
        <f>Table1[[#This Row],[Total price]]-Table1[[#This Row],[Discount Amount]]</f>
        <v>21.948</v>
      </c>
      <c r="U1209">
        <f t="shared" si="56"/>
        <v>175.584</v>
      </c>
    </row>
    <row r="1210" spans="1:21">
      <c r="A1210">
        <v>1209</v>
      </c>
      <c r="B1210" s="3" t="s">
        <v>1334</v>
      </c>
      <c r="C1210" s="3" t="s">
        <v>1333</v>
      </c>
      <c r="D1210" s="3" t="s">
        <v>2866</v>
      </c>
      <c r="E1210" s="3" t="s">
        <v>4226</v>
      </c>
      <c r="F1210" s="3">
        <v>432</v>
      </c>
      <c r="G1210" s="4">
        <v>41244.529861111114</v>
      </c>
      <c r="H1210" s="3">
        <v>4</v>
      </c>
      <c r="I1210" s="5">
        <v>10</v>
      </c>
      <c r="J1210" t="s">
        <v>846</v>
      </c>
      <c r="K1210" t="s">
        <v>4498</v>
      </c>
      <c r="L1210">
        <v>536530</v>
      </c>
      <c r="M1210" s="2">
        <v>21654</v>
      </c>
      <c r="N1210">
        <v>1.45</v>
      </c>
      <c r="O1210" s="6">
        <v>6</v>
      </c>
      <c r="P1210" s="3">
        <v>0.2</v>
      </c>
      <c r="Q1210" t="s">
        <v>7</v>
      </c>
      <c r="R1210" s="7">
        <f t="shared" si="54"/>
        <v>8.6999999999999993</v>
      </c>
      <c r="S1210" s="7">
        <f t="shared" si="55"/>
        <v>1.74</v>
      </c>
      <c r="T1210">
        <f>Table1[[#This Row],[Total price]]-Table1[[#This Row],[Discount Amount]]</f>
        <v>6.9599999999999991</v>
      </c>
      <c r="U1210">
        <f t="shared" si="56"/>
        <v>41.759999999999991</v>
      </c>
    </row>
    <row r="1211" spans="1:21">
      <c r="A1211">
        <v>1210</v>
      </c>
      <c r="B1211" s="3" t="s">
        <v>1332</v>
      </c>
      <c r="C1211" s="3" t="s">
        <v>1331</v>
      </c>
      <c r="D1211" s="3" t="s">
        <v>2866</v>
      </c>
      <c r="E1211" s="3" t="s">
        <v>4227</v>
      </c>
      <c r="F1211" s="3">
        <v>432</v>
      </c>
      <c r="G1211" s="4">
        <v>41244.529861111114</v>
      </c>
      <c r="H1211" s="3">
        <v>4</v>
      </c>
      <c r="I1211" s="5">
        <v>7</v>
      </c>
      <c r="J1211" t="s">
        <v>12</v>
      </c>
      <c r="K1211" t="s">
        <v>4498</v>
      </c>
      <c r="L1211">
        <v>536530</v>
      </c>
      <c r="M1211" s="2">
        <v>21658</v>
      </c>
      <c r="N1211">
        <v>3.95</v>
      </c>
      <c r="O1211" s="6">
        <v>1</v>
      </c>
      <c r="P1211" s="3">
        <v>0.05</v>
      </c>
      <c r="Q1211" t="s">
        <v>7</v>
      </c>
      <c r="R1211" s="7">
        <f t="shared" si="54"/>
        <v>3.95</v>
      </c>
      <c r="S1211" s="7">
        <f t="shared" si="55"/>
        <v>0.19750000000000001</v>
      </c>
      <c r="T1211">
        <f>Table1[[#This Row],[Total price]]-Table1[[#This Row],[Discount Amount]]</f>
        <v>3.7525000000000004</v>
      </c>
      <c r="U1211">
        <f t="shared" si="56"/>
        <v>3.7525000000000004</v>
      </c>
    </row>
    <row r="1212" spans="1:21">
      <c r="A1212">
        <v>1211</v>
      </c>
      <c r="B1212" s="3" t="s">
        <v>1330</v>
      </c>
      <c r="C1212" s="3" t="s">
        <v>1329</v>
      </c>
      <c r="D1212" s="3" t="s">
        <v>2866</v>
      </c>
      <c r="E1212" s="3" t="s">
        <v>4228</v>
      </c>
      <c r="F1212" s="3">
        <v>433</v>
      </c>
      <c r="G1212" s="4">
        <v>41244.529861111114</v>
      </c>
      <c r="H1212" s="3">
        <v>4</v>
      </c>
      <c r="I1212" s="5">
        <v>6</v>
      </c>
      <c r="J1212" t="s">
        <v>281</v>
      </c>
      <c r="K1212" t="s">
        <v>4498</v>
      </c>
      <c r="L1212">
        <v>536530</v>
      </c>
      <c r="M1212" s="2">
        <v>21664</v>
      </c>
      <c r="N1212">
        <v>3.75</v>
      </c>
      <c r="O1212" s="6">
        <v>2</v>
      </c>
      <c r="P1212" s="3">
        <v>0.1</v>
      </c>
      <c r="Q1212" t="s">
        <v>7</v>
      </c>
      <c r="R1212" s="7">
        <f t="shared" si="54"/>
        <v>7.5</v>
      </c>
      <c r="S1212" s="7">
        <f t="shared" si="55"/>
        <v>0.75</v>
      </c>
      <c r="T1212">
        <f>Table1[[#This Row],[Total price]]-Table1[[#This Row],[Discount Amount]]</f>
        <v>6.75</v>
      </c>
      <c r="U1212">
        <f t="shared" si="56"/>
        <v>13.5</v>
      </c>
    </row>
    <row r="1213" spans="1:21">
      <c r="A1213">
        <v>1212</v>
      </c>
      <c r="B1213" s="3" t="s">
        <v>1328</v>
      </c>
      <c r="C1213" s="3" t="s">
        <v>1327</v>
      </c>
      <c r="D1213" s="3" t="s">
        <v>2866</v>
      </c>
      <c r="E1213" s="3" t="s">
        <v>4229</v>
      </c>
      <c r="F1213" s="3">
        <v>433</v>
      </c>
      <c r="G1213" s="4">
        <v>41244.529861111114</v>
      </c>
      <c r="H1213" s="3">
        <v>4</v>
      </c>
      <c r="I1213" s="5">
        <v>10</v>
      </c>
      <c r="J1213" t="s">
        <v>290</v>
      </c>
      <c r="K1213" t="s">
        <v>4498</v>
      </c>
      <c r="L1213">
        <v>536530</v>
      </c>
      <c r="M1213" s="2">
        <v>22943</v>
      </c>
      <c r="N1213">
        <v>4.95</v>
      </c>
      <c r="O1213" s="6">
        <v>2</v>
      </c>
      <c r="P1213" s="3">
        <v>0.2</v>
      </c>
      <c r="Q1213" t="s">
        <v>7</v>
      </c>
      <c r="R1213" s="7">
        <f t="shared" si="54"/>
        <v>9.9</v>
      </c>
      <c r="S1213" s="7">
        <f t="shared" si="55"/>
        <v>1.9800000000000002</v>
      </c>
      <c r="T1213">
        <f>Table1[[#This Row],[Total price]]-Table1[[#This Row],[Discount Amount]]</f>
        <v>7.92</v>
      </c>
      <c r="U1213">
        <f t="shared" si="56"/>
        <v>15.84</v>
      </c>
    </row>
    <row r="1214" spans="1:21">
      <c r="A1214">
        <v>1213</v>
      </c>
      <c r="B1214" s="3" t="s">
        <v>1326</v>
      </c>
      <c r="C1214" s="3" t="s">
        <v>1325</v>
      </c>
      <c r="D1214" s="3" t="s">
        <v>2866</v>
      </c>
      <c r="E1214" s="3" t="s">
        <v>4230</v>
      </c>
      <c r="F1214" s="3">
        <v>433</v>
      </c>
      <c r="G1214" s="4">
        <v>41244.529861111114</v>
      </c>
      <c r="H1214" s="3">
        <v>4</v>
      </c>
      <c r="I1214" s="5">
        <v>24</v>
      </c>
      <c r="J1214" t="s">
        <v>34</v>
      </c>
      <c r="K1214" t="s">
        <v>4498</v>
      </c>
      <c r="L1214">
        <v>536530</v>
      </c>
      <c r="M1214" s="2">
        <v>22411</v>
      </c>
      <c r="N1214">
        <v>1.95</v>
      </c>
      <c r="O1214" s="6">
        <v>6</v>
      </c>
      <c r="P1214" s="3">
        <v>0.1</v>
      </c>
      <c r="Q1214" t="s">
        <v>7</v>
      </c>
      <c r="R1214" s="7">
        <f t="shared" si="54"/>
        <v>11.7</v>
      </c>
      <c r="S1214" s="7">
        <f t="shared" si="55"/>
        <v>1.17</v>
      </c>
      <c r="T1214">
        <f>Table1[[#This Row],[Total price]]-Table1[[#This Row],[Discount Amount]]</f>
        <v>10.53</v>
      </c>
      <c r="U1214">
        <f t="shared" si="56"/>
        <v>63.179999999999993</v>
      </c>
    </row>
    <row r="1215" spans="1:21">
      <c r="A1215">
        <v>1214</v>
      </c>
      <c r="B1215" s="3" t="s">
        <v>1324</v>
      </c>
      <c r="C1215" s="3" t="s">
        <v>1323</v>
      </c>
      <c r="D1215" s="3" t="s">
        <v>2866</v>
      </c>
      <c r="E1215" s="3" t="s">
        <v>4231</v>
      </c>
      <c r="F1215" s="3">
        <v>433</v>
      </c>
      <c r="G1215" s="4">
        <v>41244.529861111114</v>
      </c>
      <c r="H1215" s="3">
        <v>4</v>
      </c>
      <c r="I1215" s="5">
        <v>4</v>
      </c>
      <c r="J1215" t="s">
        <v>706</v>
      </c>
      <c r="K1215" t="s">
        <v>4498</v>
      </c>
      <c r="L1215">
        <v>536531</v>
      </c>
      <c r="M1215" s="2">
        <v>21519</v>
      </c>
      <c r="N1215">
        <v>0.42</v>
      </c>
      <c r="O1215" s="6">
        <v>24</v>
      </c>
      <c r="P1215" s="3">
        <v>0.2</v>
      </c>
      <c r="Q1215" t="s">
        <v>7</v>
      </c>
      <c r="R1215" s="7">
        <f t="shared" si="54"/>
        <v>10.08</v>
      </c>
      <c r="S1215" s="7">
        <f t="shared" si="55"/>
        <v>2.016</v>
      </c>
      <c r="T1215">
        <f>Table1[[#This Row],[Total price]]-Table1[[#This Row],[Discount Amount]]</f>
        <v>8.0640000000000001</v>
      </c>
      <c r="U1215">
        <f t="shared" si="56"/>
        <v>193.536</v>
      </c>
    </row>
    <row r="1216" spans="1:21">
      <c r="A1216">
        <v>1215</v>
      </c>
      <c r="B1216" s="3" t="s">
        <v>1322</v>
      </c>
      <c r="C1216" s="3" t="s">
        <v>1321</v>
      </c>
      <c r="D1216" s="3" t="s">
        <v>2866</v>
      </c>
      <c r="E1216" s="3" t="s">
        <v>4232</v>
      </c>
      <c r="F1216" s="3">
        <v>434</v>
      </c>
      <c r="G1216" s="4">
        <v>41244.529861111114</v>
      </c>
      <c r="H1216" s="3">
        <v>4</v>
      </c>
      <c r="I1216" s="5">
        <v>21</v>
      </c>
      <c r="J1216" t="s">
        <v>773</v>
      </c>
      <c r="K1216" t="s">
        <v>4498</v>
      </c>
      <c r="L1216">
        <v>536531</v>
      </c>
      <c r="M1216" s="2">
        <v>22819</v>
      </c>
      <c r="N1216">
        <v>0.42</v>
      </c>
      <c r="O1216" s="6">
        <v>24</v>
      </c>
      <c r="P1216" s="3">
        <v>0.05</v>
      </c>
      <c r="Q1216" t="s">
        <v>7</v>
      </c>
      <c r="R1216" s="7">
        <f t="shared" si="54"/>
        <v>10.08</v>
      </c>
      <c r="S1216" s="7">
        <f t="shared" si="55"/>
        <v>0.504</v>
      </c>
      <c r="T1216">
        <f>Table1[[#This Row],[Total price]]-Table1[[#This Row],[Discount Amount]]</f>
        <v>9.5760000000000005</v>
      </c>
      <c r="U1216">
        <f t="shared" si="56"/>
        <v>229.82400000000001</v>
      </c>
    </row>
    <row r="1217" spans="1:21">
      <c r="A1217">
        <v>1216</v>
      </c>
      <c r="B1217" s="3" t="s">
        <v>1320</v>
      </c>
      <c r="C1217" s="3" t="s">
        <v>1319</v>
      </c>
      <c r="D1217" s="3" t="s">
        <v>2866</v>
      </c>
      <c r="E1217" s="3" t="s">
        <v>4233</v>
      </c>
      <c r="F1217" s="3">
        <v>434</v>
      </c>
      <c r="G1217" s="4">
        <v>41244.529861111114</v>
      </c>
      <c r="H1217" s="3">
        <v>4</v>
      </c>
      <c r="I1217" s="5">
        <v>20</v>
      </c>
      <c r="J1217" t="s">
        <v>536</v>
      </c>
      <c r="K1217" t="s">
        <v>4498</v>
      </c>
      <c r="L1217">
        <v>536531</v>
      </c>
      <c r="M1217" s="2">
        <v>21506</v>
      </c>
      <c r="N1217">
        <v>0.42</v>
      </c>
      <c r="O1217" s="6">
        <v>24</v>
      </c>
      <c r="P1217" s="3">
        <v>0.1</v>
      </c>
      <c r="Q1217" t="s">
        <v>7</v>
      </c>
      <c r="R1217" s="7">
        <f t="shared" si="54"/>
        <v>10.08</v>
      </c>
      <c r="S1217" s="7">
        <f t="shared" si="55"/>
        <v>1.008</v>
      </c>
      <c r="T1217">
        <f>Table1[[#This Row],[Total price]]-Table1[[#This Row],[Discount Amount]]</f>
        <v>9.0719999999999992</v>
      </c>
      <c r="U1217">
        <f t="shared" si="56"/>
        <v>217.72799999999998</v>
      </c>
    </row>
    <row r="1218" spans="1:21">
      <c r="A1218">
        <v>1217</v>
      </c>
      <c r="B1218" s="3" t="s">
        <v>1318</v>
      </c>
      <c r="C1218" s="3" t="s">
        <v>1317</v>
      </c>
      <c r="D1218" s="3" t="s">
        <v>4234</v>
      </c>
      <c r="E1218" s="3" t="s">
        <v>4235</v>
      </c>
      <c r="F1218" s="3">
        <v>434</v>
      </c>
      <c r="G1218" s="4">
        <v>41244.529861111114</v>
      </c>
      <c r="H1218" s="3">
        <v>4</v>
      </c>
      <c r="I1218" s="5">
        <v>9</v>
      </c>
      <c r="J1218" t="s">
        <v>623</v>
      </c>
      <c r="K1218" t="s">
        <v>4498</v>
      </c>
      <c r="L1218">
        <v>536531</v>
      </c>
      <c r="M1218" s="2">
        <v>22704</v>
      </c>
      <c r="N1218">
        <v>0.42</v>
      </c>
      <c r="O1218" s="6">
        <v>25</v>
      </c>
      <c r="P1218" s="3">
        <v>0.2</v>
      </c>
      <c r="Q1218" t="s">
        <v>7</v>
      </c>
      <c r="R1218" s="7">
        <f t="shared" si="54"/>
        <v>10.5</v>
      </c>
      <c r="S1218" s="7">
        <f t="shared" si="55"/>
        <v>2.1</v>
      </c>
      <c r="T1218">
        <f>Table1[[#This Row],[Total price]]-Table1[[#This Row],[Discount Amount]]</f>
        <v>8.4</v>
      </c>
      <c r="U1218">
        <f t="shared" si="56"/>
        <v>210</v>
      </c>
    </row>
    <row r="1219" spans="1:21">
      <c r="A1219">
        <v>1218</v>
      </c>
      <c r="B1219" s="3" t="s">
        <v>1165</v>
      </c>
      <c r="C1219" s="3" t="s">
        <v>1316</v>
      </c>
      <c r="D1219" s="3" t="s">
        <v>4236</v>
      </c>
      <c r="E1219" s="3" t="s">
        <v>4237</v>
      </c>
      <c r="F1219" s="3">
        <v>434</v>
      </c>
      <c r="G1219" s="4">
        <v>41244.529861111114</v>
      </c>
      <c r="H1219" s="3">
        <v>4</v>
      </c>
      <c r="I1219" s="5">
        <v>11</v>
      </c>
      <c r="J1219" t="s">
        <v>90</v>
      </c>
      <c r="K1219" t="s">
        <v>4498</v>
      </c>
      <c r="L1219">
        <v>536531</v>
      </c>
      <c r="M1219" s="2">
        <v>21498</v>
      </c>
      <c r="N1219">
        <v>0.42</v>
      </c>
      <c r="O1219" s="6">
        <v>25</v>
      </c>
      <c r="P1219" s="3">
        <v>7.0000000000000007E-2</v>
      </c>
      <c r="Q1219" t="s">
        <v>7</v>
      </c>
      <c r="R1219" s="7">
        <f t="shared" ref="R1219:R1282" si="57">N1219*O1219</f>
        <v>10.5</v>
      </c>
      <c r="S1219" s="7">
        <f t="shared" ref="S1219:S1282" si="58">R1219*P1219</f>
        <v>0.7350000000000001</v>
      </c>
      <c r="T1219">
        <f>Table1[[#This Row],[Total price]]-Table1[[#This Row],[Discount Amount]]</f>
        <v>9.7650000000000006</v>
      </c>
      <c r="U1219">
        <f t="shared" ref="U1219:U1282" si="59">T1219*O1219</f>
        <v>244.125</v>
      </c>
    </row>
    <row r="1220" spans="1:21">
      <c r="A1220">
        <v>1219</v>
      </c>
      <c r="B1220" s="3" t="s">
        <v>1315</v>
      </c>
      <c r="C1220" s="3" t="s">
        <v>1314</v>
      </c>
      <c r="D1220" s="3" t="s">
        <v>2866</v>
      </c>
      <c r="E1220" s="3" t="s">
        <v>4238</v>
      </c>
      <c r="F1220" s="3">
        <v>434</v>
      </c>
      <c r="G1220" s="4">
        <v>41244.529861111114</v>
      </c>
      <c r="H1220" s="3">
        <v>4</v>
      </c>
      <c r="I1220" s="5">
        <v>18</v>
      </c>
      <c r="J1220" t="s">
        <v>204</v>
      </c>
      <c r="K1220" t="s">
        <v>4498</v>
      </c>
      <c r="L1220">
        <v>536531</v>
      </c>
      <c r="M1220" s="2" t="s">
        <v>203</v>
      </c>
      <c r="N1220">
        <v>5.95</v>
      </c>
      <c r="O1220" s="6">
        <v>12</v>
      </c>
      <c r="P1220" s="3">
        <v>0.05</v>
      </c>
      <c r="Q1220" t="s">
        <v>7</v>
      </c>
      <c r="R1220" s="7">
        <f t="shared" si="57"/>
        <v>71.400000000000006</v>
      </c>
      <c r="S1220" s="7">
        <f t="shared" si="58"/>
        <v>3.5700000000000003</v>
      </c>
      <c r="T1220">
        <f>Table1[[#This Row],[Total price]]-Table1[[#This Row],[Discount Amount]]</f>
        <v>67.830000000000013</v>
      </c>
      <c r="U1220">
        <f t="shared" si="59"/>
        <v>813.96000000000015</v>
      </c>
    </row>
    <row r="1221" spans="1:21">
      <c r="A1221">
        <v>1220</v>
      </c>
      <c r="B1221" s="3" t="s">
        <v>1313</v>
      </c>
      <c r="C1221" s="3" t="s">
        <v>1312</v>
      </c>
      <c r="D1221" s="3" t="s">
        <v>2866</v>
      </c>
      <c r="E1221" s="3" t="s">
        <v>4239</v>
      </c>
      <c r="F1221" s="3">
        <v>435</v>
      </c>
      <c r="G1221" s="4">
        <v>41244.529861111114</v>
      </c>
      <c r="H1221" s="3">
        <v>4</v>
      </c>
      <c r="I1221" s="5">
        <v>22</v>
      </c>
      <c r="J1221" t="s">
        <v>219</v>
      </c>
      <c r="K1221" t="s">
        <v>4498</v>
      </c>
      <c r="L1221">
        <v>536531</v>
      </c>
      <c r="M1221" s="2" t="s">
        <v>218</v>
      </c>
      <c r="N1221">
        <v>5.95</v>
      </c>
      <c r="O1221" s="6">
        <v>12</v>
      </c>
      <c r="P1221" s="3">
        <v>0.05</v>
      </c>
      <c r="Q1221" t="s">
        <v>7</v>
      </c>
      <c r="R1221" s="7">
        <f t="shared" si="57"/>
        <v>71.400000000000006</v>
      </c>
      <c r="S1221" s="7">
        <f t="shared" si="58"/>
        <v>3.5700000000000003</v>
      </c>
      <c r="T1221">
        <f>Table1[[#This Row],[Total price]]-Table1[[#This Row],[Discount Amount]]</f>
        <v>67.830000000000013</v>
      </c>
      <c r="U1221">
        <f t="shared" si="59"/>
        <v>813.96000000000015</v>
      </c>
    </row>
    <row r="1222" spans="1:21">
      <c r="A1222">
        <v>1221</v>
      </c>
      <c r="B1222" s="3" t="s">
        <v>1311</v>
      </c>
      <c r="C1222" s="3" t="s">
        <v>1310</v>
      </c>
      <c r="D1222" s="3" t="s">
        <v>2866</v>
      </c>
      <c r="E1222" s="3" t="s">
        <v>4240</v>
      </c>
      <c r="F1222" s="3">
        <v>435</v>
      </c>
      <c r="G1222" s="4">
        <v>41244.529861111114</v>
      </c>
      <c r="H1222" s="3">
        <v>4</v>
      </c>
      <c r="I1222" s="5">
        <v>9</v>
      </c>
      <c r="J1222" t="s">
        <v>217</v>
      </c>
      <c r="K1222" t="s">
        <v>4498</v>
      </c>
      <c r="L1222">
        <v>536531</v>
      </c>
      <c r="M1222" s="2">
        <v>20679</v>
      </c>
      <c r="N1222">
        <v>5.95</v>
      </c>
      <c r="O1222" s="6">
        <v>12</v>
      </c>
      <c r="P1222" s="3">
        <v>0.05</v>
      </c>
      <c r="Q1222" t="s">
        <v>7</v>
      </c>
      <c r="R1222" s="7">
        <f t="shared" si="57"/>
        <v>71.400000000000006</v>
      </c>
      <c r="S1222" s="7">
        <f t="shared" si="58"/>
        <v>3.5700000000000003</v>
      </c>
      <c r="T1222">
        <f>Table1[[#This Row],[Total price]]-Table1[[#This Row],[Discount Amount]]</f>
        <v>67.830000000000013</v>
      </c>
      <c r="U1222">
        <f t="shared" si="59"/>
        <v>813.96000000000015</v>
      </c>
    </row>
    <row r="1223" spans="1:21">
      <c r="A1223">
        <v>1222</v>
      </c>
      <c r="B1223" s="3" t="s">
        <v>1309</v>
      </c>
      <c r="C1223" s="3" t="s">
        <v>1308</v>
      </c>
      <c r="D1223" s="3" t="s">
        <v>2866</v>
      </c>
      <c r="E1223" s="3" t="s">
        <v>4241</v>
      </c>
      <c r="F1223" s="3">
        <v>435</v>
      </c>
      <c r="G1223" s="4">
        <v>41244.529861111114</v>
      </c>
      <c r="H1223" s="3">
        <v>4</v>
      </c>
      <c r="I1223" s="5">
        <v>18</v>
      </c>
      <c r="J1223" t="s">
        <v>16</v>
      </c>
      <c r="K1223" t="s">
        <v>4498</v>
      </c>
      <c r="L1223">
        <v>536531</v>
      </c>
      <c r="M1223" s="2">
        <v>22049</v>
      </c>
      <c r="N1223">
        <v>0.42</v>
      </c>
      <c r="O1223" s="6">
        <v>25</v>
      </c>
      <c r="P1223" s="3">
        <v>0.05</v>
      </c>
      <c r="Q1223" t="s">
        <v>7</v>
      </c>
      <c r="R1223" s="7">
        <f t="shared" si="57"/>
        <v>10.5</v>
      </c>
      <c r="S1223" s="7">
        <f t="shared" si="58"/>
        <v>0.52500000000000002</v>
      </c>
      <c r="T1223">
        <f>Table1[[#This Row],[Total price]]-Table1[[#This Row],[Discount Amount]]</f>
        <v>9.9749999999999996</v>
      </c>
      <c r="U1223">
        <f t="shared" si="59"/>
        <v>249.375</v>
      </c>
    </row>
    <row r="1224" spans="1:21">
      <c r="A1224">
        <v>1223</v>
      </c>
      <c r="B1224" s="3" t="s">
        <v>1307</v>
      </c>
      <c r="C1224" s="3" t="s">
        <v>1306</v>
      </c>
      <c r="D1224" s="3" t="s">
        <v>2866</v>
      </c>
      <c r="E1224" s="3" t="s">
        <v>4242</v>
      </c>
      <c r="F1224" s="3">
        <v>436</v>
      </c>
      <c r="G1224" s="4">
        <v>41244.529861111114</v>
      </c>
      <c r="H1224" s="3">
        <v>4</v>
      </c>
      <c r="I1224" s="5">
        <v>3</v>
      </c>
      <c r="J1224" t="s">
        <v>90</v>
      </c>
      <c r="K1224" t="s">
        <v>4498</v>
      </c>
      <c r="L1224">
        <v>536531</v>
      </c>
      <c r="M1224" s="2">
        <v>21498</v>
      </c>
      <c r="N1224">
        <v>0.42</v>
      </c>
      <c r="O1224" s="6">
        <v>25</v>
      </c>
      <c r="P1224" s="3">
        <v>0.05</v>
      </c>
      <c r="Q1224" t="s">
        <v>7</v>
      </c>
      <c r="R1224" s="7">
        <f t="shared" si="57"/>
        <v>10.5</v>
      </c>
      <c r="S1224" s="7">
        <f t="shared" si="58"/>
        <v>0.52500000000000002</v>
      </c>
      <c r="T1224">
        <f>Table1[[#This Row],[Total price]]-Table1[[#This Row],[Discount Amount]]</f>
        <v>9.9749999999999996</v>
      </c>
      <c r="U1224">
        <f t="shared" si="59"/>
        <v>249.375</v>
      </c>
    </row>
    <row r="1225" spans="1:21">
      <c r="A1225">
        <v>1224</v>
      </c>
      <c r="B1225" s="3" t="s">
        <v>1305</v>
      </c>
      <c r="C1225" s="3" t="s">
        <v>1304</v>
      </c>
      <c r="D1225" s="3" t="s">
        <v>2866</v>
      </c>
      <c r="E1225" s="3" t="s">
        <v>4243</v>
      </c>
      <c r="F1225" s="3">
        <v>436</v>
      </c>
      <c r="G1225" s="4">
        <v>41244.529861111114</v>
      </c>
      <c r="H1225" s="3">
        <v>4</v>
      </c>
      <c r="I1225" s="5">
        <v>23</v>
      </c>
      <c r="J1225" t="s">
        <v>625</v>
      </c>
      <c r="K1225" t="s">
        <v>4498</v>
      </c>
      <c r="L1225">
        <v>536531</v>
      </c>
      <c r="M1225" s="2">
        <v>21497</v>
      </c>
      <c r="N1225">
        <v>0.42</v>
      </c>
      <c r="O1225" s="6">
        <v>25</v>
      </c>
      <c r="P1225" s="3">
        <v>0.2</v>
      </c>
      <c r="Q1225" t="s">
        <v>7</v>
      </c>
      <c r="R1225" s="7">
        <f t="shared" si="57"/>
        <v>10.5</v>
      </c>
      <c r="S1225" s="7">
        <f t="shared" si="58"/>
        <v>2.1</v>
      </c>
      <c r="T1225">
        <f>Table1[[#This Row],[Total price]]-Table1[[#This Row],[Discount Amount]]</f>
        <v>8.4</v>
      </c>
      <c r="U1225">
        <f t="shared" si="59"/>
        <v>210</v>
      </c>
    </row>
    <row r="1226" spans="1:21">
      <c r="A1226">
        <v>1225</v>
      </c>
      <c r="B1226" s="3" t="s">
        <v>1303</v>
      </c>
      <c r="C1226" s="3" t="s">
        <v>1302</v>
      </c>
      <c r="D1226" s="3" t="s">
        <v>2866</v>
      </c>
      <c r="E1226" s="3" t="s">
        <v>4244</v>
      </c>
      <c r="F1226" s="3">
        <v>437</v>
      </c>
      <c r="G1226" s="4">
        <v>41244.529861111114</v>
      </c>
      <c r="H1226" s="3">
        <v>4</v>
      </c>
      <c r="I1226" s="5">
        <v>3</v>
      </c>
      <c r="J1226" t="s">
        <v>568</v>
      </c>
      <c r="K1226" t="s">
        <v>4498</v>
      </c>
      <c r="L1226">
        <v>536531</v>
      </c>
      <c r="M1226" s="2">
        <v>21333</v>
      </c>
      <c r="N1226">
        <v>2.95</v>
      </c>
      <c r="O1226" s="6">
        <v>12</v>
      </c>
      <c r="P1226" s="3">
        <v>0.05</v>
      </c>
      <c r="Q1226" t="s">
        <v>7</v>
      </c>
      <c r="R1226" s="7">
        <f t="shared" si="57"/>
        <v>35.400000000000006</v>
      </c>
      <c r="S1226" s="7">
        <f t="shared" si="58"/>
        <v>1.7700000000000005</v>
      </c>
      <c r="T1226">
        <f>Table1[[#This Row],[Total price]]-Table1[[#This Row],[Discount Amount]]</f>
        <v>33.630000000000003</v>
      </c>
      <c r="U1226">
        <f t="shared" si="59"/>
        <v>403.56000000000006</v>
      </c>
    </row>
    <row r="1227" spans="1:21">
      <c r="A1227">
        <v>1226</v>
      </c>
      <c r="B1227" s="3" t="s">
        <v>1301</v>
      </c>
      <c r="C1227" s="3" t="s">
        <v>1300</v>
      </c>
      <c r="D1227" s="3" t="s">
        <v>2866</v>
      </c>
      <c r="E1227" s="3" t="s">
        <v>4245</v>
      </c>
      <c r="F1227" s="3">
        <v>437</v>
      </c>
      <c r="G1227" s="4">
        <v>41244.529861111114</v>
      </c>
      <c r="H1227" s="3">
        <v>4</v>
      </c>
      <c r="I1227" s="5">
        <v>10</v>
      </c>
      <c r="J1227" t="s">
        <v>112</v>
      </c>
      <c r="K1227" t="s">
        <v>4498</v>
      </c>
      <c r="L1227">
        <v>536531</v>
      </c>
      <c r="M1227" s="2">
        <v>22727</v>
      </c>
      <c r="N1227">
        <v>3.75</v>
      </c>
      <c r="O1227" s="6">
        <v>9</v>
      </c>
      <c r="P1227" s="3">
        <v>0.05</v>
      </c>
      <c r="Q1227" t="s">
        <v>7</v>
      </c>
      <c r="R1227" s="7">
        <f t="shared" si="57"/>
        <v>33.75</v>
      </c>
      <c r="S1227" s="7">
        <f t="shared" si="58"/>
        <v>1.6875</v>
      </c>
      <c r="T1227">
        <f>Table1[[#This Row],[Total price]]-Table1[[#This Row],[Discount Amount]]</f>
        <v>32.0625</v>
      </c>
      <c r="U1227">
        <f t="shared" si="59"/>
        <v>288.5625</v>
      </c>
    </row>
    <row r="1228" spans="1:21">
      <c r="A1228">
        <v>1227</v>
      </c>
      <c r="B1228" s="3" t="s">
        <v>1299</v>
      </c>
      <c r="C1228" s="3" t="s">
        <v>1298</v>
      </c>
      <c r="D1228" s="3" t="s">
        <v>4246</v>
      </c>
      <c r="E1228" s="3" t="s">
        <v>4247</v>
      </c>
      <c r="F1228" s="3">
        <v>437</v>
      </c>
      <c r="G1228" s="4">
        <v>41244.529861111114</v>
      </c>
      <c r="H1228" s="3">
        <v>4</v>
      </c>
      <c r="I1228" s="5">
        <v>8</v>
      </c>
      <c r="J1228" t="s">
        <v>113</v>
      </c>
      <c r="K1228" t="s">
        <v>4498</v>
      </c>
      <c r="L1228">
        <v>536531</v>
      </c>
      <c r="M1228" s="2">
        <v>22726</v>
      </c>
      <c r="N1228">
        <v>3.75</v>
      </c>
      <c r="O1228" s="6">
        <v>9</v>
      </c>
      <c r="P1228" s="3">
        <v>0.05</v>
      </c>
      <c r="Q1228" t="s">
        <v>7</v>
      </c>
      <c r="R1228" s="7">
        <f t="shared" si="57"/>
        <v>33.75</v>
      </c>
      <c r="S1228" s="7">
        <f t="shared" si="58"/>
        <v>1.6875</v>
      </c>
      <c r="T1228">
        <f>Table1[[#This Row],[Total price]]-Table1[[#This Row],[Discount Amount]]</f>
        <v>32.0625</v>
      </c>
      <c r="U1228">
        <f t="shared" si="59"/>
        <v>288.5625</v>
      </c>
    </row>
    <row r="1229" spans="1:21">
      <c r="A1229">
        <v>1228</v>
      </c>
      <c r="B1229" s="3" t="s">
        <v>1297</v>
      </c>
      <c r="C1229" s="3" t="s">
        <v>1296</v>
      </c>
      <c r="D1229" s="3" t="s">
        <v>4248</v>
      </c>
      <c r="E1229" s="3" t="s">
        <v>4249</v>
      </c>
      <c r="F1229" s="3">
        <v>438</v>
      </c>
      <c r="G1229" s="4">
        <v>41244.529861111114</v>
      </c>
      <c r="H1229" s="3">
        <v>4</v>
      </c>
      <c r="I1229" s="5">
        <v>4</v>
      </c>
      <c r="J1229" t="s">
        <v>296</v>
      </c>
      <c r="K1229" t="s">
        <v>4498</v>
      </c>
      <c r="L1229">
        <v>536531</v>
      </c>
      <c r="M1229" s="2">
        <v>22730</v>
      </c>
      <c r="N1229">
        <v>3.75</v>
      </c>
      <c r="O1229" s="6">
        <v>9</v>
      </c>
      <c r="P1229" s="3">
        <v>7.0000000000000007E-2</v>
      </c>
      <c r="Q1229" t="s">
        <v>7</v>
      </c>
      <c r="R1229" s="7">
        <f t="shared" si="57"/>
        <v>33.75</v>
      </c>
      <c r="S1229" s="7">
        <f t="shared" si="58"/>
        <v>2.3625000000000003</v>
      </c>
      <c r="T1229">
        <f>Table1[[#This Row],[Total price]]-Table1[[#This Row],[Discount Amount]]</f>
        <v>31.387499999999999</v>
      </c>
      <c r="U1229">
        <f t="shared" si="59"/>
        <v>282.48750000000001</v>
      </c>
    </row>
    <row r="1230" spans="1:21">
      <c r="A1230">
        <v>1229</v>
      </c>
      <c r="B1230" s="3" t="s">
        <v>1295</v>
      </c>
      <c r="C1230" s="3" t="s">
        <v>1020</v>
      </c>
      <c r="D1230" s="3" t="s">
        <v>2866</v>
      </c>
      <c r="E1230" s="3" t="s">
        <v>4250</v>
      </c>
      <c r="F1230" s="3">
        <v>438</v>
      </c>
      <c r="G1230" s="4">
        <v>41244.529861111114</v>
      </c>
      <c r="H1230" s="3">
        <v>4</v>
      </c>
      <c r="I1230" s="5">
        <v>22</v>
      </c>
      <c r="J1230" t="s">
        <v>411</v>
      </c>
      <c r="K1230" t="s">
        <v>4498</v>
      </c>
      <c r="L1230">
        <v>536531</v>
      </c>
      <c r="M1230" s="2">
        <v>22086</v>
      </c>
      <c r="N1230">
        <v>2.5499999999999998</v>
      </c>
      <c r="O1230" s="6">
        <v>80</v>
      </c>
      <c r="P1230" s="3">
        <v>0.1</v>
      </c>
      <c r="Q1230" t="s">
        <v>7</v>
      </c>
      <c r="R1230" s="7">
        <f t="shared" si="57"/>
        <v>204</v>
      </c>
      <c r="S1230" s="7">
        <f t="shared" si="58"/>
        <v>20.400000000000002</v>
      </c>
      <c r="T1230">
        <f>Table1[[#This Row],[Total price]]-Table1[[#This Row],[Discount Amount]]</f>
        <v>183.6</v>
      </c>
      <c r="U1230">
        <f t="shared" si="59"/>
        <v>14688</v>
      </c>
    </row>
    <row r="1231" spans="1:21">
      <c r="A1231">
        <v>1230</v>
      </c>
      <c r="B1231" s="3" t="s">
        <v>1294</v>
      </c>
      <c r="C1231" s="3" t="s">
        <v>1293</v>
      </c>
      <c r="D1231" s="3" t="s">
        <v>2866</v>
      </c>
      <c r="E1231" s="3" t="s">
        <v>4251</v>
      </c>
      <c r="F1231" s="3">
        <v>438</v>
      </c>
      <c r="G1231" s="4">
        <v>41244.529861111114</v>
      </c>
      <c r="H1231" s="3">
        <v>4</v>
      </c>
      <c r="I1231" s="5">
        <v>8</v>
      </c>
      <c r="J1231" t="s">
        <v>63</v>
      </c>
      <c r="K1231" t="s">
        <v>4498</v>
      </c>
      <c r="L1231">
        <v>536531</v>
      </c>
      <c r="M1231" s="2">
        <v>22910</v>
      </c>
      <c r="N1231">
        <v>2.5499999999999998</v>
      </c>
      <c r="O1231" s="6">
        <v>40</v>
      </c>
      <c r="P1231" s="3">
        <v>0.05</v>
      </c>
      <c r="Q1231" t="s">
        <v>7</v>
      </c>
      <c r="R1231" s="7">
        <f t="shared" si="57"/>
        <v>102</v>
      </c>
      <c r="S1231" s="7">
        <f t="shared" si="58"/>
        <v>5.1000000000000005</v>
      </c>
      <c r="T1231">
        <f>Table1[[#This Row],[Total price]]-Table1[[#This Row],[Discount Amount]]</f>
        <v>96.9</v>
      </c>
      <c r="U1231">
        <f t="shared" si="59"/>
        <v>3876</v>
      </c>
    </row>
    <row r="1232" spans="1:21">
      <c r="A1232">
        <v>1231</v>
      </c>
      <c r="B1232" s="3" t="s">
        <v>1292</v>
      </c>
      <c r="C1232" s="3" t="s">
        <v>1291</v>
      </c>
      <c r="D1232" s="3" t="s">
        <v>2866</v>
      </c>
      <c r="E1232" s="3" t="s">
        <v>4252</v>
      </c>
      <c r="F1232" s="3">
        <v>438</v>
      </c>
      <c r="G1232" s="4">
        <v>41244.529861111114</v>
      </c>
      <c r="H1232" s="3">
        <v>4</v>
      </c>
      <c r="I1232" s="5">
        <v>13</v>
      </c>
      <c r="J1232" t="s">
        <v>195</v>
      </c>
      <c r="K1232" t="s">
        <v>4498</v>
      </c>
      <c r="L1232">
        <v>536531</v>
      </c>
      <c r="M1232" s="2">
        <v>22194</v>
      </c>
      <c r="N1232">
        <v>8.5</v>
      </c>
      <c r="O1232" s="6">
        <v>2</v>
      </c>
      <c r="P1232" s="3">
        <v>0.05</v>
      </c>
      <c r="Q1232" t="s">
        <v>7</v>
      </c>
      <c r="R1232" s="7">
        <f t="shared" si="57"/>
        <v>17</v>
      </c>
      <c r="S1232" s="7">
        <f t="shared" si="58"/>
        <v>0.85000000000000009</v>
      </c>
      <c r="T1232">
        <f>Table1[[#This Row],[Total price]]-Table1[[#This Row],[Discount Amount]]</f>
        <v>16.149999999999999</v>
      </c>
      <c r="U1232">
        <f t="shared" si="59"/>
        <v>32.299999999999997</v>
      </c>
    </row>
    <row r="1233" spans="1:21">
      <c r="A1233">
        <v>1232</v>
      </c>
      <c r="B1233" s="3" t="s">
        <v>1290</v>
      </c>
      <c r="C1233" s="3" t="s">
        <v>1289</v>
      </c>
      <c r="D1233" s="3" t="s">
        <v>2866</v>
      </c>
      <c r="E1233" s="3" t="s">
        <v>4253</v>
      </c>
      <c r="F1233" s="3">
        <v>439</v>
      </c>
      <c r="G1233" s="4">
        <v>41244.529861111114</v>
      </c>
      <c r="H1233" s="3">
        <v>4</v>
      </c>
      <c r="I1233" s="5">
        <v>6</v>
      </c>
      <c r="J1233" t="s">
        <v>198</v>
      </c>
      <c r="K1233" t="s">
        <v>4498</v>
      </c>
      <c r="L1233">
        <v>536531</v>
      </c>
      <c r="M1233" s="2">
        <v>22192</v>
      </c>
      <c r="N1233">
        <v>8.5</v>
      </c>
      <c r="O1233" s="6">
        <v>4</v>
      </c>
      <c r="P1233" s="3">
        <v>7.0000000000000007E-2</v>
      </c>
      <c r="Q1233" t="s">
        <v>7</v>
      </c>
      <c r="R1233" s="7">
        <f t="shared" si="57"/>
        <v>34</v>
      </c>
      <c r="S1233" s="7">
        <f t="shared" si="58"/>
        <v>2.3800000000000003</v>
      </c>
      <c r="T1233">
        <f>Table1[[#This Row],[Total price]]-Table1[[#This Row],[Discount Amount]]</f>
        <v>31.62</v>
      </c>
      <c r="U1233">
        <f t="shared" si="59"/>
        <v>126.48</v>
      </c>
    </row>
    <row r="1234" spans="1:21">
      <c r="A1234">
        <v>1233</v>
      </c>
      <c r="B1234" s="3" t="s">
        <v>1288</v>
      </c>
      <c r="C1234" s="3" t="s">
        <v>1287</v>
      </c>
      <c r="D1234" s="3" t="s">
        <v>2866</v>
      </c>
      <c r="E1234" s="3" t="s">
        <v>4254</v>
      </c>
      <c r="F1234" s="3">
        <v>439</v>
      </c>
      <c r="G1234" s="4">
        <v>41244.529861111114</v>
      </c>
      <c r="H1234" s="3">
        <v>4</v>
      </c>
      <c r="I1234" s="5">
        <v>7</v>
      </c>
      <c r="J1234" t="s">
        <v>110</v>
      </c>
      <c r="K1234" t="s">
        <v>4498</v>
      </c>
      <c r="L1234">
        <v>536531</v>
      </c>
      <c r="M1234" s="2">
        <v>22193</v>
      </c>
      <c r="N1234">
        <v>8.5</v>
      </c>
      <c r="O1234" s="6">
        <v>4</v>
      </c>
      <c r="P1234" s="3">
        <v>0.05</v>
      </c>
      <c r="Q1234" t="s">
        <v>7</v>
      </c>
      <c r="R1234" s="7">
        <f t="shared" si="57"/>
        <v>34</v>
      </c>
      <c r="S1234" s="7">
        <f t="shared" si="58"/>
        <v>1.7000000000000002</v>
      </c>
      <c r="T1234">
        <f>Table1[[#This Row],[Total price]]-Table1[[#This Row],[Discount Amount]]</f>
        <v>32.299999999999997</v>
      </c>
      <c r="U1234">
        <f t="shared" si="59"/>
        <v>129.19999999999999</v>
      </c>
    </row>
    <row r="1235" spans="1:21">
      <c r="A1235">
        <v>1234</v>
      </c>
      <c r="B1235" s="3" t="s">
        <v>1286</v>
      </c>
      <c r="C1235" s="3" t="s">
        <v>1157</v>
      </c>
      <c r="D1235" s="3" t="s">
        <v>2866</v>
      </c>
      <c r="E1235" s="3" t="s">
        <v>4255</v>
      </c>
      <c r="F1235" s="3">
        <v>440</v>
      </c>
      <c r="G1235" s="4">
        <v>41244.529861111114</v>
      </c>
      <c r="H1235" s="3">
        <v>3</v>
      </c>
      <c r="I1235" s="5">
        <v>19</v>
      </c>
      <c r="J1235" t="s">
        <v>425</v>
      </c>
      <c r="K1235" t="s">
        <v>4498</v>
      </c>
      <c r="L1235">
        <v>536531</v>
      </c>
      <c r="M1235" s="2">
        <v>22191</v>
      </c>
      <c r="N1235">
        <v>8.5</v>
      </c>
      <c r="O1235" s="6">
        <v>4</v>
      </c>
      <c r="P1235" s="3">
        <v>7.0000000000000007E-2</v>
      </c>
      <c r="Q1235" t="s">
        <v>7</v>
      </c>
      <c r="R1235" s="7">
        <f t="shared" si="57"/>
        <v>34</v>
      </c>
      <c r="S1235" s="7">
        <f t="shared" si="58"/>
        <v>2.3800000000000003</v>
      </c>
      <c r="T1235">
        <f>Table1[[#This Row],[Total price]]-Table1[[#This Row],[Discount Amount]]</f>
        <v>31.62</v>
      </c>
      <c r="U1235">
        <f t="shared" si="59"/>
        <v>126.48</v>
      </c>
    </row>
    <row r="1236" spans="1:21">
      <c r="A1236">
        <v>1235</v>
      </c>
      <c r="B1236" s="3" t="s">
        <v>1285</v>
      </c>
      <c r="C1236" s="3" t="s">
        <v>1284</v>
      </c>
      <c r="D1236" s="3" t="s">
        <v>2866</v>
      </c>
      <c r="E1236" s="3" t="s">
        <v>4256</v>
      </c>
      <c r="F1236" s="3">
        <v>440</v>
      </c>
      <c r="G1236" s="4">
        <v>41244.529861111114</v>
      </c>
      <c r="H1236" s="3">
        <v>4</v>
      </c>
      <c r="I1236" s="5">
        <v>4</v>
      </c>
      <c r="J1236" t="s">
        <v>304</v>
      </c>
      <c r="K1236" t="s">
        <v>4498</v>
      </c>
      <c r="L1236">
        <v>536531</v>
      </c>
      <c r="M1236" s="2">
        <v>22688</v>
      </c>
      <c r="N1236">
        <v>7.95</v>
      </c>
      <c r="O1236" s="6">
        <v>4</v>
      </c>
      <c r="P1236" s="3">
        <v>7.0000000000000007E-2</v>
      </c>
      <c r="Q1236" t="s">
        <v>7</v>
      </c>
      <c r="R1236" s="7">
        <f t="shared" si="57"/>
        <v>31.8</v>
      </c>
      <c r="S1236" s="7">
        <f t="shared" si="58"/>
        <v>2.2260000000000004</v>
      </c>
      <c r="T1236">
        <f>Table1[[#This Row],[Total price]]-Table1[[#This Row],[Discount Amount]]</f>
        <v>29.574000000000002</v>
      </c>
      <c r="U1236">
        <f t="shared" si="59"/>
        <v>118.29600000000001</v>
      </c>
    </row>
    <row r="1237" spans="1:21">
      <c r="A1237">
        <v>1236</v>
      </c>
      <c r="B1237" s="3" t="s">
        <v>1283</v>
      </c>
      <c r="C1237" s="3" t="s">
        <v>1282</v>
      </c>
      <c r="D1237" s="3" t="s">
        <v>2866</v>
      </c>
      <c r="E1237" s="3" t="s">
        <v>4257</v>
      </c>
      <c r="F1237" s="3">
        <v>441</v>
      </c>
      <c r="G1237" s="4">
        <v>41244.529861111114</v>
      </c>
      <c r="H1237" s="3">
        <v>4</v>
      </c>
      <c r="I1237" s="5">
        <v>12</v>
      </c>
      <c r="J1237" t="s">
        <v>205</v>
      </c>
      <c r="K1237" t="s">
        <v>4498</v>
      </c>
      <c r="L1237">
        <v>536531</v>
      </c>
      <c r="M1237" s="2">
        <v>22768</v>
      </c>
      <c r="N1237">
        <v>9.9499999999999993</v>
      </c>
      <c r="O1237" s="6">
        <v>6</v>
      </c>
      <c r="P1237" s="3">
        <v>7.0000000000000007E-2</v>
      </c>
      <c r="Q1237" t="s">
        <v>7</v>
      </c>
      <c r="R1237" s="7">
        <f t="shared" si="57"/>
        <v>59.699999999999996</v>
      </c>
      <c r="S1237" s="7">
        <f t="shared" si="58"/>
        <v>4.1790000000000003</v>
      </c>
      <c r="T1237">
        <f>Table1[[#This Row],[Total price]]-Table1[[#This Row],[Discount Amount]]</f>
        <v>55.520999999999994</v>
      </c>
      <c r="U1237">
        <f t="shared" si="59"/>
        <v>333.12599999999998</v>
      </c>
    </row>
    <row r="1238" spans="1:21">
      <c r="A1238">
        <v>1237</v>
      </c>
      <c r="B1238" s="3" t="s">
        <v>1281</v>
      </c>
      <c r="C1238" s="3" t="s">
        <v>1280</v>
      </c>
      <c r="D1238" s="3" t="s">
        <v>2866</v>
      </c>
      <c r="E1238" s="3" t="s">
        <v>4258</v>
      </c>
      <c r="F1238" s="3">
        <v>441</v>
      </c>
      <c r="G1238" s="4">
        <v>41244.529861111114</v>
      </c>
      <c r="H1238" s="3">
        <v>1</v>
      </c>
      <c r="I1238" s="5">
        <v>15</v>
      </c>
      <c r="J1238" t="s">
        <v>573</v>
      </c>
      <c r="K1238" t="s">
        <v>4500</v>
      </c>
      <c r="L1238">
        <v>536532</v>
      </c>
      <c r="M1238" s="2">
        <v>84692</v>
      </c>
      <c r="N1238">
        <v>0.42</v>
      </c>
      <c r="O1238" s="6">
        <v>50</v>
      </c>
      <c r="P1238" s="3">
        <v>0.1</v>
      </c>
      <c r="Q1238" t="s">
        <v>7</v>
      </c>
      <c r="R1238" s="7">
        <f t="shared" si="57"/>
        <v>21</v>
      </c>
      <c r="S1238" s="7">
        <f t="shared" si="58"/>
        <v>2.1</v>
      </c>
      <c r="T1238">
        <f>Table1[[#This Row],[Total price]]-Table1[[#This Row],[Discount Amount]]</f>
        <v>18.899999999999999</v>
      </c>
      <c r="U1238">
        <f t="shared" si="59"/>
        <v>944.99999999999989</v>
      </c>
    </row>
    <row r="1239" spans="1:21">
      <c r="A1239">
        <v>1238</v>
      </c>
      <c r="B1239" s="3" t="s">
        <v>1279</v>
      </c>
      <c r="C1239" s="3" t="s">
        <v>1278</v>
      </c>
      <c r="D1239" s="3" t="s">
        <v>2866</v>
      </c>
      <c r="E1239" s="3" t="s">
        <v>4259</v>
      </c>
      <c r="F1239" s="3">
        <v>442</v>
      </c>
      <c r="G1239" s="4">
        <v>41244.529861111114</v>
      </c>
      <c r="H1239" s="3">
        <v>1</v>
      </c>
      <c r="I1239" s="5">
        <v>16</v>
      </c>
      <c r="J1239" t="s">
        <v>192</v>
      </c>
      <c r="K1239" t="s">
        <v>4500</v>
      </c>
      <c r="L1239">
        <v>536532</v>
      </c>
      <c r="M1239" s="2">
        <v>22444</v>
      </c>
      <c r="N1239">
        <v>1.06</v>
      </c>
      <c r="O1239" s="6">
        <v>96</v>
      </c>
      <c r="P1239" s="3">
        <v>7.0000000000000007E-2</v>
      </c>
      <c r="Q1239" t="s">
        <v>5</v>
      </c>
      <c r="R1239" s="7">
        <f t="shared" si="57"/>
        <v>101.76</v>
      </c>
      <c r="S1239" s="7">
        <f t="shared" si="58"/>
        <v>7.1232000000000006</v>
      </c>
      <c r="T1239">
        <f>Table1[[#This Row],[Total price]]-Table1[[#This Row],[Discount Amount]]</f>
        <v>94.636800000000008</v>
      </c>
      <c r="U1239">
        <f t="shared" si="59"/>
        <v>9085.1328000000012</v>
      </c>
    </row>
    <row r="1240" spans="1:21">
      <c r="A1240">
        <v>1239</v>
      </c>
      <c r="B1240" s="3" t="s">
        <v>1277</v>
      </c>
      <c r="C1240" s="3" t="s">
        <v>1050</v>
      </c>
      <c r="D1240" s="3" t="s">
        <v>2866</v>
      </c>
      <c r="E1240" s="3" t="s">
        <v>4260</v>
      </c>
      <c r="F1240" s="3">
        <v>442</v>
      </c>
      <c r="G1240" s="4">
        <v>41244.529861111114</v>
      </c>
      <c r="H1240" s="3">
        <v>2</v>
      </c>
      <c r="I1240" s="5">
        <v>26</v>
      </c>
      <c r="J1240" t="s">
        <v>459</v>
      </c>
      <c r="K1240" t="s">
        <v>4500</v>
      </c>
      <c r="L1240">
        <v>536532</v>
      </c>
      <c r="M1240" s="2">
        <v>22899</v>
      </c>
      <c r="N1240">
        <v>2.1</v>
      </c>
      <c r="O1240" s="6">
        <v>8</v>
      </c>
      <c r="P1240" s="3">
        <v>0.2</v>
      </c>
      <c r="Q1240" t="s">
        <v>5</v>
      </c>
      <c r="R1240" s="7">
        <f t="shared" si="57"/>
        <v>16.8</v>
      </c>
      <c r="S1240" s="7">
        <f t="shared" si="58"/>
        <v>3.3600000000000003</v>
      </c>
      <c r="T1240">
        <f>Table1[[#This Row],[Total price]]-Table1[[#This Row],[Discount Amount]]</f>
        <v>13.440000000000001</v>
      </c>
      <c r="U1240">
        <f t="shared" si="59"/>
        <v>107.52000000000001</v>
      </c>
    </row>
    <row r="1241" spans="1:21">
      <c r="A1241">
        <v>1240</v>
      </c>
      <c r="B1241" s="3" t="s">
        <v>1276</v>
      </c>
      <c r="C1241" s="3" t="s">
        <v>1275</v>
      </c>
      <c r="D1241" s="3" t="s">
        <v>2866</v>
      </c>
      <c r="E1241" s="3" t="s">
        <v>4261</v>
      </c>
      <c r="F1241" s="3">
        <v>442</v>
      </c>
      <c r="G1241" s="4">
        <v>41244.529861111114</v>
      </c>
      <c r="H1241" s="3">
        <v>2</v>
      </c>
      <c r="I1241" s="5">
        <v>6</v>
      </c>
      <c r="J1241" t="s">
        <v>64</v>
      </c>
      <c r="K1241" t="s">
        <v>4500</v>
      </c>
      <c r="L1241">
        <v>536532</v>
      </c>
      <c r="M1241" s="2">
        <v>21156</v>
      </c>
      <c r="N1241">
        <v>1.95</v>
      </c>
      <c r="O1241" s="6">
        <v>8</v>
      </c>
      <c r="P1241" s="3">
        <v>0.2</v>
      </c>
      <c r="Q1241" t="s">
        <v>5</v>
      </c>
      <c r="R1241" s="7">
        <f t="shared" si="57"/>
        <v>15.6</v>
      </c>
      <c r="S1241" s="7">
        <f t="shared" si="58"/>
        <v>3.12</v>
      </c>
      <c r="T1241">
        <f>Table1[[#This Row],[Total price]]-Table1[[#This Row],[Discount Amount]]</f>
        <v>12.48</v>
      </c>
      <c r="U1241">
        <f t="shared" si="59"/>
        <v>99.84</v>
      </c>
    </row>
    <row r="1242" spans="1:21">
      <c r="A1242">
        <v>1241</v>
      </c>
      <c r="B1242" s="3" t="s">
        <v>1274</v>
      </c>
      <c r="C1242" s="3" t="s">
        <v>1273</v>
      </c>
      <c r="D1242" s="3" t="s">
        <v>2866</v>
      </c>
      <c r="E1242" s="3" t="s">
        <v>4262</v>
      </c>
      <c r="F1242" s="3">
        <v>443</v>
      </c>
      <c r="G1242" s="4">
        <v>41244.529861111114</v>
      </c>
      <c r="H1242" s="3">
        <v>2</v>
      </c>
      <c r="I1242" s="5">
        <v>5</v>
      </c>
      <c r="J1242" t="s">
        <v>209</v>
      </c>
      <c r="K1242" t="s">
        <v>4500</v>
      </c>
      <c r="L1242">
        <v>536532</v>
      </c>
      <c r="M1242" s="2">
        <v>22556</v>
      </c>
      <c r="N1242">
        <v>1.65</v>
      </c>
      <c r="O1242" s="6">
        <v>24</v>
      </c>
      <c r="P1242" s="3">
        <v>0.05</v>
      </c>
      <c r="Q1242" t="s">
        <v>5</v>
      </c>
      <c r="R1242" s="7">
        <f t="shared" si="57"/>
        <v>39.599999999999994</v>
      </c>
      <c r="S1242" s="7">
        <f t="shared" si="58"/>
        <v>1.9799999999999998</v>
      </c>
      <c r="T1242">
        <f>Table1[[#This Row],[Total price]]-Table1[[#This Row],[Discount Amount]]</f>
        <v>37.619999999999997</v>
      </c>
      <c r="U1242">
        <f t="shared" si="59"/>
        <v>902.87999999999988</v>
      </c>
    </row>
    <row r="1243" spans="1:21">
      <c r="A1243">
        <v>1242</v>
      </c>
      <c r="B1243" s="3" t="s">
        <v>1272</v>
      </c>
      <c r="C1243" s="3" t="s">
        <v>1060</v>
      </c>
      <c r="D1243" s="3" t="s">
        <v>2866</v>
      </c>
      <c r="E1243" s="3" t="s">
        <v>4263</v>
      </c>
      <c r="F1243" s="3">
        <v>443</v>
      </c>
      <c r="G1243" s="4">
        <v>41244.529861111114</v>
      </c>
      <c r="H1243" s="3">
        <v>2</v>
      </c>
      <c r="I1243" s="5">
        <v>26</v>
      </c>
      <c r="J1243" t="s">
        <v>365</v>
      </c>
      <c r="K1243" t="s">
        <v>4500</v>
      </c>
      <c r="L1243">
        <v>536532</v>
      </c>
      <c r="M1243" s="2">
        <v>22555</v>
      </c>
      <c r="N1243">
        <v>1.65</v>
      </c>
      <c r="O1243" s="6">
        <v>36</v>
      </c>
      <c r="P1243" s="3">
        <v>0.2</v>
      </c>
      <c r="Q1243" t="s">
        <v>5</v>
      </c>
      <c r="R1243" s="7">
        <f t="shared" si="57"/>
        <v>59.4</v>
      </c>
      <c r="S1243" s="7">
        <f t="shared" si="58"/>
        <v>11.88</v>
      </c>
      <c r="T1243">
        <f>Table1[[#This Row],[Total price]]-Table1[[#This Row],[Discount Amount]]</f>
        <v>47.519999999999996</v>
      </c>
      <c r="U1243">
        <f t="shared" si="59"/>
        <v>1710.7199999999998</v>
      </c>
    </row>
    <row r="1244" spans="1:21">
      <c r="A1244">
        <v>1243</v>
      </c>
      <c r="B1244" s="3" t="s">
        <v>1271</v>
      </c>
      <c r="C1244" s="3" t="s">
        <v>1270</v>
      </c>
      <c r="D1244" s="3" t="s">
        <v>2866</v>
      </c>
      <c r="E1244" s="3" t="s">
        <v>4264</v>
      </c>
      <c r="F1244" s="3">
        <v>444</v>
      </c>
      <c r="G1244" s="4">
        <v>41244.529861111114</v>
      </c>
      <c r="H1244" s="3">
        <v>2</v>
      </c>
      <c r="I1244" s="5">
        <v>22</v>
      </c>
      <c r="J1244" t="s">
        <v>508</v>
      </c>
      <c r="K1244" t="s">
        <v>4500</v>
      </c>
      <c r="L1244">
        <v>536532</v>
      </c>
      <c r="M1244" s="2">
        <v>22554</v>
      </c>
      <c r="N1244">
        <v>1.65</v>
      </c>
      <c r="O1244" s="6">
        <v>24</v>
      </c>
      <c r="P1244" s="3">
        <v>7.0000000000000007E-2</v>
      </c>
      <c r="Q1244" t="s">
        <v>5</v>
      </c>
      <c r="R1244" s="7">
        <f t="shared" si="57"/>
        <v>39.599999999999994</v>
      </c>
      <c r="S1244" s="7">
        <f t="shared" si="58"/>
        <v>2.7719999999999998</v>
      </c>
      <c r="T1244">
        <f>Table1[[#This Row],[Total price]]-Table1[[#This Row],[Discount Amount]]</f>
        <v>36.827999999999996</v>
      </c>
      <c r="U1244">
        <f t="shared" si="59"/>
        <v>883.87199999999984</v>
      </c>
    </row>
    <row r="1245" spans="1:21">
      <c r="A1245">
        <v>1244</v>
      </c>
      <c r="B1245" s="3" t="s">
        <v>1269</v>
      </c>
      <c r="C1245" s="3" t="s">
        <v>1268</v>
      </c>
      <c r="D1245" s="3" t="s">
        <v>2866</v>
      </c>
      <c r="E1245" s="3" t="s">
        <v>4265</v>
      </c>
      <c r="F1245" s="3">
        <v>444</v>
      </c>
      <c r="G1245" s="4">
        <v>41244.529861111114</v>
      </c>
      <c r="H1245" s="3">
        <v>2</v>
      </c>
      <c r="I1245" s="5">
        <v>15</v>
      </c>
      <c r="J1245" t="s">
        <v>190</v>
      </c>
      <c r="K1245" t="s">
        <v>4500</v>
      </c>
      <c r="L1245">
        <v>536532</v>
      </c>
      <c r="M1245" s="2">
        <v>22553</v>
      </c>
      <c r="N1245">
        <v>1.65</v>
      </c>
      <c r="O1245" s="6">
        <v>24</v>
      </c>
      <c r="P1245" s="3">
        <v>7.0000000000000007E-2</v>
      </c>
      <c r="Q1245" t="s">
        <v>5</v>
      </c>
      <c r="R1245" s="7">
        <f t="shared" si="57"/>
        <v>39.599999999999994</v>
      </c>
      <c r="S1245" s="7">
        <f t="shared" si="58"/>
        <v>2.7719999999999998</v>
      </c>
      <c r="T1245">
        <f>Table1[[#This Row],[Total price]]-Table1[[#This Row],[Discount Amount]]</f>
        <v>36.827999999999996</v>
      </c>
      <c r="U1245">
        <f t="shared" si="59"/>
        <v>883.87199999999984</v>
      </c>
    </row>
    <row r="1246" spans="1:21">
      <c r="A1246">
        <v>1245</v>
      </c>
      <c r="B1246" s="3" t="s">
        <v>1267</v>
      </c>
      <c r="C1246" s="3" t="s">
        <v>1266</v>
      </c>
      <c r="D1246" s="3" t="s">
        <v>4266</v>
      </c>
      <c r="E1246" s="3" t="s">
        <v>4267</v>
      </c>
      <c r="F1246" s="3">
        <v>444</v>
      </c>
      <c r="G1246" s="4">
        <v>41244.529861111114</v>
      </c>
      <c r="H1246" s="3">
        <v>2</v>
      </c>
      <c r="I1246" s="5">
        <v>20</v>
      </c>
      <c r="J1246" t="s">
        <v>191</v>
      </c>
      <c r="K1246" t="s">
        <v>4500</v>
      </c>
      <c r="L1246">
        <v>536532</v>
      </c>
      <c r="M1246" s="2">
        <v>22551</v>
      </c>
      <c r="N1246">
        <v>1.65</v>
      </c>
      <c r="O1246" s="6">
        <v>24</v>
      </c>
      <c r="P1246" s="3">
        <v>0.05</v>
      </c>
      <c r="Q1246" t="s">
        <v>5</v>
      </c>
      <c r="R1246" s="7">
        <f t="shared" si="57"/>
        <v>39.599999999999994</v>
      </c>
      <c r="S1246" s="7">
        <f t="shared" si="58"/>
        <v>1.9799999999999998</v>
      </c>
      <c r="T1246">
        <f>Table1[[#This Row],[Total price]]-Table1[[#This Row],[Discount Amount]]</f>
        <v>37.619999999999997</v>
      </c>
      <c r="U1246">
        <f t="shared" si="59"/>
        <v>902.87999999999988</v>
      </c>
    </row>
    <row r="1247" spans="1:21">
      <c r="A1247">
        <v>1246</v>
      </c>
      <c r="B1247" s="3" t="s">
        <v>1265</v>
      </c>
      <c r="C1247" s="3" t="s">
        <v>1264</v>
      </c>
      <c r="D1247" s="3" t="s">
        <v>2866</v>
      </c>
      <c r="E1247" s="3" t="s">
        <v>4268</v>
      </c>
      <c r="F1247" s="3">
        <v>444</v>
      </c>
      <c r="G1247" s="4">
        <v>41244.529861111114</v>
      </c>
      <c r="H1247" s="3">
        <v>2</v>
      </c>
      <c r="I1247" s="5">
        <v>16</v>
      </c>
      <c r="J1247" t="s">
        <v>550</v>
      </c>
      <c r="K1247" t="s">
        <v>4500</v>
      </c>
      <c r="L1247">
        <v>536532</v>
      </c>
      <c r="M1247" s="2">
        <v>22547</v>
      </c>
      <c r="N1247">
        <v>0.42</v>
      </c>
      <c r="O1247" s="6">
        <v>24</v>
      </c>
      <c r="P1247" s="3">
        <v>0.1</v>
      </c>
      <c r="Q1247" t="s">
        <v>5</v>
      </c>
      <c r="R1247" s="7">
        <f t="shared" si="57"/>
        <v>10.08</v>
      </c>
      <c r="S1247" s="7">
        <f t="shared" si="58"/>
        <v>1.008</v>
      </c>
      <c r="T1247">
        <f>Table1[[#This Row],[Total price]]-Table1[[#This Row],[Discount Amount]]</f>
        <v>9.0719999999999992</v>
      </c>
      <c r="U1247">
        <f t="shared" si="59"/>
        <v>217.72799999999998</v>
      </c>
    </row>
    <row r="1248" spans="1:21">
      <c r="A1248">
        <v>1247</v>
      </c>
      <c r="B1248" s="3" t="s">
        <v>1263</v>
      </c>
      <c r="C1248" s="3" t="s">
        <v>1262</v>
      </c>
      <c r="D1248" s="3" t="s">
        <v>2866</v>
      </c>
      <c r="E1248" s="3" t="s">
        <v>4269</v>
      </c>
      <c r="F1248" s="3">
        <v>444</v>
      </c>
      <c r="G1248" s="4">
        <v>41244.529861111114</v>
      </c>
      <c r="H1248" s="3">
        <v>2</v>
      </c>
      <c r="I1248" s="5">
        <v>10</v>
      </c>
      <c r="J1248" t="s">
        <v>258</v>
      </c>
      <c r="K1248" t="s">
        <v>4500</v>
      </c>
      <c r="L1248">
        <v>536532</v>
      </c>
      <c r="M1248" s="2">
        <v>22544</v>
      </c>
      <c r="N1248">
        <v>0.42</v>
      </c>
      <c r="O1248" s="6">
        <v>24</v>
      </c>
      <c r="P1248" s="3">
        <v>0.2</v>
      </c>
      <c r="Q1248" t="s">
        <v>5</v>
      </c>
      <c r="R1248" s="7">
        <f t="shared" si="57"/>
        <v>10.08</v>
      </c>
      <c r="S1248" s="7">
        <f t="shared" si="58"/>
        <v>2.016</v>
      </c>
      <c r="T1248">
        <f>Table1[[#This Row],[Total price]]-Table1[[#This Row],[Discount Amount]]</f>
        <v>8.0640000000000001</v>
      </c>
      <c r="U1248">
        <f t="shared" si="59"/>
        <v>193.536</v>
      </c>
    </row>
    <row r="1249" spans="1:21">
      <c r="A1249">
        <v>1248</v>
      </c>
      <c r="B1249" s="3" t="s">
        <v>1261</v>
      </c>
      <c r="C1249" s="3" t="s">
        <v>987</v>
      </c>
      <c r="D1249" s="3" t="s">
        <v>2866</v>
      </c>
      <c r="E1249" s="3" t="s">
        <v>4270</v>
      </c>
      <c r="F1249" s="3">
        <v>445</v>
      </c>
      <c r="G1249" s="4">
        <v>41244.529861111114</v>
      </c>
      <c r="H1249" s="3">
        <v>2</v>
      </c>
      <c r="I1249" s="5">
        <v>7</v>
      </c>
      <c r="J1249" t="s">
        <v>675</v>
      </c>
      <c r="K1249" t="s">
        <v>4500</v>
      </c>
      <c r="L1249">
        <v>536532</v>
      </c>
      <c r="M1249" s="2">
        <v>22543</v>
      </c>
      <c r="N1249">
        <v>0.42</v>
      </c>
      <c r="O1249" s="6">
        <v>24</v>
      </c>
      <c r="P1249" s="3">
        <v>0.2</v>
      </c>
      <c r="Q1249" t="s">
        <v>5</v>
      </c>
      <c r="R1249" s="7">
        <f t="shared" si="57"/>
        <v>10.08</v>
      </c>
      <c r="S1249" s="7">
        <f t="shared" si="58"/>
        <v>2.016</v>
      </c>
      <c r="T1249">
        <f>Table1[[#This Row],[Total price]]-Table1[[#This Row],[Discount Amount]]</f>
        <v>8.0640000000000001</v>
      </c>
      <c r="U1249">
        <f t="shared" si="59"/>
        <v>193.536</v>
      </c>
    </row>
    <row r="1250" spans="1:21">
      <c r="A1250">
        <v>1249</v>
      </c>
      <c r="B1250" s="3" t="s">
        <v>1260</v>
      </c>
      <c r="C1250" s="3" t="s">
        <v>1259</v>
      </c>
      <c r="D1250" s="3" t="s">
        <v>2866</v>
      </c>
      <c r="E1250" s="3" t="s">
        <v>4271</v>
      </c>
      <c r="F1250" s="3">
        <v>445</v>
      </c>
      <c r="G1250" s="4">
        <v>41244.529861111114</v>
      </c>
      <c r="H1250" s="3">
        <v>2</v>
      </c>
      <c r="I1250" s="5">
        <v>16</v>
      </c>
      <c r="J1250" t="s">
        <v>617</v>
      </c>
      <c r="K1250" t="s">
        <v>4500</v>
      </c>
      <c r="L1250">
        <v>536532</v>
      </c>
      <c r="M1250" s="2">
        <v>22540</v>
      </c>
      <c r="N1250">
        <v>0.42</v>
      </c>
      <c r="O1250" s="6">
        <v>24</v>
      </c>
      <c r="P1250" s="3">
        <v>7.0000000000000007E-2</v>
      </c>
      <c r="Q1250" t="s">
        <v>5</v>
      </c>
      <c r="R1250" s="7">
        <f t="shared" si="57"/>
        <v>10.08</v>
      </c>
      <c r="S1250" s="7">
        <f t="shared" si="58"/>
        <v>0.70560000000000012</v>
      </c>
      <c r="T1250">
        <f>Table1[[#This Row],[Total price]]-Table1[[#This Row],[Discount Amount]]</f>
        <v>9.3743999999999996</v>
      </c>
      <c r="U1250">
        <f t="shared" si="59"/>
        <v>224.98559999999998</v>
      </c>
    </row>
    <row r="1251" spans="1:21">
      <c r="A1251">
        <v>1250</v>
      </c>
      <c r="B1251" s="3" t="s">
        <v>1258</v>
      </c>
      <c r="C1251" s="3" t="s">
        <v>1257</v>
      </c>
      <c r="D1251" s="3" t="s">
        <v>2866</v>
      </c>
      <c r="E1251" s="3" t="s">
        <v>4272</v>
      </c>
      <c r="F1251" s="3">
        <v>445</v>
      </c>
      <c r="G1251" s="4">
        <v>41244.529861111114</v>
      </c>
      <c r="H1251" s="3">
        <v>2</v>
      </c>
      <c r="I1251" s="5">
        <v>23</v>
      </c>
      <c r="J1251" t="s">
        <v>270</v>
      </c>
      <c r="K1251" t="s">
        <v>4500</v>
      </c>
      <c r="L1251">
        <v>536532</v>
      </c>
      <c r="M1251" s="2">
        <v>22539</v>
      </c>
      <c r="N1251">
        <v>0.42</v>
      </c>
      <c r="O1251" s="6">
        <v>24</v>
      </c>
      <c r="P1251" s="3">
        <v>0.2</v>
      </c>
      <c r="Q1251" t="s">
        <v>5</v>
      </c>
      <c r="R1251" s="7">
        <f t="shared" si="57"/>
        <v>10.08</v>
      </c>
      <c r="S1251" s="7">
        <f t="shared" si="58"/>
        <v>2.016</v>
      </c>
      <c r="T1251">
        <f>Table1[[#This Row],[Total price]]-Table1[[#This Row],[Discount Amount]]</f>
        <v>8.0640000000000001</v>
      </c>
      <c r="U1251">
        <f t="shared" si="59"/>
        <v>193.536</v>
      </c>
    </row>
    <row r="1252" spans="1:21">
      <c r="A1252">
        <v>1251</v>
      </c>
      <c r="B1252" s="3" t="s">
        <v>1005</v>
      </c>
      <c r="C1252" s="3" t="s">
        <v>1256</v>
      </c>
      <c r="D1252" s="3" t="s">
        <v>2866</v>
      </c>
      <c r="E1252" s="3" t="s">
        <v>4273</v>
      </c>
      <c r="F1252" s="3">
        <v>446</v>
      </c>
      <c r="G1252" s="4">
        <v>41244.529861111114</v>
      </c>
      <c r="H1252" s="3">
        <v>2</v>
      </c>
      <c r="I1252" s="5">
        <v>22</v>
      </c>
      <c r="J1252" t="s">
        <v>374</v>
      </c>
      <c r="K1252" t="s">
        <v>4500</v>
      </c>
      <c r="L1252">
        <v>536532</v>
      </c>
      <c r="M1252" s="2">
        <v>22534</v>
      </c>
      <c r="N1252">
        <v>0.42</v>
      </c>
      <c r="O1252" s="6">
        <v>24</v>
      </c>
      <c r="P1252" s="3">
        <v>0.2</v>
      </c>
      <c r="Q1252" t="s">
        <v>5</v>
      </c>
      <c r="R1252" s="7">
        <f t="shared" si="57"/>
        <v>10.08</v>
      </c>
      <c r="S1252" s="7">
        <f t="shared" si="58"/>
        <v>2.016</v>
      </c>
      <c r="T1252">
        <f>Table1[[#This Row],[Total price]]-Table1[[#This Row],[Discount Amount]]</f>
        <v>8.0640000000000001</v>
      </c>
      <c r="U1252">
        <f t="shared" si="59"/>
        <v>193.536</v>
      </c>
    </row>
    <row r="1253" spans="1:21">
      <c r="A1253">
        <v>1252</v>
      </c>
      <c r="B1253" s="3" t="s">
        <v>1255</v>
      </c>
      <c r="C1253" s="3" t="s">
        <v>902</v>
      </c>
      <c r="D1253" s="3" t="s">
        <v>2866</v>
      </c>
      <c r="E1253" s="3" t="s">
        <v>4274</v>
      </c>
      <c r="F1253" s="3">
        <v>446</v>
      </c>
      <c r="G1253" s="4">
        <v>41244.529861111114</v>
      </c>
      <c r="H1253" s="3">
        <v>2</v>
      </c>
      <c r="I1253" s="5">
        <v>16</v>
      </c>
      <c r="J1253" t="s">
        <v>318</v>
      </c>
      <c r="K1253" t="s">
        <v>4500</v>
      </c>
      <c r="L1253">
        <v>536532</v>
      </c>
      <c r="M1253" s="2">
        <v>22530</v>
      </c>
      <c r="N1253">
        <v>0.42</v>
      </c>
      <c r="O1253" s="6">
        <v>24</v>
      </c>
      <c r="P1253" s="3">
        <v>7.0000000000000007E-2</v>
      </c>
      <c r="Q1253" t="s">
        <v>5</v>
      </c>
      <c r="R1253" s="7">
        <f t="shared" si="57"/>
        <v>10.08</v>
      </c>
      <c r="S1253" s="7">
        <f t="shared" si="58"/>
        <v>0.70560000000000012</v>
      </c>
      <c r="T1253">
        <f>Table1[[#This Row],[Total price]]-Table1[[#This Row],[Discount Amount]]</f>
        <v>9.3743999999999996</v>
      </c>
      <c r="U1253">
        <f t="shared" si="59"/>
        <v>224.98559999999998</v>
      </c>
    </row>
    <row r="1254" spans="1:21">
      <c r="A1254">
        <v>1253</v>
      </c>
      <c r="B1254" s="3" t="s">
        <v>1254</v>
      </c>
      <c r="C1254" s="3" t="s">
        <v>992</v>
      </c>
      <c r="D1254" s="3" t="s">
        <v>2866</v>
      </c>
      <c r="E1254" s="3" t="s">
        <v>4275</v>
      </c>
      <c r="F1254" s="3">
        <v>447</v>
      </c>
      <c r="G1254" s="4">
        <v>41244.529861111114</v>
      </c>
      <c r="H1254" s="3">
        <v>1</v>
      </c>
      <c r="I1254" s="5">
        <v>4</v>
      </c>
      <c r="J1254" t="s">
        <v>319</v>
      </c>
      <c r="K1254" t="s">
        <v>4500</v>
      </c>
      <c r="L1254">
        <v>536532</v>
      </c>
      <c r="M1254" s="2">
        <v>22531</v>
      </c>
      <c r="N1254">
        <v>0.42</v>
      </c>
      <c r="O1254" s="6">
        <v>24</v>
      </c>
      <c r="P1254" s="3">
        <v>0.05</v>
      </c>
      <c r="Q1254" t="s">
        <v>5</v>
      </c>
      <c r="R1254" s="7">
        <f t="shared" si="57"/>
        <v>10.08</v>
      </c>
      <c r="S1254" s="7">
        <f t="shared" si="58"/>
        <v>0.504</v>
      </c>
      <c r="T1254">
        <f>Table1[[#This Row],[Total price]]-Table1[[#This Row],[Discount Amount]]</f>
        <v>9.5760000000000005</v>
      </c>
      <c r="U1254">
        <f t="shared" si="59"/>
        <v>229.82400000000001</v>
      </c>
    </row>
    <row r="1255" spans="1:21">
      <c r="A1255">
        <v>1254</v>
      </c>
      <c r="B1255" s="3" t="s">
        <v>1253</v>
      </c>
      <c r="C1255" s="3" t="s">
        <v>1252</v>
      </c>
      <c r="D1255" s="3" t="s">
        <v>2866</v>
      </c>
      <c r="E1255" s="3" t="s">
        <v>4276</v>
      </c>
      <c r="F1255" s="3">
        <v>447</v>
      </c>
      <c r="G1255" s="4">
        <v>41244.529861111114</v>
      </c>
      <c r="H1255" s="3">
        <v>1</v>
      </c>
      <c r="I1255" s="5">
        <v>3</v>
      </c>
      <c r="J1255" t="s">
        <v>61</v>
      </c>
      <c r="K1255" t="s">
        <v>4500</v>
      </c>
      <c r="L1255">
        <v>536532</v>
      </c>
      <c r="M1255" s="2">
        <v>22561</v>
      </c>
      <c r="N1255">
        <v>1.65</v>
      </c>
      <c r="O1255" s="6">
        <v>24</v>
      </c>
      <c r="P1255" s="3">
        <v>0.1</v>
      </c>
      <c r="Q1255" t="s">
        <v>5</v>
      </c>
      <c r="R1255" s="7">
        <f t="shared" si="57"/>
        <v>39.599999999999994</v>
      </c>
      <c r="S1255" s="7">
        <f t="shared" si="58"/>
        <v>3.9599999999999995</v>
      </c>
      <c r="T1255">
        <f>Table1[[#This Row],[Total price]]-Table1[[#This Row],[Discount Amount]]</f>
        <v>35.639999999999993</v>
      </c>
      <c r="U1255">
        <f t="shared" si="59"/>
        <v>855.3599999999999</v>
      </c>
    </row>
    <row r="1256" spans="1:21">
      <c r="A1256">
        <v>1255</v>
      </c>
      <c r="B1256" s="3" t="s">
        <v>1251</v>
      </c>
      <c r="C1256" s="3" t="s">
        <v>1250</v>
      </c>
      <c r="D1256" s="3" t="s">
        <v>2866</v>
      </c>
      <c r="E1256" s="3" t="s">
        <v>4277</v>
      </c>
      <c r="F1256" s="3">
        <v>447</v>
      </c>
      <c r="G1256" s="4">
        <v>41244.529861111114</v>
      </c>
      <c r="H1256" s="3">
        <v>1</v>
      </c>
      <c r="I1256" s="5">
        <v>8</v>
      </c>
      <c r="J1256" t="s">
        <v>525</v>
      </c>
      <c r="K1256" t="s">
        <v>4500</v>
      </c>
      <c r="L1256">
        <v>536532</v>
      </c>
      <c r="M1256" s="2">
        <v>22489</v>
      </c>
      <c r="N1256">
        <v>0.42</v>
      </c>
      <c r="O1256" s="6">
        <v>24</v>
      </c>
      <c r="P1256" s="3">
        <v>7.0000000000000007E-2</v>
      </c>
      <c r="Q1256" t="s">
        <v>5</v>
      </c>
      <c r="R1256" s="7">
        <f t="shared" si="57"/>
        <v>10.08</v>
      </c>
      <c r="S1256" s="7">
        <f t="shared" si="58"/>
        <v>0.70560000000000012</v>
      </c>
      <c r="T1256">
        <f>Table1[[#This Row],[Total price]]-Table1[[#This Row],[Discount Amount]]</f>
        <v>9.3743999999999996</v>
      </c>
      <c r="U1256">
        <f t="shared" si="59"/>
        <v>224.98559999999998</v>
      </c>
    </row>
    <row r="1257" spans="1:21">
      <c r="A1257">
        <v>1256</v>
      </c>
      <c r="B1257" s="3" t="s">
        <v>1249</v>
      </c>
      <c r="C1257" s="3" t="s">
        <v>1185</v>
      </c>
      <c r="D1257" s="3" t="s">
        <v>2866</v>
      </c>
      <c r="E1257" s="3" t="s">
        <v>4278</v>
      </c>
      <c r="F1257" s="3">
        <v>448</v>
      </c>
      <c r="G1257" s="4">
        <v>41244.529861111114</v>
      </c>
      <c r="H1257" s="3">
        <v>1</v>
      </c>
      <c r="I1257" s="5">
        <v>13</v>
      </c>
      <c r="J1257" t="s">
        <v>312</v>
      </c>
      <c r="K1257" t="s">
        <v>4500</v>
      </c>
      <c r="L1257">
        <v>536532</v>
      </c>
      <c r="M1257" s="2">
        <v>22814</v>
      </c>
      <c r="N1257">
        <v>0.42</v>
      </c>
      <c r="O1257" s="6">
        <v>12</v>
      </c>
      <c r="P1257" s="3">
        <v>0.05</v>
      </c>
      <c r="Q1257" t="s">
        <v>5</v>
      </c>
      <c r="R1257" s="7">
        <f t="shared" si="57"/>
        <v>5.04</v>
      </c>
      <c r="S1257" s="7">
        <f t="shared" si="58"/>
        <v>0.252</v>
      </c>
      <c r="T1257">
        <f>Table1[[#This Row],[Total price]]-Table1[[#This Row],[Discount Amount]]</f>
        <v>4.7880000000000003</v>
      </c>
      <c r="U1257">
        <f t="shared" si="59"/>
        <v>57.456000000000003</v>
      </c>
    </row>
    <row r="1258" spans="1:21">
      <c r="A1258">
        <v>1257</v>
      </c>
      <c r="B1258" s="3" t="s">
        <v>1248</v>
      </c>
      <c r="C1258" s="3" t="s">
        <v>1247</v>
      </c>
      <c r="D1258" s="3" t="s">
        <v>2866</v>
      </c>
      <c r="E1258" s="3" t="s">
        <v>4279</v>
      </c>
      <c r="F1258" s="3">
        <v>448</v>
      </c>
      <c r="G1258" s="4">
        <v>41244.529861111114</v>
      </c>
      <c r="H1258" s="3">
        <v>1</v>
      </c>
      <c r="I1258" s="5">
        <v>6</v>
      </c>
      <c r="J1258" t="s">
        <v>815</v>
      </c>
      <c r="K1258" t="s">
        <v>4500</v>
      </c>
      <c r="L1258">
        <v>536532</v>
      </c>
      <c r="M1258" s="2">
        <v>21520</v>
      </c>
      <c r="N1258">
        <v>0.42</v>
      </c>
      <c r="O1258" s="6">
        <v>12</v>
      </c>
      <c r="P1258" s="3">
        <v>0.05</v>
      </c>
      <c r="Q1258" t="s">
        <v>5</v>
      </c>
      <c r="R1258" s="7">
        <f t="shared" si="57"/>
        <v>5.04</v>
      </c>
      <c r="S1258" s="7">
        <f t="shared" si="58"/>
        <v>0.252</v>
      </c>
      <c r="T1258">
        <f>Table1[[#This Row],[Total price]]-Table1[[#This Row],[Discount Amount]]</f>
        <v>4.7880000000000003</v>
      </c>
      <c r="U1258">
        <f t="shared" si="59"/>
        <v>57.456000000000003</v>
      </c>
    </row>
    <row r="1259" spans="1:21">
      <c r="A1259">
        <v>1258</v>
      </c>
      <c r="B1259" s="3" t="s">
        <v>1246</v>
      </c>
      <c r="C1259" s="3" t="s">
        <v>1245</v>
      </c>
      <c r="D1259" s="3" t="s">
        <v>2866</v>
      </c>
      <c r="E1259" s="3" t="s">
        <v>4280</v>
      </c>
      <c r="F1259" s="3">
        <v>449</v>
      </c>
      <c r="G1259" s="4">
        <v>41244.529861111114</v>
      </c>
      <c r="H1259" s="3">
        <v>1</v>
      </c>
      <c r="I1259" s="5">
        <v>17</v>
      </c>
      <c r="J1259" t="s">
        <v>536</v>
      </c>
      <c r="K1259" t="s">
        <v>4500</v>
      </c>
      <c r="L1259">
        <v>536532</v>
      </c>
      <c r="M1259" s="2">
        <v>21506</v>
      </c>
      <c r="N1259">
        <v>0.42</v>
      </c>
      <c r="O1259" s="6">
        <v>12</v>
      </c>
      <c r="P1259" s="3">
        <v>0.05</v>
      </c>
      <c r="Q1259" t="s">
        <v>5</v>
      </c>
      <c r="R1259" s="7">
        <f t="shared" si="57"/>
        <v>5.04</v>
      </c>
      <c r="S1259" s="7">
        <f t="shared" si="58"/>
        <v>0.252</v>
      </c>
      <c r="T1259">
        <f>Table1[[#This Row],[Total price]]-Table1[[#This Row],[Discount Amount]]</f>
        <v>4.7880000000000003</v>
      </c>
      <c r="U1259">
        <f t="shared" si="59"/>
        <v>57.456000000000003</v>
      </c>
    </row>
    <row r="1260" spans="1:21">
      <c r="A1260">
        <v>1259</v>
      </c>
      <c r="B1260" s="3" t="s">
        <v>1244</v>
      </c>
      <c r="C1260" s="3" t="s">
        <v>1243</v>
      </c>
      <c r="D1260" s="3" t="s">
        <v>2866</v>
      </c>
      <c r="E1260" s="3" t="s">
        <v>4281</v>
      </c>
      <c r="F1260" s="3">
        <v>449</v>
      </c>
      <c r="G1260" s="4">
        <v>41244.529861111114</v>
      </c>
      <c r="H1260" s="3">
        <v>1</v>
      </c>
      <c r="I1260" s="5">
        <v>2</v>
      </c>
      <c r="J1260" t="s">
        <v>311</v>
      </c>
      <c r="K1260" t="s">
        <v>4500</v>
      </c>
      <c r="L1260">
        <v>536532</v>
      </c>
      <c r="M1260" s="2">
        <v>22716</v>
      </c>
      <c r="N1260">
        <v>0.42</v>
      </c>
      <c r="O1260" s="6">
        <v>12</v>
      </c>
      <c r="P1260" s="3">
        <v>0.05</v>
      </c>
      <c r="Q1260" t="s">
        <v>5</v>
      </c>
      <c r="R1260" s="7">
        <f t="shared" si="57"/>
        <v>5.04</v>
      </c>
      <c r="S1260" s="7">
        <f t="shared" si="58"/>
        <v>0.252</v>
      </c>
      <c r="T1260">
        <f>Table1[[#This Row],[Total price]]-Table1[[#This Row],[Discount Amount]]</f>
        <v>4.7880000000000003</v>
      </c>
      <c r="U1260">
        <f t="shared" si="59"/>
        <v>57.456000000000003</v>
      </c>
    </row>
    <row r="1261" spans="1:21">
      <c r="A1261">
        <v>1260</v>
      </c>
      <c r="B1261" s="3" t="s">
        <v>1242</v>
      </c>
      <c r="C1261" s="3" t="s">
        <v>1241</v>
      </c>
      <c r="D1261" s="3" t="s">
        <v>2866</v>
      </c>
      <c r="E1261" s="3" t="s">
        <v>4282</v>
      </c>
      <c r="F1261" s="3">
        <v>449</v>
      </c>
      <c r="G1261" s="4">
        <v>41244.529861111114</v>
      </c>
      <c r="H1261" s="3">
        <v>1</v>
      </c>
      <c r="I1261" s="5">
        <v>7</v>
      </c>
      <c r="J1261" t="s">
        <v>158</v>
      </c>
      <c r="K1261" t="s">
        <v>4500</v>
      </c>
      <c r="L1261">
        <v>536532</v>
      </c>
      <c r="M1261" s="2">
        <v>22866</v>
      </c>
      <c r="N1261">
        <v>2.1</v>
      </c>
      <c r="O1261" s="6">
        <v>12</v>
      </c>
      <c r="P1261" s="3">
        <v>7.0000000000000007E-2</v>
      </c>
      <c r="Q1261" t="s">
        <v>5</v>
      </c>
      <c r="R1261" s="7">
        <f t="shared" si="57"/>
        <v>25.200000000000003</v>
      </c>
      <c r="S1261" s="7">
        <f t="shared" si="58"/>
        <v>1.7640000000000005</v>
      </c>
      <c r="T1261">
        <f>Table1[[#This Row],[Total price]]-Table1[[#This Row],[Discount Amount]]</f>
        <v>23.436000000000003</v>
      </c>
      <c r="U1261">
        <f t="shared" si="59"/>
        <v>281.23200000000003</v>
      </c>
    </row>
    <row r="1262" spans="1:21">
      <c r="A1262">
        <v>1261</v>
      </c>
      <c r="B1262" s="3" t="s">
        <v>1240</v>
      </c>
      <c r="C1262" s="3" t="s">
        <v>1239</v>
      </c>
      <c r="D1262" s="3" t="s">
        <v>2866</v>
      </c>
      <c r="E1262" s="3" t="s">
        <v>4283</v>
      </c>
      <c r="F1262" s="3">
        <v>449</v>
      </c>
      <c r="G1262" s="4">
        <v>41244.529861111114</v>
      </c>
      <c r="H1262" s="3">
        <v>1</v>
      </c>
      <c r="I1262" s="5">
        <v>26</v>
      </c>
      <c r="J1262" t="s">
        <v>26</v>
      </c>
      <c r="K1262" t="s">
        <v>4500</v>
      </c>
      <c r="L1262">
        <v>536532</v>
      </c>
      <c r="M1262" s="2">
        <v>22632</v>
      </c>
      <c r="N1262">
        <v>2.1</v>
      </c>
      <c r="O1262" s="6">
        <v>12</v>
      </c>
      <c r="P1262" s="3">
        <v>0.2</v>
      </c>
      <c r="Q1262" t="s">
        <v>5</v>
      </c>
      <c r="R1262" s="7">
        <f t="shared" si="57"/>
        <v>25.200000000000003</v>
      </c>
      <c r="S1262" s="7">
        <f t="shared" si="58"/>
        <v>5.0400000000000009</v>
      </c>
      <c r="T1262">
        <f>Table1[[#This Row],[Total price]]-Table1[[#This Row],[Discount Amount]]</f>
        <v>20.160000000000004</v>
      </c>
      <c r="U1262">
        <f t="shared" si="59"/>
        <v>241.92000000000004</v>
      </c>
    </row>
    <row r="1263" spans="1:21">
      <c r="A1263">
        <v>1262</v>
      </c>
      <c r="B1263" s="3" t="s">
        <v>1238</v>
      </c>
      <c r="C1263" s="3" t="s">
        <v>1237</v>
      </c>
      <c r="D1263" s="3" t="s">
        <v>2866</v>
      </c>
      <c r="E1263" s="3" t="s">
        <v>4284</v>
      </c>
      <c r="F1263" s="3">
        <v>450</v>
      </c>
      <c r="G1263" s="4">
        <v>41244.529861111114</v>
      </c>
      <c r="H1263" s="3">
        <v>1</v>
      </c>
      <c r="I1263" s="5">
        <v>24</v>
      </c>
      <c r="J1263" t="s">
        <v>27</v>
      </c>
      <c r="K1263" t="s">
        <v>4500</v>
      </c>
      <c r="L1263">
        <v>536532</v>
      </c>
      <c r="M1263" s="2">
        <v>22865</v>
      </c>
      <c r="N1263">
        <v>2.1</v>
      </c>
      <c r="O1263" s="6">
        <v>12</v>
      </c>
      <c r="P1263" s="3">
        <v>0.05</v>
      </c>
      <c r="Q1263" t="s">
        <v>5</v>
      </c>
      <c r="R1263" s="7">
        <f t="shared" si="57"/>
        <v>25.200000000000003</v>
      </c>
      <c r="S1263" s="7">
        <f t="shared" si="58"/>
        <v>1.2600000000000002</v>
      </c>
      <c r="T1263">
        <f>Table1[[#This Row],[Total price]]-Table1[[#This Row],[Discount Amount]]</f>
        <v>23.94</v>
      </c>
      <c r="U1263">
        <f t="shared" si="59"/>
        <v>287.28000000000003</v>
      </c>
    </row>
    <row r="1264" spans="1:21">
      <c r="A1264">
        <v>1263</v>
      </c>
      <c r="B1264" s="3" t="s">
        <v>1236</v>
      </c>
      <c r="C1264" s="3" t="s">
        <v>1235</v>
      </c>
      <c r="D1264" s="3" t="s">
        <v>2866</v>
      </c>
      <c r="E1264" s="3" t="s">
        <v>4285</v>
      </c>
      <c r="F1264" s="3">
        <v>450</v>
      </c>
      <c r="G1264" s="4">
        <v>41244.529861111114</v>
      </c>
      <c r="H1264" s="3">
        <v>1</v>
      </c>
      <c r="I1264" s="5">
        <v>12</v>
      </c>
      <c r="J1264" t="s">
        <v>94</v>
      </c>
      <c r="K1264" t="s">
        <v>4500</v>
      </c>
      <c r="L1264">
        <v>536532</v>
      </c>
      <c r="M1264" s="2">
        <v>22114</v>
      </c>
      <c r="N1264">
        <v>3.95</v>
      </c>
      <c r="O1264" s="6">
        <v>8</v>
      </c>
      <c r="P1264" s="3">
        <v>7.0000000000000007E-2</v>
      </c>
      <c r="Q1264" t="s">
        <v>5</v>
      </c>
      <c r="R1264" s="7">
        <f t="shared" si="57"/>
        <v>31.6</v>
      </c>
      <c r="S1264" s="7">
        <f t="shared" si="58"/>
        <v>2.2120000000000002</v>
      </c>
      <c r="T1264">
        <f>Table1[[#This Row],[Total price]]-Table1[[#This Row],[Discount Amount]]</f>
        <v>29.388000000000002</v>
      </c>
      <c r="U1264">
        <f t="shared" si="59"/>
        <v>235.10400000000001</v>
      </c>
    </row>
    <row r="1265" spans="1:21">
      <c r="A1265">
        <v>1264</v>
      </c>
      <c r="B1265" s="3" t="s">
        <v>1234</v>
      </c>
      <c r="C1265" s="3" t="s">
        <v>1233</v>
      </c>
      <c r="D1265" s="3" t="s">
        <v>4286</v>
      </c>
      <c r="E1265" s="3" t="s">
        <v>4287</v>
      </c>
      <c r="F1265" s="3">
        <v>450</v>
      </c>
      <c r="G1265" s="4">
        <v>41244.529861111114</v>
      </c>
      <c r="H1265" s="3">
        <v>1</v>
      </c>
      <c r="I1265" s="5">
        <v>5</v>
      </c>
      <c r="J1265" t="s">
        <v>155</v>
      </c>
      <c r="K1265" t="s">
        <v>4500</v>
      </c>
      <c r="L1265">
        <v>536532</v>
      </c>
      <c r="M1265" s="2">
        <v>21982</v>
      </c>
      <c r="N1265">
        <v>0.28999999999999998</v>
      </c>
      <c r="O1265" s="6">
        <v>48</v>
      </c>
      <c r="P1265" s="3">
        <v>0.1</v>
      </c>
      <c r="Q1265" t="s">
        <v>5</v>
      </c>
      <c r="R1265" s="7">
        <f t="shared" si="57"/>
        <v>13.919999999999998</v>
      </c>
      <c r="S1265" s="7">
        <f t="shared" si="58"/>
        <v>1.3919999999999999</v>
      </c>
      <c r="T1265">
        <f>Table1[[#This Row],[Total price]]-Table1[[#This Row],[Discount Amount]]</f>
        <v>12.527999999999999</v>
      </c>
      <c r="U1265">
        <f t="shared" si="59"/>
        <v>601.34399999999994</v>
      </c>
    </row>
    <row r="1266" spans="1:21">
      <c r="A1266">
        <v>1265</v>
      </c>
      <c r="B1266" s="3" t="s">
        <v>1232</v>
      </c>
      <c r="C1266" s="3" t="s">
        <v>1231</v>
      </c>
      <c r="D1266" s="3" t="s">
        <v>2866</v>
      </c>
      <c r="E1266" s="3" t="s">
        <v>4288</v>
      </c>
      <c r="F1266" s="3">
        <v>451</v>
      </c>
      <c r="G1266" s="4">
        <v>41244.529861111114</v>
      </c>
      <c r="H1266" s="3">
        <v>1</v>
      </c>
      <c r="I1266" s="5">
        <v>14</v>
      </c>
      <c r="J1266" t="s">
        <v>481</v>
      </c>
      <c r="K1266" t="s">
        <v>4500</v>
      </c>
      <c r="L1266">
        <v>536532</v>
      </c>
      <c r="M1266" s="2">
        <v>21981</v>
      </c>
      <c r="N1266">
        <v>0.28999999999999998</v>
      </c>
      <c r="O1266" s="6">
        <v>48</v>
      </c>
      <c r="P1266" s="3">
        <v>0.05</v>
      </c>
      <c r="Q1266" t="s">
        <v>5</v>
      </c>
      <c r="R1266" s="7">
        <f t="shared" si="57"/>
        <v>13.919999999999998</v>
      </c>
      <c r="S1266" s="7">
        <f t="shared" si="58"/>
        <v>0.69599999999999995</v>
      </c>
      <c r="T1266">
        <f>Table1[[#This Row],[Total price]]-Table1[[#This Row],[Discount Amount]]</f>
        <v>13.223999999999998</v>
      </c>
      <c r="U1266">
        <f t="shared" si="59"/>
        <v>634.75199999999995</v>
      </c>
    </row>
    <row r="1267" spans="1:21">
      <c r="A1267">
        <v>1266</v>
      </c>
      <c r="B1267" s="3" t="s">
        <v>1230</v>
      </c>
      <c r="C1267" s="3" t="s">
        <v>1229</v>
      </c>
      <c r="D1267" s="3" t="s">
        <v>2866</v>
      </c>
      <c r="E1267" s="3" t="s">
        <v>4289</v>
      </c>
      <c r="F1267" s="3">
        <v>452</v>
      </c>
      <c r="G1267" s="4">
        <v>41244.529861111114</v>
      </c>
      <c r="H1267" s="3">
        <v>1</v>
      </c>
      <c r="I1267" s="5">
        <v>11</v>
      </c>
      <c r="J1267" t="s">
        <v>390</v>
      </c>
      <c r="K1267" t="s">
        <v>4500</v>
      </c>
      <c r="L1267">
        <v>536532</v>
      </c>
      <c r="M1267" s="2">
        <v>21967</v>
      </c>
      <c r="N1267">
        <v>0.28999999999999998</v>
      </c>
      <c r="O1267" s="6">
        <v>48</v>
      </c>
      <c r="P1267" s="3">
        <v>0.05</v>
      </c>
      <c r="Q1267" t="s">
        <v>5</v>
      </c>
      <c r="R1267" s="7">
        <f t="shared" si="57"/>
        <v>13.919999999999998</v>
      </c>
      <c r="S1267" s="7">
        <f t="shared" si="58"/>
        <v>0.69599999999999995</v>
      </c>
      <c r="T1267">
        <f>Table1[[#This Row],[Total price]]-Table1[[#This Row],[Discount Amount]]</f>
        <v>13.223999999999998</v>
      </c>
      <c r="U1267">
        <f t="shared" si="59"/>
        <v>634.75199999999995</v>
      </c>
    </row>
    <row r="1268" spans="1:21">
      <c r="A1268">
        <v>1267</v>
      </c>
      <c r="B1268" s="3" t="s">
        <v>1228</v>
      </c>
      <c r="C1268" s="3" t="s">
        <v>1227</v>
      </c>
      <c r="D1268" s="3" t="s">
        <v>2866</v>
      </c>
      <c r="E1268" s="3" t="s">
        <v>4290</v>
      </c>
      <c r="F1268" s="3">
        <v>452</v>
      </c>
      <c r="G1268" s="4">
        <v>41244.529861111114</v>
      </c>
      <c r="H1268" s="3">
        <v>1</v>
      </c>
      <c r="I1268" s="5">
        <v>16</v>
      </c>
      <c r="J1268" t="s">
        <v>782</v>
      </c>
      <c r="K1268" t="s">
        <v>4500</v>
      </c>
      <c r="L1268">
        <v>536532</v>
      </c>
      <c r="M1268" s="2">
        <v>22092</v>
      </c>
      <c r="N1268">
        <v>1.25</v>
      </c>
      <c r="O1268" s="6">
        <v>12</v>
      </c>
      <c r="P1268" s="3">
        <v>0.05</v>
      </c>
      <c r="Q1268" t="s">
        <v>5</v>
      </c>
      <c r="R1268" s="7">
        <f t="shared" si="57"/>
        <v>15</v>
      </c>
      <c r="S1268" s="7">
        <f t="shared" si="58"/>
        <v>0.75</v>
      </c>
      <c r="T1268">
        <f>Table1[[#This Row],[Total price]]-Table1[[#This Row],[Discount Amount]]</f>
        <v>14.25</v>
      </c>
      <c r="U1268">
        <f t="shared" si="59"/>
        <v>171</v>
      </c>
    </row>
    <row r="1269" spans="1:21">
      <c r="A1269">
        <v>1268</v>
      </c>
      <c r="B1269" s="3" t="s">
        <v>1226</v>
      </c>
      <c r="C1269" s="3" t="s">
        <v>1225</v>
      </c>
      <c r="D1269" s="3" t="s">
        <v>2866</v>
      </c>
      <c r="E1269" s="3" t="s">
        <v>4291</v>
      </c>
      <c r="F1269" s="3">
        <v>452</v>
      </c>
      <c r="G1269" s="4">
        <v>41244.529861111114</v>
      </c>
      <c r="H1269" s="3">
        <v>4</v>
      </c>
      <c r="I1269" s="5">
        <v>7</v>
      </c>
      <c r="J1269" t="s">
        <v>383</v>
      </c>
      <c r="K1269" t="s">
        <v>4497</v>
      </c>
      <c r="L1269">
        <v>536532</v>
      </c>
      <c r="M1269" s="2">
        <v>21983</v>
      </c>
      <c r="N1269">
        <v>0.28999999999999998</v>
      </c>
      <c r="O1269" s="6">
        <v>48</v>
      </c>
      <c r="P1269" s="3">
        <v>0.1</v>
      </c>
      <c r="Q1269" t="s">
        <v>5</v>
      </c>
      <c r="R1269" s="7">
        <f t="shared" si="57"/>
        <v>13.919999999999998</v>
      </c>
      <c r="S1269" s="7">
        <f t="shared" si="58"/>
        <v>1.3919999999999999</v>
      </c>
      <c r="T1269">
        <f>Table1[[#This Row],[Total price]]-Table1[[#This Row],[Discount Amount]]</f>
        <v>12.527999999999999</v>
      </c>
      <c r="U1269">
        <f t="shared" si="59"/>
        <v>601.34399999999994</v>
      </c>
    </row>
    <row r="1270" spans="1:21">
      <c r="A1270">
        <v>1269</v>
      </c>
      <c r="B1270" s="3" t="s">
        <v>1224</v>
      </c>
      <c r="C1270" s="3" t="s">
        <v>1223</v>
      </c>
      <c r="D1270" s="3" t="s">
        <v>2866</v>
      </c>
      <c r="E1270" s="3" t="s">
        <v>4292</v>
      </c>
      <c r="F1270" s="3">
        <v>452</v>
      </c>
      <c r="G1270" s="4">
        <v>41244.529861111114</v>
      </c>
      <c r="H1270" s="3">
        <v>4</v>
      </c>
      <c r="I1270" s="5">
        <v>8</v>
      </c>
      <c r="J1270" t="s">
        <v>624</v>
      </c>
      <c r="K1270" t="s">
        <v>4499</v>
      </c>
      <c r="L1270">
        <v>536532</v>
      </c>
      <c r="M1270" s="2">
        <v>22615</v>
      </c>
      <c r="N1270">
        <v>0.28999999999999998</v>
      </c>
      <c r="O1270" s="6">
        <v>48</v>
      </c>
      <c r="P1270" s="3">
        <v>0.1</v>
      </c>
      <c r="Q1270" t="s">
        <v>5</v>
      </c>
      <c r="R1270" s="7">
        <f t="shared" si="57"/>
        <v>13.919999999999998</v>
      </c>
      <c r="S1270" s="7">
        <f t="shared" si="58"/>
        <v>1.3919999999999999</v>
      </c>
      <c r="T1270">
        <f>Table1[[#This Row],[Total price]]-Table1[[#This Row],[Discount Amount]]</f>
        <v>12.527999999999999</v>
      </c>
      <c r="U1270">
        <f t="shared" si="59"/>
        <v>601.34399999999994</v>
      </c>
    </row>
    <row r="1271" spans="1:21">
      <c r="A1271">
        <v>1270</v>
      </c>
      <c r="B1271" s="3" t="s">
        <v>1222</v>
      </c>
      <c r="C1271" s="3" t="s">
        <v>1221</v>
      </c>
      <c r="D1271" s="3" t="s">
        <v>2866</v>
      </c>
      <c r="E1271" s="3" t="s">
        <v>4293</v>
      </c>
      <c r="F1271" s="3">
        <v>453</v>
      </c>
      <c r="G1271" s="4">
        <v>41244.529861111114</v>
      </c>
      <c r="H1271" s="3">
        <v>4</v>
      </c>
      <c r="I1271" s="5">
        <v>23</v>
      </c>
      <c r="J1271" t="s">
        <v>259</v>
      </c>
      <c r="K1271" t="s">
        <v>4499</v>
      </c>
      <c r="L1271">
        <v>536532</v>
      </c>
      <c r="M1271" s="2">
        <v>21980</v>
      </c>
      <c r="N1271">
        <v>0.28999999999999998</v>
      </c>
      <c r="O1271" s="6">
        <v>48</v>
      </c>
      <c r="P1271" s="3">
        <v>0.05</v>
      </c>
      <c r="Q1271" t="s">
        <v>5</v>
      </c>
      <c r="R1271" s="7">
        <f t="shared" si="57"/>
        <v>13.919999999999998</v>
      </c>
      <c r="S1271" s="7">
        <f t="shared" si="58"/>
        <v>0.69599999999999995</v>
      </c>
      <c r="T1271">
        <f>Table1[[#This Row],[Total price]]-Table1[[#This Row],[Discount Amount]]</f>
        <v>13.223999999999998</v>
      </c>
      <c r="U1271">
        <f t="shared" si="59"/>
        <v>634.75199999999995</v>
      </c>
    </row>
    <row r="1272" spans="1:21">
      <c r="A1272">
        <v>1271</v>
      </c>
      <c r="B1272" s="3" t="s">
        <v>1220</v>
      </c>
      <c r="C1272" s="3" t="s">
        <v>1002</v>
      </c>
      <c r="D1272" s="3" t="s">
        <v>2866</v>
      </c>
      <c r="E1272" s="3" t="s">
        <v>4294</v>
      </c>
      <c r="F1272" s="3">
        <v>453</v>
      </c>
      <c r="G1272" s="4">
        <v>41244.529861111114</v>
      </c>
      <c r="H1272" s="3">
        <v>4</v>
      </c>
      <c r="I1272" s="5">
        <v>20</v>
      </c>
      <c r="J1272" t="s">
        <v>701</v>
      </c>
      <c r="K1272" t="s">
        <v>4499</v>
      </c>
      <c r="L1272">
        <v>536532</v>
      </c>
      <c r="M1272" s="2">
        <v>22614</v>
      </c>
      <c r="N1272">
        <v>0.28999999999999998</v>
      </c>
      <c r="O1272" s="6">
        <v>48</v>
      </c>
      <c r="P1272" s="3">
        <v>0.2</v>
      </c>
      <c r="Q1272" t="s">
        <v>5</v>
      </c>
      <c r="R1272" s="7">
        <f t="shared" si="57"/>
        <v>13.919999999999998</v>
      </c>
      <c r="S1272" s="7">
        <f t="shared" si="58"/>
        <v>2.7839999999999998</v>
      </c>
      <c r="T1272">
        <f>Table1[[#This Row],[Total price]]-Table1[[#This Row],[Discount Amount]]</f>
        <v>11.135999999999999</v>
      </c>
      <c r="U1272">
        <f t="shared" si="59"/>
        <v>534.52800000000002</v>
      </c>
    </row>
    <row r="1273" spans="1:21">
      <c r="A1273">
        <v>1272</v>
      </c>
      <c r="B1273" s="3" t="s">
        <v>1219</v>
      </c>
      <c r="C1273" s="3" t="s">
        <v>1218</v>
      </c>
      <c r="D1273" s="3" t="s">
        <v>2866</v>
      </c>
      <c r="E1273" s="3" t="s">
        <v>4295</v>
      </c>
      <c r="F1273" s="3">
        <v>453</v>
      </c>
      <c r="G1273" s="4">
        <v>41244.529861111114</v>
      </c>
      <c r="H1273" s="3">
        <v>4</v>
      </c>
      <c r="I1273" s="5">
        <v>4</v>
      </c>
      <c r="J1273" t="s">
        <v>478</v>
      </c>
      <c r="K1273" t="s">
        <v>4499</v>
      </c>
      <c r="L1273">
        <v>536532</v>
      </c>
      <c r="M1273" s="2">
        <v>22095</v>
      </c>
      <c r="N1273">
        <v>1.25</v>
      </c>
      <c r="O1273" s="6">
        <v>12</v>
      </c>
      <c r="P1273" s="3">
        <v>0.2</v>
      </c>
      <c r="Q1273" t="s">
        <v>5</v>
      </c>
      <c r="R1273" s="7">
        <f t="shared" si="57"/>
        <v>15</v>
      </c>
      <c r="S1273" s="7">
        <f t="shared" si="58"/>
        <v>3</v>
      </c>
      <c r="T1273">
        <f>Table1[[#This Row],[Total price]]-Table1[[#This Row],[Discount Amount]]</f>
        <v>12</v>
      </c>
      <c r="U1273">
        <f t="shared" si="59"/>
        <v>144</v>
      </c>
    </row>
    <row r="1274" spans="1:21">
      <c r="A1274">
        <v>1273</v>
      </c>
      <c r="B1274" s="3" t="s">
        <v>1217</v>
      </c>
      <c r="C1274" s="3" t="s">
        <v>1216</v>
      </c>
      <c r="D1274" s="3" t="s">
        <v>2866</v>
      </c>
      <c r="E1274" s="3" t="s">
        <v>4296</v>
      </c>
      <c r="F1274" s="3">
        <v>454</v>
      </c>
      <c r="G1274" s="4">
        <v>41244.529861111114</v>
      </c>
      <c r="H1274" s="3">
        <v>4</v>
      </c>
      <c r="I1274" s="5">
        <v>25</v>
      </c>
      <c r="J1274" t="s">
        <v>781</v>
      </c>
      <c r="K1274" t="s">
        <v>4499</v>
      </c>
      <c r="L1274">
        <v>536532</v>
      </c>
      <c r="M1274" s="2">
        <v>22094</v>
      </c>
      <c r="N1274">
        <v>1.25</v>
      </c>
      <c r="O1274" s="6">
        <v>12</v>
      </c>
      <c r="P1274" s="3">
        <v>7.0000000000000007E-2</v>
      </c>
      <c r="Q1274" t="s">
        <v>5</v>
      </c>
      <c r="R1274" s="7">
        <f t="shared" si="57"/>
        <v>15</v>
      </c>
      <c r="S1274" s="7">
        <f t="shared" si="58"/>
        <v>1.05</v>
      </c>
      <c r="T1274">
        <f>Table1[[#This Row],[Total price]]-Table1[[#This Row],[Discount Amount]]</f>
        <v>13.95</v>
      </c>
      <c r="U1274">
        <f t="shared" si="59"/>
        <v>167.39999999999998</v>
      </c>
    </row>
    <row r="1275" spans="1:21">
      <c r="A1275">
        <v>1274</v>
      </c>
      <c r="B1275" s="3" t="s">
        <v>1215</v>
      </c>
      <c r="C1275" s="3" t="s">
        <v>1214</v>
      </c>
      <c r="D1275" s="3" t="s">
        <v>2866</v>
      </c>
      <c r="E1275" s="3" t="s">
        <v>4297</v>
      </c>
      <c r="F1275" s="3">
        <v>454</v>
      </c>
      <c r="G1275" s="4">
        <v>41244.529861111114</v>
      </c>
      <c r="H1275" s="3">
        <v>4</v>
      </c>
      <c r="I1275" s="5">
        <v>13</v>
      </c>
      <c r="J1275" t="s">
        <v>451</v>
      </c>
      <c r="K1275" t="s">
        <v>4499</v>
      </c>
      <c r="L1275">
        <v>536532</v>
      </c>
      <c r="M1275" s="2">
        <v>21984</v>
      </c>
      <c r="N1275">
        <v>0.28999999999999998</v>
      </c>
      <c r="O1275" s="6">
        <v>48</v>
      </c>
      <c r="P1275" s="3">
        <v>0.05</v>
      </c>
      <c r="Q1275" t="s">
        <v>5</v>
      </c>
      <c r="R1275" s="7">
        <f t="shared" si="57"/>
        <v>13.919999999999998</v>
      </c>
      <c r="S1275" s="7">
        <f t="shared" si="58"/>
        <v>0.69599999999999995</v>
      </c>
      <c r="T1275">
        <f>Table1[[#This Row],[Total price]]-Table1[[#This Row],[Discount Amount]]</f>
        <v>13.223999999999998</v>
      </c>
      <c r="U1275">
        <f t="shared" si="59"/>
        <v>634.75199999999995</v>
      </c>
    </row>
    <row r="1276" spans="1:21">
      <c r="A1276">
        <v>1275</v>
      </c>
      <c r="B1276" s="3" t="s">
        <v>1213</v>
      </c>
      <c r="C1276" s="3" t="s">
        <v>1212</v>
      </c>
      <c r="D1276" s="3" t="s">
        <v>2866</v>
      </c>
      <c r="E1276" s="3" t="s">
        <v>4298</v>
      </c>
      <c r="F1276" s="3">
        <v>454</v>
      </c>
      <c r="G1276" s="4">
        <v>41244.529861111114</v>
      </c>
      <c r="H1276" s="3">
        <v>4</v>
      </c>
      <c r="I1276" s="5">
        <v>24</v>
      </c>
      <c r="J1276" t="s">
        <v>325</v>
      </c>
      <c r="K1276" t="s">
        <v>4499</v>
      </c>
      <c r="L1276">
        <v>536532</v>
      </c>
      <c r="M1276" s="2">
        <v>22557</v>
      </c>
      <c r="N1276">
        <v>1.65</v>
      </c>
      <c r="O1276" s="6">
        <v>36</v>
      </c>
      <c r="P1276" s="3">
        <v>0.1</v>
      </c>
      <c r="Q1276" t="s">
        <v>5</v>
      </c>
      <c r="R1276" s="7">
        <f t="shared" si="57"/>
        <v>59.4</v>
      </c>
      <c r="S1276" s="7">
        <f t="shared" si="58"/>
        <v>5.94</v>
      </c>
      <c r="T1276">
        <f>Table1[[#This Row],[Total price]]-Table1[[#This Row],[Discount Amount]]</f>
        <v>53.46</v>
      </c>
      <c r="U1276">
        <f t="shared" si="59"/>
        <v>1924.56</v>
      </c>
    </row>
    <row r="1277" spans="1:21">
      <c r="A1277">
        <v>1276</v>
      </c>
      <c r="B1277" s="3" t="s">
        <v>1211</v>
      </c>
      <c r="C1277" s="3" t="s">
        <v>1210</v>
      </c>
      <c r="D1277" s="3" t="s">
        <v>2866</v>
      </c>
      <c r="E1277" s="3" t="s">
        <v>4299</v>
      </c>
      <c r="F1277" s="3">
        <v>455</v>
      </c>
      <c r="G1277" s="4">
        <v>41244.529861111114</v>
      </c>
      <c r="H1277" s="3">
        <v>4</v>
      </c>
      <c r="I1277" s="5">
        <v>9</v>
      </c>
      <c r="J1277" t="s">
        <v>559</v>
      </c>
      <c r="K1277" t="s">
        <v>4499</v>
      </c>
      <c r="L1277">
        <v>536532</v>
      </c>
      <c r="M1277" s="2">
        <v>21786</v>
      </c>
      <c r="N1277">
        <v>0.42</v>
      </c>
      <c r="O1277" s="6">
        <v>24</v>
      </c>
      <c r="P1277" s="3">
        <v>0.05</v>
      </c>
      <c r="Q1277" t="s">
        <v>5</v>
      </c>
      <c r="R1277" s="7">
        <f t="shared" si="57"/>
        <v>10.08</v>
      </c>
      <c r="S1277" s="7">
        <f t="shared" si="58"/>
        <v>0.504</v>
      </c>
      <c r="T1277">
        <f>Table1[[#This Row],[Total price]]-Table1[[#This Row],[Discount Amount]]</f>
        <v>9.5760000000000005</v>
      </c>
      <c r="U1277">
        <f t="shared" si="59"/>
        <v>229.82400000000001</v>
      </c>
    </row>
    <row r="1278" spans="1:21">
      <c r="A1278">
        <v>1277</v>
      </c>
      <c r="B1278" s="3" t="s">
        <v>1209</v>
      </c>
      <c r="C1278" s="3" t="s">
        <v>1208</v>
      </c>
      <c r="D1278" s="3" t="s">
        <v>2866</v>
      </c>
      <c r="E1278" s="3" t="s">
        <v>4300</v>
      </c>
      <c r="F1278" s="3">
        <v>456</v>
      </c>
      <c r="G1278" s="4">
        <v>41244.529861111114</v>
      </c>
      <c r="H1278" s="3">
        <v>4</v>
      </c>
      <c r="I1278" s="5">
        <v>17</v>
      </c>
      <c r="J1278" t="s">
        <v>413</v>
      </c>
      <c r="K1278" t="s">
        <v>4499</v>
      </c>
      <c r="L1278">
        <v>536532</v>
      </c>
      <c r="M1278" s="2">
        <v>21080</v>
      </c>
      <c r="N1278">
        <v>0.85</v>
      </c>
      <c r="O1278" s="6">
        <v>136</v>
      </c>
      <c r="P1278" s="3">
        <v>7.0000000000000007E-2</v>
      </c>
      <c r="Q1278" t="s">
        <v>5</v>
      </c>
      <c r="R1278" s="7">
        <f t="shared" si="57"/>
        <v>115.6</v>
      </c>
      <c r="S1278" s="7">
        <f t="shared" si="58"/>
        <v>8.0920000000000005</v>
      </c>
      <c r="T1278">
        <f>Table1[[#This Row],[Total price]]-Table1[[#This Row],[Discount Amount]]</f>
        <v>107.508</v>
      </c>
      <c r="U1278">
        <f t="shared" si="59"/>
        <v>14621.088</v>
      </c>
    </row>
    <row r="1279" spans="1:21">
      <c r="A1279">
        <v>1278</v>
      </c>
      <c r="B1279" s="3" t="s">
        <v>1207</v>
      </c>
      <c r="C1279" s="3" t="s">
        <v>1206</v>
      </c>
      <c r="D1279" s="3" t="s">
        <v>2866</v>
      </c>
      <c r="E1279" s="3" t="s">
        <v>4301</v>
      </c>
      <c r="F1279" s="3">
        <v>456</v>
      </c>
      <c r="G1279" s="4">
        <v>41244.529861111114</v>
      </c>
      <c r="H1279" s="3">
        <v>4</v>
      </c>
      <c r="I1279" s="5">
        <v>23</v>
      </c>
      <c r="J1279" t="s">
        <v>878</v>
      </c>
      <c r="K1279" t="s">
        <v>4499</v>
      </c>
      <c r="L1279">
        <v>536532</v>
      </c>
      <c r="M1279" s="2">
        <v>22963</v>
      </c>
      <c r="N1279">
        <v>0.85</v>
      </c>
      <c r="O1279" s="6">
        <v>120</v>
      </c>
      <c r="P1279" s="3">
        <v>7.0000000000000007E-2</v>
      </c>
      <c r="Q1279" t="s">
        <v>5</v>
      </c>
      <c r="R1279" s="7">
        <f t="shared" si="57"/>
        <v>102</v>
      </c>
      <c r="S1279" s="7">
        <f t="shared" si="58"/>
        <v>7.1400000000000006</v>
      </c>
      <c r="T1279">
        <f>Table1[[#This Row],[Total price]]-Table1[[#This Row],[Discount Amount]]</f>
        <v>94.86</v>
      </c>
      <c r="U1279">
        <f t="shared" si="59"/>
        <v>11383.2</v>
      </c>
    </row>
    <row r="1280" spans="1:21">
      <c r="A1280">
        <v>1279</v>
      </c>
      <c r="B1280" s="3" t="s">
        <v>1205</v>
      </c>
      <c r="C1280" s="3" t="s">
        <v>1204</v>
      </c>
      <c r="D1280" s="3" t="s">
        <v>2866</v>
      </c>
      <c r="E1280" s="3" t="s">
        <v>4302</v>
      </c>
      <c r="F1280" s="3">
        <v>457</v>
      </c>
      <c r="G1280" s="4">
        <v>41244.529861111114</v>
      </c>
      <c r="H1280" s="3">
        <v>2</v>
      </c>
      <c r="I1280" s="5">
        <v>24</v>
      </c>
      <c r="J1280" t="s">
        <v>877</v>
      </c>
      <c r="K1280" t="s">
        <v>4500</v>
      </c>
      <c r="L1280">
        <v>536532</v>
      </c>
      <c r="M1280" s="2">
        <v>22962</v>
      </c>
      <c r="N1280">
        <v>0.85</v>
      </c>
      <c r="O1280" s="6">
        <v>12</v>
      </c>
      <c r="P1280" s="3">
        <v>7.0000000000000007E-2</v>
      </c>
      <c r="Q1280" t="s">
        <v>5</v>
      </c>
      <c r="R1280" s="7">
        <f t="shared" si="57"/>
        <v>10.199999999999999</v>
      </c>
      <c r="S1280" s="7">
        <f t="shared" si="58"/>
        <v>0.71399999999999997</v>
      </c>
      <c r="T1280">
        <f>Table1[[#This Row],[Total price]]-Table1[[#This Row],[Discount Amount]]</f>
        <v>9.4859999999999989</v>
      </c>
      <c r="U1280">
        <f t="shared" si="59"/>
        <v>113.83199999999999</v>
      </c>
    </row>
    <row r="1281" spans="1:21">
      <c r="A1281">
        <v>1280</v>
      </c>
      <c r="B1281" s="3" t="s">
        <v>1203</v>
      </c>
      <c r="C1281" s="3" t="s">
        <v>1202</v>
      </c>
      <c r="D1281" s="3" t="s">
        <v>2866</v>
      </c>
      <c r="E1281" s="3" t="s">
        <v>4303</v>
      </c>
      <c r="F1281" s="3">
        <v>457</v>
      </c>
      <c r="G1281" s="4">
        <v>41244.529861111114</v>
      </c>
      <c r="H1281" s="3">
        <v>2</v>
      </c>
      <c r="I1281" s="5">
        <v>2</v>
      </c>
      <c r="J1281" t="s">
        <v>876</v>
      </c>
      <c r="K1281" t="s">
        <v>4500</v>
      </c>
      <c r="L1281">
        <v>536532</v>
      </c>
      <c r="M1281" s="2">
        <v>22961</v>
      </c>
      <c r="N1281">
        <v>1.45</v>
      </c>
      <c r="O1281" s="6">
        <v>24</v>
      </c>
      <c r="P1281" s="3">
        <v>0.05</v>
      </c>
      <c r="Q1281" t="s">
        <v>5</v>
      </c>
      <c r="R1281" s="7">
        <f t="shared" si="57"/>
        <v>34.799999999999997</v>
      </c>
      <c r="S1281" s="7">
        <f t="shared" si="58"/>
        <v>1.74</v>
      </c>
      <c r="T1281">
        <f>Table1[[#This Row],[Total price]]-Table1[[#This Row],[Discount Amount]]</f>
        <v>33.059999999999995</v>
      </c>
      <c r="U1281">
        <f t="shared" si="59"/>
        <v>793.43999999999983</v>
      </c>
    </row>
    <row r="1282" spans="1:21">
      <c r="A1282">
        <v>1281</v>
      </c>
      <c r="B1282" s="3" t="s">
        <v>1201</v>
      </c>
      <c r="C1282" s="3" t="s">
        <v>1200</v>
      </c>
      <c r="D1282" s="3" t="s">
        <v>2866</v>
      </c>
      <c r="E1282" s="3" t="s">
        <v>4304</v>
      </c>
      <c r="F1282" s="3">
        <v>457</v>
      </c>
      <c r="G1282" s="4">
        <v>41244.529861111114</v>
      </c>
      <c r="H1282" s="3">
        <v>1</v>
      </c>
      <c r="I1282" s="5">
        <v>7</v>
      </c>
      <c r="J1282" t="s">
        <v>814</v>
      </c>
      <c r="K1282" t="s">
        <v>4500</v>
      </c>
      <c r="L1282">
        <v>536532</v>
      </c>
      <c r="M1282" s="2">
        <v>84375</v>
      </c>
      <c r="N1282">
        <v>2.1</v>
      </c>
      <c r="O1282" s="6">
        <v>24</v>
      </c>
      <c r="P1282" s="3">
        <v>0.1</v>
      </c>
      <c r="Q1282" t="s">
        <v>5</v>
      </c>
      <c r="R1282" s="7">
        <f t="shared" si="57"/>
        <v>50.400000000000006</v>
      </c>
      <c r="S1282" s="7">
        <f t="shared" si="58"/>
        <v>5.0400000000000009</v>
      </c>
      <c r="T1282">
        <f>Table1[[#This Row],[Total price]]-Table1[[#This Row],[Discount Amount]]</f>
        <v>45.360000000000007</v>
      </c>
      <c r="U1282">
        <f t="shared" si="59"/>
        <v>1088.6400000000001</v>
      </c>
    </row>
    <row r="1283" spans="1:21">
      <c r="A1283">
        <v>1282</v>
      </c>
      <c r="B1283" s="3" t="s">
        <v>1199</v>
      </c>
      <c r="C1283" s="3" t="s">
        <v>1198</v>
      </c>
      <c r="D1283" s="3" t="s">
        <v>4305</v>
      </c>
      <c r="E1283" s="3" t="s">
        <v>4306</v>
      </c>
      <c r="F1283" s="3">
        <v>457</v>
      </c>
      <c r="G1283" s="4">
        <v>41244.529861111114</v>
      </c>
      <c r="H1283" s="3">
        <v>1</v>
      </c>
      <c r="I1283" s="5">
        <v>17</v>
      </c>
      <c r="J1283" t="s">
        <v>848</v>
      </c>
      <c r="K1283" t="s">
        <v>4500</v>
      </c>
      <c r="L1283">
        <v>536532</v>
      </c>
      <c r="M1283" s="2">
        <v>22966</v>
      </c>
      <c r="N1283">
        <v>1.25</v>
      </c>
      <c r="O1283" s="6">
        <v>24</v>
      </c>
      <c r="P1283" s="3">
        <v>0.2</v>
      </c>
      <c r="Q1283" t="s">
        <v>5</v>
      </c>
      <c r="R1283" s="7">
        <f t="shared" ref="R1283:R1346" si="60">N1283*O1283</f>
        <v>30</v>
      </c>
      <c r="S1283" s="7">
        <f t="shared" ref="S1283:S1346" si="61">R1283*P1283</f>
        <v>6</v>
      </c>
      <c r="T1283">
        <f>Table1[[#This Row],[Total price]]-Table1[[#This Row],[Discount Amount]]</f>
        <v>24</v>
      </c>
      <c r="U1283">
        <f t="shared" ref="U1283:U1346" si="62">T1283*O1283</f>
        <v>576</v>
      </c>
    </row>
    <row r="1284" spans="1:21">
      <c r="A1284">
        <v>1283</v>
      </c>
      <c r="B1284" s="3" t="s">
        <v>1197</v>
      </c>
      <c r="C1284" s="3" t="s">
        <v>1196</v>
      </c>
      <c r="D1284" s="3" t="s">
        <v>2866</v>
      </c>
      <c r="E1284" s="3" t="s">
        <v>4307</v>
      </c>
      <c r="F1284" s="3">
        <v>458</v>
      </c>
      <c r="G1284" s="4">
        <v>41244.529861111114</v>
      </c>
      <c r="H1284" s="3">
        <v>1</v>
      </c>
      <c r="I1284" s="5">
        <v>2</v>
      </c>
      <c r="J1284" t="s">
        <v>580</v>
      </c>
      <c r="K1284" t="s">
        <v>4500</v>
      </c>
      <c r="L1284">
        <v>536532</v>
      </c>
      <c r="M1284" s="2">
        <v>21874</v>
      </c>
      <c r="N1284">
        <v>1.25</v>
      </c>
      <c r="O1284" s="6">
        <v>24</v>
      </c>
      <c r="P1284" s="3">
        <v>0.2</v>
      </c>
      <c r="Q1284" t="s">
        <v>5</v>
      </c>
      <c r="R1284" s="7">
        <f t="shared" si="60"/>
        <v>30</v>
      </c>
      <c r="S1284" s="7">
        <f t="shared" si="61"/>
        <v>6</v>
      </c>
      <c r="T1284">
        <f>Table1[[#This Row],[Total price]]-Table1[[#This Row],[Discount Amount]]</f>
        <v>24</v>
      </c>
      <c r="U1284">
        <f t="shared" si="62"/>
        <v>576</v>
      </c>
    </row>
    <row r="1285" spans="1:21">
      <c r="A1285">
        <v>1284</v>
      </c>
      <c r="B1285" s="3" t="s">
        <v>1195</v>
      </c>
      <c r="C1285" s="3" t="s">
        <v>1194</v>
      </c>
      <c r="D1285" s="3" t="s">
        <v>2866</v>
      </c>
      <c r="E1285" s="3" t="s">
        <v>4308</v>
      </c>
      <c r="F1285" s="3">
        <v>458</v>
      </c>
      <c r="G1285" s="4">
        <v>41244.529861111114</v>
      </c>
      <c r="H1285" s="3">
        <v>2</v>
      </c>
      <c r="I1285" s="5">
        <v>21</v>
      </c>
      <c r="J1285" t="s">
        <v>585</v>
      </c>
      <c r="K1285" t="s">
        <v>4500</v>
      </c>
      <c r="L1285">
        <v>536532</v>
      </c>
      <c r="M1285" s="2">
        <v>21873</v>
      </c>
      <c r="N1285">
        <v>1.25</v>
      </c>
      <c r="O1285" s="6">
        <v>24</v>
      </c>
      <c r="P1285" s="3">
        <v>7.0000000000000007E-2</v>
      </c>
      <c r="Q1285" t="s">
        <v>5</v>
      </c>
      <c r="R1285" s="7">
        <f t="shared" si="60"/>
        <v>30</v>
      </c>
      <c r="S1285" s="7">
        <f t="shared" si="61"/>
        <v>2.1</v>
      </c>
      <c r="T1285">
        <f>Table1[[#This Row],[Total price]]-Table1[[#This Row],[Discount Amount]]</f>
        <v>27.9</v>
      </c>
      <c r="U1285">
        <f t="shared" si="62"/>
        <v>669.59999999999991</v>
      </c>
    </row>
    <row r="1286" spans="1:21">
      <c r="A1286">
        <v>1285</v>
      </c>
      <c r="B1286" s="3" t="s">
        <v>1193</v>
      </c>
      <c r="C1286" s="3" t="s">
        <v>1106</v>
      </c>
      <c r="D1286" s="3" t="s">
        <v>2866</v>
      </c>
      <c r="E1286" s="3" t="s">
        <v>4309</v>
      </c>
      <c r="F1286" s="3">
        <v>458</v>
      </c>
      <c r="G1286" s="4">
        <v>41244.529861111114</v>
      </c>
      <c r="H1286" s="3">
        <v>2</v>
      </c>
      <c r="I1286" s="5">
        <v>11</v>
      </c>
      <c r="J1286" t="s">
        <v>220</v>
      </c>
      <c r="K1286" t="s">
        <v>4500</v>
      </c>
      <c r="L1286">
        <v>536532</v>
      </c>
      <c r="M1286" s="2">
        <v>21870</v>
      </c>
      <c r="N1286">
        <v>1.25</v>
      </c>
      <c r="O1286" s="6">
        <v>24</v>
      </c>
      <c r="P1286" s="3">
        <v>0.1</v>
      </c>
      <c r="Q1286" t="s">
        <v>5</v>
      </c>
      <c r="R1286" s="7">
        <f t="shared" si="60"/>
        <v>30</v>
      </c>
      <c r="S1286" s="7">
        <f t="shared" si="61"/>
        <v>3</v>
      </c>
      <c r="T1286">
        <f>Table1[[#This Row],[Total price]]-Table1[[#This Row],[Discount Amount]]</f>
        <v>27</v>
      </c>
      <c r="U1286">
        <f t="shared" si="62"/>
        <v>648</v>
      </c>
    </row>
    <row r="1287" spans="1:21">
      <c r="A1287">
        <v>1286</v>
      </c>
      <c r="B1287" s="3" t="s">
        <v>1192</v>
      </c>
      <c r="C1287" s="3" t="s">
        <v>1191</v>
      </c>
      <c r="D1287" s="3" t="s">
        <v>2866</v>
      </c>
      <c r="E1287" s="3" t="s">
        <v>4310</v>
      </c>
      <c r="F1287" s="3">
        <v>458</v>
      </c>
      <c r="G1287" s="4">
        <v>41244.529861111114</v>
      </c>
      <c r="H1287" s="3">
        <v>2</v>
      </c>
      <c r="I1287" s="5">
        <v>24</v>
      </c>
      <c r="J1287" t="s">
        <v>841</v>
      </c>
      <c r="K1287" t="s">
        <v>4500</v>
      </c>
      <c r="L1287">
        <v>536532</v>
      </c>
      <c r="M1287" s="2">
        <v>22956</v>
      </c>
      <c r="N1287">
        <v>2.1</v>
      </c>
      <c r="O1287" s="6">
        <v>12</v>
      </c>
      <c r="P1287" s="3">
        <v>0.2</v>
      </c>
      <c r="Q1287" t="s">
        <v>5</v>
      </c>
      <c r="R1287" s="7">
        <f t="shared" si="60"/>
        <v>25.200000000000003</v>
      </c>
      <c r="S1287" s="7">
        <f t="shared" si="61"/>
        <v>5.0400000000000009</v>
      </c>
      <c r="T1287">
        <f>Table1[[#This Row],[Total price]]-Table1[[#This Row],[Discount Amount]]</f>
        <v>20.160000000000004</v>
      </c>
      <c r="U1287">
        <f t="shared" si="62"/>
        <v>241.92000000000004</v>
      </c>
    </row>
    <row r="1288" spans="1:21">
      <c r="A1288">
        <v>1287</v>
      </c>
      <c r="B1288" s="3" t="s">
        <v>1190</v>
      </c>
      <c r="C1288" s="3" t="s">
        <v>1189</v>
      </c>
      <c r="D1288" s="3" t="s">
        <v>2866</v>
      </c>
      <c r="E1288" s="3" t="s">
        <v>4311</v>
      </c>
      <c r="F1288" s="3">
        <v>458</v>
      </c>
      <c r="G1288" s="4">
        <v>41244.529861111114</v>
      </c>
      <c r="H1288" s="3">
        <v>1</v>
      </c>
      <c r="I1288" s="5">
        <v>3</v>
      </c>
      <c r="J1288" t="s">
        <v>729</v>
      </c>
      <c r="K1288" t="s">
        <v>4500</v>
      </c>
      <c r="L1288">
        <v>536532</v>
      </c>
      <c r="M1288" s="2">
        <v>84050</v>
      </c>
      <c r="N1288">
        <v>1.25</v>
      </c>
      <c r="O1288" s="6">
        <v>72</v>
      </c>
      <c r="P1288" s="3">
        <v>0.2</v>
      </c>
      <c r="Q1288" t="s">
        <v>5</v>
      </c>
      <c r="R1288" s="7">
        <f t="shared" si="60"/>
        <v>90</v>
      </c>
      <c r="S1288" s="7">
        <f t="shared" si="61"/>
        <v>18</v>
      </c>
      <c r="T1288">
        <f>Table1[[#This Row],[Total price]]-Table1[[#This Row],[Discount Amount]]</f>
        <v>72</v>
      </c>
      <c r="U1288">
        <f t="shared" si="62"/>
        <v>5184</v>
      </c>
    </row>
    <row r="1289" spans="1:21">
      <c r="A1289">
        <v>1288</v>
      </c>
      <c r="B1289" s="3" t="s">
        <v>1188</v>
      </c>
      <c r="C1289" s="3" t="s">
        <v>1187</v>
      </c>
      <c r="D1289" s="3" t="s">
        <v>2866</v>
      </c>
      <c r="E1289" s="3" t="s">
        <v>4312</v>
      </c>
      <c r="F1289" s="3">
        <v>459</v>
      </c>
      <c r="G1289" s="4">
        <v>41244.529861111114</v>
      </c>
      <c r="H1289" s="3">
        <v>2</v>
      </c>
      <c r="I1289" s="5">
        <v>11</v>
      </c>
      <c r="J1289" t="s">
        <v>44</v>
      </c>
      <c r="K1289" t="s">
        <v>4500</v>
      </c>
      <c r="L1289">
        <v>536532</v>
      </c>
      <c r="M1289" s="2">
        <v>84991</v>
      </c>
      <c r="N1289">
        <v>0.55000000000000004</v>
      </c>
      <c r="O1289" s="6">
        <v>24</v>
      </c>
      <c r="P1289" s="3">
        <v>0.2</v>
      </c>
      <c r="Q1289" t="s">
        <v>5</v>
      </c>
      <c r="R1289" s="7">
        <f t="shared" si="60"/>
        <v>13.200000000000001</v>
      </c>
      <c r="S1289" s="7">
        <f t="shared" si="61"/>
        <v>2.6400000000000006</v>
      </c>
      <c r="T1289">
        <f>Table1[[#This Row],[Total price]]-Table1[[#This Row],[Discount Amount]]</f>
        <v>10.56</v>
      </c>
      <c r="U1289">
        <f t="shared" si="62"/>
        <v>253.44</v>
      </c>
    </row>
    <row r="1290" spans="1:21">
      <c r="A1290">
        <v>1289</v>
      </c>
      <c r="B1290" s="3" t="s">
        <v>1186</v>
      </c>
      <c r="C1290" s="3" t="s">
        <v>1185</v>
      </c>
      <c r="D1290" s="3" t="s">
        <v>2866</v>
      </c>
      <c r="E1290" s="3" t="s">
        <v>4313</v>
      </c>
      <c r="F1290" s="3">
        <v>460</v>
      </c>
      <c r="G1290" s="4">
        <v>41244.529861111114</v>
      </c>
      <c r="H1290" s="3">
        <v>1</v>
      </c>
      <c r="I1290" s="5">
        <v>19</v>
      </c>
      <c r="J1290" t="s">
        <v>360</v>
      </c>
      <c r="K1290" t="s">
        <v>4500</v>
      </c>
      <c r="L1290">
        <v>536532</v>
      </c>
      <c r="M1290" s="2">
        <v>84992</v>
      </c>
      <c r="N1290">
        <v>0.55000000000000004</v>
      </c>
      <c r="O1290" s="6">
        <v>24</v>
      </c>
      <c r="P1290" s="3">
        <v>0.05</v>
      </c>
      <c r="Q1290" t="s">
        <v>5</v>
      </c>
      <c r="R1290" s="7">
        <f t="shared" si="60"/>
        <v>13.200000000000001</v>
      </c>
      <c r="S1290" s="7">
        <f t="shared" si="61"/>
        <v>0.66000000000000014</v>
      </c>
      <c r="T1290">
        <f>Table1[[#This Row],[Total price]]-Table1[[#This Row],[Discount Amount]]</f>
        <v>12.540000000000001</v>
      </c>
      <c r="U1290">
        <f t="shared" si="62"/>
        <v>300.96000000000004</v>
      </c>
    </row>
    <row r="1291" spans="1:21">
      <c r="A1291">
        <v>1290</v>
      </c>
      <c r="B1291" s="3" t="s">
        <v>1184</v>
      </c>
      <c r="C1291" s="3" t="s">
        <v>1183</v>
      </c>
      <c r="D1291" s="3" t="s">
        <v>2866</v>
      </c>
      <c r="E1291" s="3" t="s">
        <v>4314</v>
      </c>
      <c r="F1291" s="3">
        <v>460</v>
      </c>
      <c r="G1291" s="4">
        <v>41244.529861111114</v>
      </c>
      <c r="H1291" s="3">
        <v>2</v>
      </c>
      <c r="I1291" s="5">
        <v>18</v>
      </c>
      <c r="J1291" t="s">
        <v>193</v>
      </c>
      <c r="K1291" t="s">
        <v>4500</v>
      </c>
      <c r="L1291">
        <v>536532</v>
      </c>
      <c r="M1291" s="2">
        <v>21213</v>
      </c>
      <c r="N1291">
        <v>0.55000000000000004</v>
      </c>
      <c r="O1291" s="6">
        <v>24</v>
      </c>
      <c r="P1291" s="3">
        <v>7.0000000000000007E-2</v>
      </c>
      <c r="Q1291" t="s">
        <v>5</v>
      </c>
      <c r="R1291" s="7">
        <f t="shared" si="60"/>
        <v>13.200000000000001</v>
      </c>
      <c r="S1291" s="7">
        <f t="shared" si="61"/>
        <v>0.92400000000000015</v>
      </c>
      <c r="T1291">
        <f>Table1[[#This Row],[Total price]]-Table1[[#This Row],[Discount Amount]]</f>
        <v>12.276000000000002</v>
      </c>
      <c r="U1291">
        <f t="shared" si="62"/>
        <v>294.62400000000002</v>
      </c>
    </row>
    <row r="1292" spans="1:21">
      <c r="A1292">
        <v>1291</v>
      </c>
      <c r="B1292" s="3" t="s">
        <v>1182</v>
      </c>
      <c r="C1292" s="3" t="s">
        <v>1181</v>
      </c>
      <c r="D1292" s="3" t="s">
        <v>2866</v>
      </c>
      <c r="E1292" s="3" t="s">
        <v>4315</v>
      </c>
      <c r="F1292" s="3">
        <v>460</v>
      </c>
      <c r="G1292" s="4">
        <v>41244.529861111114</v>
      </c>
      <c r="H1292" s="3">
        <v>1</v>
      </c>
      <c r="I1292" s="5">
        <v>4</v>
      </c>
      <c r="J1292" t="s">
        <v>420</v>
      </c>
      <c r="K1292" t="s">
        <v>4500</v>
      </c>
      <c r="L1292">
        <v>536532</v>
      </c>
      <c r="M1292" s="2">
        <v>21977</v>
      </c>
      <c r="N1292">
        <v>0.55000000000000004</v>
      </c>
      <c r="O1292" s="6">
        <v>24</v>
      </c>
      <c r="P1292" s="3">
        <v>0.2</v>
      </c>
      <c r="Q1292" t="s">
        <v>5</v>
      </c>
      <c r="R1292" s="7">
        <f t="shared" si="60"/>
        <v>13.200000000000001</v>
      </c>
      <c r="S1292" s="7">
        <f t="shared" si="61"/>
        <v>2.6400000000000006</v>
      </c>
      <c r="T1292">
        <f>Table1[[#This Row],[Total price]]-Table1[[#This Row],[Discount Amount]]</f>
        <v>10.56</v>
      </c>
      <c r="U1292">
        <f t="shared" si="62"/>
        <v>253.44</v>
      </c>
    </row>
    <row r="1293" spans="1:21">
      <c r="A1293">
        <v>1292</v>
      </c>
      <c r="B1293" s="3" t="s">
        <v>1180</v>
      </c>
      <c r="C1293" s="3" t="s">
        <v>1179</v>
      </c>
      <c r="D1293" s="3" t="s">
        <v>2866</v>
      </c>
      <c r="E1293" s="3" t="s">
        <v>4316</v>
      </c>
      <c r="F1293" s="3">
        <v>460</v>
      </c>
      <c r="G1293" s="4">
        <v>41244.529861111114</v>
      </c>
      <c r="H1293" s="3">
        <v>1</v>
      </c>
      <c r="I1293" s="5">
        <v>22</v>
      </c>
      <c r="J1293" t="s">
        <v>363</v>
      </c>
      <c r="K1293" t="s">
        <v>4500</v>
      </c>
      <c r="L1293">
        <v>536532</v>
      </c>
      <c r="M1293" s="2">
        <v>21212</v>
      </c>
      <c r="N1293">
        <v>0.55000000000000004</v>
      </c>
      <c r="O1293" s="6">
        <v>24</v>
      </c>
      <c r="P1293" s="3">
        <v>0.1</v>
      </c>
      <c r="Q1293" t="s">
        <v>5</v>
      </c>
      <c r="R1293" s="7">
        <f t="shared" si="60"/>
        <v>13.200000000000001</v>
      </c>
      <c r="S1293" s="7">
        <f t="shared" si="61"/>
        <v>1.3200000000000003</v>
      </c>
      <c r="T1293">
        <f>Table1[[#This Row],[Total price]]-Table1[[#This Row],[Discount Amount]]</f>
        <v>11.88</v>
      </c>
      <c r="U1293">
        <f t="shared" si="62"/>
        <v>285.12</v>
      </c>
    </row>
    <row r="1294" spans="1:21">
      <c r="A1294">
        <v>1293</v>
      </c>
      <c r="B1294" s="3" t="s">
        <v>1178</v>
      </c>
      <c r="C1294" s="3" t="s">
        <v>1177</v>
      </c>
      <c r="D1294" s="3" t="s">
        <v>2866</v>
      </c>
      <c r="E1294" s="3" t="s">
        <v>4317</v>
      </c>
      <c r="F1294" s="3">
        <v>461</v>
      </c>
      <c r="G1294" s="4">
        <v>41244.529861111114</v>
      </c>
      <c r="H1294" s="3">
        <v>2</v>
      </c>
      <c r="I1294" s="5">
        <v>16</v>
      </c>
      <c r="J1294" t="s">
        <v>216</v>
      </c>
      <c r="K1294" t="s">
        <v>4500</v>
      </c>
      <c r="L1294">
        <v>536532</v>
      </c>
      <c r="M1294" s="2">
        <v>22198</v>
      </c>
      <c r="N1294">
        <v>1.65</v>
      </c>
      <c r="O1294" s="6">
        <v>48</v>
      </c>
      <c r="P1294" s="3">
        <v>7.0000000000000007E-2</v>
      </c>
      <c r="Q1294" t="s">
        <v>5</v>
      </c>
      <c r="R1294" s="7">
        <f t="shared" si="60"/>
        <v>79.199999999999989</v>
      </c>
      <c r="S1294" s="7">
        <f t="shared" si="61"/>
        <v>5.5439999999999996</v>
      </c>
      <c r="T1294">
        <f>Table1[[#This Row],[Total price]]-Table1[[#This Row],[Discount Amount]]</f>
        <v>73.655999999999992</v>
      </c>
      <c r="U1294">
        <f t="shared" si="62"/>
        <v>3535.4879999999994</v>
      </c>
    </row>
    <row r="1295" spans="1:21">
      <c r="A1295">
        <v>1294</v>
      </c>
      <c r="B1295" s="3" t="s">
        <v>1176</v>
      </c>
      <c r="C1295" s="3" t="s">
        <v>1175</v>
      </c>
      <c r="D1295" s="3" t="s">
        <v>2866</v>
      </c>
      <c r="E1295" s="3" t="s">
        <v>4318</v>
      </c>
      <c r="F1295" s="3">
        <v>461</v>
      </c>
      <c r="G1295" s="4">
        <v>41244.529861111114</v>
      </c>
      <c r="H1295" s="3">
        <v>2</v>
      </c>
      <c r="I1295" s="5">
        <v>4</v>
      </c>
      <c r="J1295" t="s">
        <v>75</v>
      </c>
      <c r="K1295" t="s">
        <v>4500</v>
      </c>
      <c r="L1295">
        <v>536532</v>
      </c>
      <c r="M1295" s="2">
        <v>22197</v>
      </c>
      <c r="N1295">
        <v>0.85</v>
      </c>
      <c r="O1295" s="6">
        <v>72</v>
      </c>
      <c r="P1295" s="3">
        <v>0.2</v>
      </c>
      <c r="Q1295" t="s">
        <v>5</v>
      </c>
      <c r="R1295" s="7">
        <f t="shared" si="60"/>
        <v>61.199999999999996</v>
      </c>
      <c r="S1295" s="7">
        <f t="shared" si="61"/>
        <v>12.24</v>
      </c>
      <c r="T1295">
        <f>Table1[[#This Row],[Total price]]-Table1[[#This Row],[Discount Amount]]</f>
        <v>48.959999999999994</v>
      </c>
      <c r="U1295">
        <f t="shared" si="62"/>
        <v>3525.1199999999994</v>
      </c>
    </row>
    <row r="1296" spans="1:21">
      <c r="A1296">
        <v>1295</v>
      </c>
      <c r="B1296" s="3" t="s">
        <v>1174</v>
      </c>
      <c r="C1296" s="3" t="s">
        <v>1173</v>
      </c>
      <c r="D1296" s="3" t="s">
        <v>2866</v>
      </c>
      <c r="E1296" s="3" t="s">
        <v>4319</v>
      </c>
      <c r="F1296" s="3">
        <v>461</v>
      </c>
      <c r="G1296" s="4">
        <v>41244.529861111114</v>
      </c>
      <c r="H1296" s="3">
        <v>2</v>
      </c>
      <c r="I1296" s="5">
        <v>8</v>
      </c>
      <c r="J1296" t="s">
        <v>523</v>
      </c>
      <c r="K1296" t="s">
        <v>4500</v>
      </c>
      <c r="L1296">
        <v>536532</v>
      </c>
      <c r="M1296" s="2">
        <v>22315</v>
      </c>
      <c r="N1296">
        <v>1.25</v>
      </c>
      <c r="O1296" s="6">
        <v>12</v>
      </c>
      <c r="P1296" s="3">
        <v>0.05</v>
      </c>
      <c r="Q1296" t="s">
        <v>5</v>
      </c>
      <c r="R1296" s="7">
        <f t="shared" si="60"/>
        <v>15</v>
      </c>
      <c r="S1296" s="7">
        <f t="shared" si="61"/>
        <v>0.75</v>
      </c>
      <c r="T1296">
        <f>Table1[[#This Row],[Total price]]-Table1[[#This Row],[Discount Amount]]</f>
        <v>14.25</v>
      </c>
      <c r="U1296">
        <f t="shared" si="62"/>
        <v>171</v>
      </c>
    </row>
    <row r="1297" spans="1:21">
      <c r="A1297">
        <v>1296</v>
      </c>
      <c r="B1297" s="3" t="s">
        <v>1058</v>
      </c>
      <c r="C1297" s="3" t="s">
        <v>1145</v>
      </c>
      <c r="D1297" s="3" t="s">
        <v>2866</v>
      </c>
      <c r="E1297" s="3" t="s">
        <v>4320</v>
      </c>
      <c r="F1297" s="3">
        <v>461</v>
      </c>
      <c r="G1297" s="4">
        <v>41244.529861111114</v>
      </c>
      <c r="H1297" s="3">
        <v>1</v>
      </c>
      <c r="I1297" s="5">
        <v>24</v>
      </c>
      <c r="J1297" t="s">
        <v>29</v>
      </c>
      <c r="K1297" t="s">
        <v>4500</v>
      </c>
      <c r="L1297">
        <v>536532</v>
      </c>
      <c r="M1297" s="2">
        <v>22667</v>
      </c>
      <c r="N1297">
        <v>2.95</v>
      </c>
      <c r="O1297" s="6">
        <v>12</v>
      </c>
      <c r="P1297" s="3">
        <v>0.1</v>
      </c>
      <c r="Q1297" t="s">
        <v>5</v>
      </c>
      <c r="R1297" s="7">
        <f t="shared" si="60"/>
        <v>35.400000000000006</v>
      </c>
      <c r="S1297" s="7">
        <f t="shared" si="61"/>
        <v>3.5400000000000009</v>
      </c>
      <c r="T1297">
        <f>Table1[[#This Row],[Total price]]-Table1[[#This Row],[Discount Amount]]</f>
        <v>31.860000000000007</v>
      </c>
      <c r="U1297">
        <f t="shared" si="62"/>
        <v>382.32000000000005</v>
      </c>
    </row>
    <row r="1298" spans="1:21">
      <c r="A1298">
        <v>1297</v>
      </c>
      <c r="B1298" s="3" t="s">
        <v>1172</v>
      </c>
      <c r="C1298" s="3" t="s">
        <v>1171</v>
      </c>
      <c r="D1298" s="3" t="s">
        <v>2866</v>
      </c>
      <c r="E1298" s="3" t="s">
        <v>4321</v>
      </c>
      <c r="F1298" s="3">
        <v>461</v>
      </c>
      <c r="G1298" s="4">
        <v>41244.529861111114</v>
      </c>
      <c r="H1298" s="3">
        <v>2</v>
      </c>
      <c r="I1298" s="5">
        <v>18</v>
      </c>
      <c r="J1298" t="s">
        <v>33</v>
      </c>
      <c r="K1298" t="s">
        <v>4500</v>
      </c>
      <c r="L1298">
        <v>536532</v>
      </c>
      <c r="M1298" s="2">
        <v>22666</v>
      </c>
      <c r="N1298">
        <v>2.95</v>
      </c>
      <c r="O1298" s="6">
        <v>12</v>
      </c>
      <c r="P1298" s="3">
        <v>0.1</v>
      </c>
      <c r="Q1298" t="s">
        <v>5</v>
      </c>
      <c r="R1298" s="7">
        <f t="shared" si="60"/>
        <v>35.400000000000006</v>
      </c>
      <c r="S1298" s="7">
        <f t="shared" si="61"/>
        <v>3.5400000000000009</v>
      </c>
      <c r="T1298">
        <f>Table1[[#This Row],[Total price]]-Table1[[#This Row],[Discount Amount]]</f>
        <v>31.860000000000007</v>
      </c>
      <c r="U1298">
        <f t="shared" si="62"/>
        <v>382.32000000000005</v>
      </c>
    </row>
    <row r="1299" spans="1:21">
      <c r="A1299">
        <v>1298</v>
      </c>
      <c r="B1299" s="3" t="s">
        <v>1170</v>
      </c>
      <c r="C1299" s="3" t="s">
        <v>1169</v>
      </c>
      <c r="D1299" s="3" t="s">
        <v>2866</v>
      </c>
      <c r="E1299" s="3" t="s">
        <v>4322</v>
      </c>
      <c r="F1299" s="3">
        <v>462</v>
      </c>
      <c r="G1299" s="4">
        <v>41244.529861111114</v>
      </c>
      <c r="H1299" s="3">
        <v>1</v>
      </c>
      <c r="I1299" s="5">
        <v>12</v>
      </c>
      <c r="J1299" t="s">
        <v>31</v>
      </c>
      <c r="K1299" t="s">
        <v>4500</v>
      </c>
      <c r="L1299">
        <v>536532</v>
      </c>
      <c r="M1299" s="2">
        <v>22665</v>
      </c>
      <c r="N1299">
        <v>2.95</v>
      </c>
      <c r="O1299" s="6">
        <v>12</v>
      </c>
      <c r="P1299" s="3">
        <v>0.1</v>
      </c>
      <c r="Q1299" t="s">
        <v>5</v>
      </c>
      <c r="R1299" s="7">
        <f t="shared" si="60"/>
        <v>35.400000000000006</v>
      </c>
      <c r="S1299" s="7">
        <f t="shared" si="61"/>
        <v>3.5400000000000009</v>
      </c>
      <c r="T1299">
        <f>Table1[[#This Row],[Total price]]-Table1[[#This Row],[Discount Amount]]</f>
        <v>31.860000000000007</v>
      </c>
      <c r="U1299">
        <f t="shared" si="62"/>
        <v>382.32000000000005</v>
      </c>
    </row>
    <row r="1300" spans="1:21">
      <c r="A1300">
        <v>1299</v>
      </c>
      <c r="B1300" s="3" t="s">
        <v>1168</v>
      </c>
      <c r="C1300" s="3" t="s">
        <v>1167</v>
      </c>
      <c r="D1300" s="3" t="s">
        <v>2866</v>
      </c>
      <c r="E1300" s="3" t="s">
        <v>4323</v>
      </c>
      <c r="F1300" s="3">
        <v>463</v>
      </c>
      <c r="G1300" s="4">
        <v>41244.529861111114</v>
      </c>
      <c r="H1300" s="3">
        <v>2</v>
      </c>
      <c r="I1300" s="5">
        <v>13</v>
      </c>
      <c r="J1300" t="s">
        <v>839</v>
      </c>
      <c r="K1300" t="s">
        <v>4500</v>
      </c>
      <c r="L1300">
        <v>536532</v>
      </c>
      <c r="M1300" s="2">
        <v>22558</v>
      </c>
      <c r="N1300">
        <v>1.49</v>
      </c>
      <c r="O1300" s="6">
        <v>24</v>
      </c>
      <c r="P1300" s="3">
        <v>7.0000000000000007E-2</v>
      </c>
      <c r="Q1300" t="s">
        <v>5</v>
      </c>
      <c r="R1300" s="7">
        <f t="shared" si="60"/>
        <v>35.76</v>
      </c>
      <c r="S1300" s="7">
        <f t="shared" si="61"/>
        <v>2.5032000000000001</v>
      </c>
      <c r="T1300">
        <f>Table1[[#This Row],[Total price]]-Table1[[#This Row],[Discount Amount]]</f>
        <v>33.256799999999998</v>
      </c>
      <c r="U1300">
        <f t="shared" si="62"/>
        <v>798.16319999999996</v>
      </c>
    </row>
    <row r="1301" spans="1:21">
      <c r="A1301">
        <v>1300</v>
      </c>
      <c r="B1301" s="3" t="s">
        <v>1166</v>
      </c>
      <c r="C1301" s="3" t="s">
        <v>1165</v>
      </c>
      <c r="D1301" s="3" t="s">
        <v>2866</v>
      </c>
      <c r="E1301" s="3" t="s">
        <v>4324</v>
      </c>
      <c r="F1301" s="3">
        <v>464</v>
      </c>
      <c r="G1301" s="4">
        <v>41244.529861111114</v>
      </c>
      <c r="H1301" s="3">
        <v>2</v>
      </c>
      <c r="I1301" s="5">
        <v>7</v>
      </c>
      <c r="J1301" t="s">
        <v>565</v>
      </c>
      <c r="K1301" t="s">
        <v>4500</v>
      </c>
      <c r="L1301">
        <v>536532</v>
      </c>
      <c r="M1301" s="2">
        <v>22567</v>
      </c>
      <c r="N1301">
        <v>1.25</v>
      </c>
      <c r="O1301" s="6">
        <v>24</v>
      </c>
      <c r="P1301" s="3">
        <v>0.1</v>
      </c>
      <c r="Q1301" t="s">
        <v>5</v>
      </c>
      <c r="R1301" s="7">
        <f t="shared" si="60"/>
        <v>30</v>
      </c>
      <c r="S1301" s="7">
        <f t="shared" si="61"/>
        <v>3</v>
      </c>
      <c r="T1301">
        <f>Table1[[#This Row],[Total price]]-Table1[[#This Row],[Discount Amount]]</f>
        <v>27</v>
      </c>
      <c r="U1301">
        <f t="shared" si="62"/>
        <v>648</v>
      </c>
    </row>
    <row r="1302" spans="1:21">
      <c r="A1302">
        <v>1301</v>
      </c>
      <c r="B1302" s="3" t="s">
        <v>1164</v>
      </c>
      <c r="C1302" s="3" t="s">
        <v>1163</v>
      </c>
      <c r="D1302" s="3" t="s">
        <v>2866</v>
      </c>
      <c r="E1302" s="3" t="s">
        <v>4325</v>
      </c>
      <c r="F1302" s="3">
        <v>465</v>
      </c>
      <c r="G1302" s="4">
        <v>41244.529861111114</v>
      </c>
      <c r="H1302" s="3">
        <v>1</v>
      </c>
      <c r="I1302" s="5">
        <v>6</v>
      </c>
      <c r="J1302" t="s">
        <v>404</v>
      </c>
      <c r="K1302" t="s">
        <v>4500</v>
      </c>
      <c r="L1302">
        <v>536532</v>
      </c>
      <c r="M1302" s="2">
        <v>85150</v>
      </c>
      <c r="N1302">
        <v>2.5499999999999998</v>
      </c>
      <c r="O1302" s="6">
        <v>12</v>
      </c>
      <c r="P1302" s="3">
        <v>0.1</v>
      </c>
      <c r="Q1302" t="s">
        <v>5</v>
      </c>
      <c r="R1302" s="7">
        <f t="shared" si="60"/>
        <v>30.599999999999998</v>
      </c>
      <c r="S1302" s="7">
        <f t="shared" si="61"/>
        <v>3.06</v>
      </c>
      <c r="T1302">
        <f>Table1[[#This Row],[Total price]]-Table1[[#This Row],[Discount Amount]]</f>
        <v>27.54</v>
      </c>
      <c r="U1302">
        <f t="shared" si="62"/>
        <v>330.48</v>
      </c>
    </row>
    <row r="1303" spans="1:21">
      <c r="A1303">
        <v>1302</v>
      </c>
      <c r="B1303" s="3" t="s">
        <v>1162</v>
      </c>
      <c r="C1303" s="3" t="s">
        <v>1161</v>
      </c>
      <c r="D1303" s="3" t="s">
        <v>2866</v>
      </c>
      <c r="E1303" s="3" t="s">
        <v>4326</v>
      </c>
      <c r="F1303" s="3">
        <v>465</v>
      </c>
      <c r="G1303" s="4">
        <v>41244.529861111114</v>
      </c>
      <c r="H1303" s="3">
        <v>2</v>
      </c>
      <c r="I1303" s="5">
        <v>25</v>
      </c>
      <c r="J1303" t="s">
        <v>445</v>
      </c>
      <c r="K1303" t="s">
        <v>4500</v>
      </c>
      <c r="L1303">
        <v>536532</v>
      </c>
      <c r="M1303" s="2">
        <v>21166</v>
      </c>
      <c r="N1303">
        <v>1.95</v>
      </c>
      <c r="O1303" s="6">
        <v>12</v>
      </c>
      <c r="P1303" s="3">
        <v>0.1</v>
      </c>
      <c r="Q1303" t="s">
        <v>5</v>
      </c>
      <c r="R1303" s="7">
        <f t="shared" si="60"/>
        <v>23.4</v>
      </c>
      <c r="S1303" s="7">
        <f t="shared" si="61"/>
        <v>2.34</v>
      </c>
      <c r="T1303">
        <f>Table1[[#This Row],[Total price]]-Table1[[#This Row],[Discount Amount]]</f>
        <v>21.06</v>
      </c>
      <c r="U1303">
        <f t="shared" si="62"/>
        <v>252.71999999999997</v>
      </c>
    </row>
    <row r="1304" spans="1:21">
      <c r="A1304">
        <v>1303</v>
      </c>
      <c r="B1304" s="3" t="s">
        <v>1160</v>
      </c>
      <c r="C1304" s="3" t="s">
        <v>1159</v>
      </c>
      <c r="D1304" s="3" t="s">
        <v>2866</v>
      </c>
      <c r="E1304" s="3" t="s">
        <v>4327</v>
      </c>
      <c r="F1304" s="3">
        <v>466</v>
      </c>
      <c r="G1304" s="4">
        <v>41244.529861111114</v>
      </c>
      <c r="H1304" s="3">
        <v>2</v>
      </c>
      <c r="I1304" s="5">
        <v>19</v>
      </c>
      <c r="J1304" t="s">
        <v>111</v>
      </c>
      <c r="K1304" t="s">
        <v>4500</v>
      </c>
      <c r="L1304">
        <v>536532</v>
      </c>
      <c r="M1304" s="2">
        <v>85152</v>
      </c>
      <c r="N1304">
        <v>2.1</v>
      </c>
      <c r="O1304" s="6">
        <v>24</v>
      </c>
      <c r="P1304" s="3">
        <v>0.2</v>
      </c>
      <c r="Q1304" t="s">
        <v>5</v>
      </c>
      <c r="R1304" s="7">
        <f t="shared" si="60"/>
        <v>50.400000000000006</v>
      </c>
      <c r="S1304" s="7">
        <f t="shared" si="61"/>
        <v>10.080000000000002</v>
      </c>
      <c r="T1304">
        <f>Table1[[#This Row],[Total price]]-Table1[[#This Row],[Discount Amount]]</f>
        <v>40.320000000000007</v>
      </c>
      <c r="U1304">
        <f t="shared" si="62"/>
        <v>967.68000000000018</v>
      </c>
    </row>
    <row r="1305" spans="1:21">
      <c r="A1305">
        <v>1304</v>
      </c>
      <c r="B1305" s="3" t="s">
        <v>1158</v>
      </c>
      <c r="C1305" s="3" t="s">
        <v>1157</v>
      </c>
      <c r="D1305" s="3" t="s">
        <v>2866</v>
      </c>
      <c r="E1305" s="3" t="s">
        <v>4328</v>
      </c>
      <c r="F1305" s="3">
        <v>466</v>
      </c>
      <c r="G1305" s="4">
        <v>41244.529861111114</v>
      </c>
      <c r="H1305" s="3">
        <v>2</v>
      </c>
      <c r="I1305" s="5">
        <v>6</v>
      </c>
      <c r="J1305" t="s">
        <v>314</v>
      </c>
      <c r="K1305" t="s">
        <v>4500</v>
      </c>
      <c r="L1305">
        <v>536532</v>
      </c>
      <c r="M1305" s="2">
        <v>82600</v>
      </c>
      <c r="N1305">
        <v>2.1</v>
      </c>
      <c r="O1305" s="6">
        <v>24</v>
      </c>
      <c r="P1305" s="3">
        <v>0.2</v>
      </c>
      <c r="Q1305" t="s">
        <v>5</v>
      </c>
      <c r="R1305" s="7">
        <f t="shared" si="60"/>
        <v>50.400000000000006</v>
      </c>
      <c r="S1305" s="7">
        <f t="shared" si="61"/>
        <v>10.080000000000002</v>
      </c>
      <c r="T1305">
        <f>Table1[[#This Row],[Total price]]-Table1[[#This Row],[Discount Amount]]</f>
        <v>40.320000000000007</v>
      </c>
      <c r="U1305">
        <f t="shared" si="62"/>
        <v>967.68000000000018</v>
      </c>
    </row>
    <row r="1306" spans="1:21">
      <c r="A1306">
        <v>1305</v>
      </c>
      <c r="B1306" s="3" t="s">
        <v>1156</v>
      </c>
      <c r="C1306" s="3" t="s">
        <v>1155</v>
      </c>
      <c r="D1306" s="3" t="s">
        <v>4329</v>
      </c>
      <c r="E1306" s="3" t="s">
        <v>4330</v>
      </c>
      <c r="F1306" s="3">
        <v>466</v>
      </c>
      <c r="G1306" s="4">
        <v>41244.529861111114</v>
      </c>
      <c r="H1306" s="3">
        <v>1</v>
      </c>
      <c r="I1306" s="5">
        <v>7</v>
      </c>
      <c r="J1306" t="s">
        <v>66</v>
      </c>
      <c r="K1306" t="s">
        <v>4500</v>
      </c>
      <c r="L1306">
        <v>536532</v>
      </c>
      <c r="M1306" s="2">
        <v>21733</v>
      </c>
      <c r="N1306">
        <v>2.95</v>
      </c>
      <c r="O1306" s="6">
        <v>6</v>
      </c>
      <c r="P1306" s="3">
        <v>0.05</v>
      </c>
      <c r="Q1306" t="s">
        <v>5</v>
      </c>
      <c r="R1306" s="7">
        <f t="shared" si="60"/>
        <v>17.700000000000003</v>
      </c>
      <c r="S1306" s="7">
        <f t="shared" si="61"/>
        <v>0.88500000000000023</v>
      </c>
      <c r="T1306">
        <f>Table1[[#This Row],[Total price]]-Table1[[#This Row],[Discount Amount]]</f>
        <v>16.815000000000001</v>
      </c>
      <c r="U1306">
        <f t="shared" si="62"/>
        <v>100.89000000000001</v>
      </c>
    </row>
    <row r="1307" spans="1:21">
      <c r="A1307">
        <v>1306</v>
      </c>
      <c r="B1307" s="3" t="s">
        <v>1154</v>
      </c>
      <c r="C1307" s="3" t="s">
        <v>1153</v>
      </c>
      <c r="D1307" s="3" t="s">
        <v>2866</v>
      </c>
      <c r="E1307" s="3" t="s">
        <v>4331</v>
      </c>
      <c r="F1307" s="3">
        <v>466</v>
      </c>
      <c r="G1307" s="4">
        <v>41244.529861111114</v>
      </c>
      <c r="H1307" s="3">
        <v>1</v>
      </c>
      <c r="I1307" s="5">
        <v>15</v>
      </c>
      <c r="J1307" t="s">
        <v>301</v>
      </c>
      <c r="K1307" t="s">
        <v>4500</v>
      </c>
      <c r="L1307">
        <v>536532</v>
      </c>
      <c r="M1307" s="2">
        <v>20685</v>
      </c>
      <c r="N1307">
        <v>7.95</v>
      </c>
      <c r="O1307" s="6">
        <v>2</v>
      </c>
      <c r="P1307" s="3">
        <v>0.1</v>
      </c>
      <c r="Q1307" t="s">
        <v>5</v>
      </c>
      <c r="R1307" s="7">
        <f t="shared" si="60"/>
        <v>15.9</v>
      </c>
      <c r="S1307" s="7">
        <f t="shared" si="61"/>
        <v>1.59</v>
      </c>
      <c r="T1307">
        <f>Table1[[#This Row],[Total price]]-Table1[[#This Row],[Discount Amount]]</f>
        <v>14.31</v>
      </c>
      <c r="U1307">
        <f t="shared" si="62"/>
        <v>28.62</v>
      </c>
    </row>
    <row r="1308" spans="1:21">
      <c r="A1308">
        <v>1307</v>
      </c>
      <c r="B1308" s="3" t="s">
        <v>1152</v>
      </c>
      <c r="C1308" s="3" t="s">
        <v>1151</v>
      </c>
      <c r="D1308" s="3" t="s">
        <v>2866</v>
      </c>
      <c r="E1308" s="3" t="s">
        <v>4332</v>
      </c>
      <c r="F1308" s="3">
        <v>466</v>
      </c>
      <c r="G1308" s="4">
        <v>41244.529861111114</v>
      </c>
      <c r="H1308" s="3">
        <v>2</v>
      </c>
      <c r="I1308" s="5">
        <v>5</v>
      </c>
      <c r="J1308" t="s">
        <v>178</v>
      </c>
      <c r="K1308" t="s">
        <v>4500</v>
      </c>
      <c r="L1308">
        <v>536532</v>
      </c>
      <c r="M1308" s="2">
        <v>22842</v>
      </c>
      <c r="N1308">
        <v>6.75</v>
      </c>
      <c r="O1308" s="6">
        <v>6</v>
      </c>
      <c r="P1308" s="3">
        <v>0.1</v>
      </c>
      <c r="Q1308" t="s">
        <v>5</v>
      </c>
      <c r="R1308" s="7">
        <f t="shared" si="60"/>
        <v>40.5</v>
      </c>
      <c r="S1308" s="7">
        <f t="shared" si="61"/>
        <v>4.05</v>
      </c>
      <c r="T1308">
        <f>Table1[[#This Row],[Total price]]-Table1[[#This Row],[Discount Amount]]</f>
        <v>36.450000000000003</v>
      </c>
      <c r="U1308">
        <f t="shared" si="62"/>
        <v>218.70000000000002</v>
      </c>
    </row>
    <row r="1309" spans="1:21">
      <c r="A1309">
        <v>1308</v>
      </c>
      <c r="B1309" s="3" t="s">
        <v>1150</v>
      </c>
      <c r="C1309" s="3" t="s">
        <v>1149</v>
      </c>
      <c r="D1309" s="3" t="s">
        <v>2866</v>
      </c>
      <c r="E1309" s="3" t="s">
        <v>4333</v>
      </c>
      <c r="F1309" s="3">
        <v>467</v>
      </c>
      <c r="G1309" s="4">
        <v>41244.529861111114</v>
      </c>
      <c r="H1309" s="3">
        <v>2</v>
      </c>
      <c r="I1309" s="5">
        <v>19</v>
      </c>
      <c r="J1309" t="s">
        <v>409</v>
      </c>
      <c r="K1309" t="s">
        <v>4500</v>
      </c>
      <c r="L1309">
        <v>536532</v>
      </c>
      <c r="M1309" s="2">
        <v>22494</v>
      </c>
      <c r="N1309">
        <v>1.25</v>
      </c>
      <c r="O1309" s="6">
        <v>24</v>
      </c>
      <c r="P1309" s="3">
        <v>7.0000000000000007E-2</v>
      </c>
      <c r="Q1309" t="s">
        <v>5</v>
      </c>
      <c r="R1309" s="7">
        <f t="shared" si="60"/>
        <v>30</v>
      </c>
      <c r="S1309" s="7">
        <f t="shared" si="61"/>
        <v>2.1</v>
      </c>
      <c r="T1309">
        <f>Table1[[#This Row],[Total price]]-Table1[[#This Row],[Discount Amount]]</f>
        <v>27.9</v>
      </c>
      <c r="U1309">
        <f t="shared" si="62"/>
        <v>669.59999999999991</v>
      </c>
    </row>
    <row r="1310" spans="1:21">
      <c r="A1310">
        <v>1309</v>
      </c>
      <c r="B1310" s="3" t="s">
        <v>1148</v>
      </c>
      <c r="C1310" s="3" t="s">
        <v>898</v>
      </c>
      <c r="D1310" s="3" t="s">
        <v>2866</v>
      </c>
      <c r="E1310" s="3" t="s">
        <v>4334</v>
      </c>
      <c r="F1310" s="3">
        <v>467</v>
      </c>
      <c r="G1310" s="4">
        <v>41244.529861111114</v>
      </c>
      <c r="H1310" s="3">
        <v>1</v>
      </c>
      <c r="I1310" s="5">
        <v>10</v>
      </c>
      <c r="J1310" t="s">
        <v>566</v>
      </c>
      <c r="K1310" t="s">
        <v>4500</v>
      </c>
      <c r="L1310">
        <v>536532</v>
      </c>
      <c r="M1310" s="2">
        <v>21260</v>
      </c>
      <c r="N1310">
        <v>3.25</v>
      </c>
      <c r="O1310" s="6">
        <v>12</v>
      </c>
      <c r="P1310" s="3">
        <v>7.0000000000000007E-2</v>
      </c>
      <c r="Q1310" t="s">
        <v>5</v>
      </c>
      <c r="R1310" s="7">
        <f t="shared" si="60"/>
        <v>39</v>
      </c>
      <c r="S1310" s="7">
        <f t="shared" si="61"/>
        <v>2.7300000000000004</v>
      </c>
      <c r="T1310">
        <f>Table1[[#This Row],[Total price]]-Table1[[#This Row],[Discount Amount]]</f>
        <v>36.269999999999996</v>
      </c>
      <c r="U1310">
        <f t="shared" si="62"/>
        <v>435.23999999999995</v>
      </c>
    </row>
    <row r="1311" spans="1:21">
      <c r="A1311">
        <v>1310</v>
      </c>
      <c r="B1311" s="3" t="s">
        <v>1147</v>
      </c>
      <c r="C1311" s="3" t="s">
        <v>1146</v>
      </c>
      <c r="D1311" s="3" t="s">
        <v>2866</v>
      </c>
      <c r="E1311" s="3" t="s">
        <v>4335</v>
      </c>
      <c r="F1311" s="3">
        <v>467</v>
      </c>
      <c r="G1311" s="4">
        <v>41244.529861111114</v>
      </c>
      <c r="H1311" s="3">
        <v>2</v>
      </c>
      <c r="I1311" s="5">
        <v>22</v>
      </c>
      <c r="J1311" t="s">
        <v>249</v>
      </c>
      <c r="K1311" t="s">
        <v>4500</v>
      </c>
      <c r="L1311">
        <v>536533</v>
      </c>
      <c r="M1311" s="2">
        <v>20754</v>
      </c>
      <c r="N1311">
        <v>2.1</v>
      </c>
      <c r="O1311" s="6">
        <v>6</v>
      </c>
      <c r="P1311" s="3">
        <v>0.1</v>
      </c>
      <c r="Q1311" t="s">
        <v>5</v>
      </c>
      <c r="R1311" s="7">
        <f t="shared" si="60"/>
        <v>12.600000000000001</v>
      </c>
      <c r="S1311" s="7">
        <f t="shared" si="61"/>
        <v>1.2600000000000002</v>
      </c>
      <c r="T1311">
        <f>Table1[[#This Row],[Total price]]-Table1[[#This Row],[Discount Amount]]</f>
        <v>11.340000000000002</v>
      </c>
      <c r="U1311">
        <f t="shared" si="62"/>
        <v>68.040000000000006</v>
      </c>
    </row>
    <row r="1312" spans="1:21">
      <c r="A1312">
        <v>1311</v>
      </c>
      <c r="B1312" s="3" t="s">
        <v>1145</v>
      </c>
      <c r="C1312" s="3" t="s">
        <v>1144</v>
      </c>
      <c r="D1312" s="3" t="s">
        <v>2866</v>
      </c>
      <c r="E1312" s="3" t="s">
        <v>4336</v>
      </c>
      <c r="F1312" s="3">
        <v>467</v>
      </c>
      <c r="G1312" s="4">
        <v>41244.529861111114</v>
      </c>
      <c r="H1312" s="3">
        <v>1</v>
      </c>
      <c r="I1312" s="5">
        <v>17</v>
      </c>
      <c r="J1312" t="s">
        <v>651</v>
      </c>
      <c r="K1312" t="s">
        <v>4500</v>
      </c>
      <c r="L1312">
        <v>536533</v>
      </c>
      <c r="M1312" s="2">
        <v>22740</v>
      </c>
      <c r="N1312">
        <v>0.85</v>
      </c>
      <c r="O1312" s="6">
        <v>48</v>
      </c>
      <c r="P1312" s="3">
        <v>7.0000000000000007E-2</v>
      </c>
      <c r="Q1312" t="s">
        <v>5</v>
      </c>
      <c r="R1312" s="7">
        <f t="shared" si="60"/>
        <v>40.799999999999997</v>
      </c>
      <c r="S1312" s="7">
        <f t="shared" si="61"/>
        <v>2.8559999999999999</v>
      </c>
      <c r="T1312">
        <f>Table1[[#This Row],[Total price]]-Table1[[#This Row],[Discount Amount]]</f>
        <v>37.943999999999996</v>
      </c>
      <c r="U1312">
        <f t="shared" si="62"/>
        <v>1821.3119999999999</v>
      </c>
    </row>
    <row r="1313" spans="1:21">
      <c r="A1313">
        <v>1312</v>
      </c>
      <c r="B1313" s="3" t="s">
        <v>1143</v>
      </c>
      <c r="C1313" s="3" t="s">
        <v>1142</v>
      </c>
      <c r="D1313" s="3" t="s">
        <v>2866</v>
      </c>
      <c r="E1313" s="3" t="s">
        <v>4337</v>
      </c>
      <c r="F1313" s="3">
        <v>467</v>
      </c>
      <c r="G1313" s="4">
        <v>41244.529861111114</v>
      </c>
      <c r="H1313" s="3">
        <v>1</v>
      </c>
      <c r="I1313" s="5">
        <v>11</v>
      </c>
      <c r="J1313" t="s">
        <v>546</v>
      </c>
      <c r="K1313" t="s">
        <v>4500</v>
      </c>
      <c r="L1313">
        <v>536533</v>
      </c>
      <c r="M1313" s="2">
        <v>22825</v>
      </c>
      <c r="N1313">
        <v>7.95</v>
      </c>
      <c r="O1313" s="6">
        <v>2</v>
      </c>
      <c r="P1313" s="3">
        <v>0.1</v>
      </c>
      <c r="Q1313" t="s">
        <v>5</v>
      </c>
      <c r="R1313" s="7">
        <f t="shared" si="60"/>
        <v>15.9</v>
      </c>
      <c r="S1313" s="7">
        <f t="shared" si="61"/>
        <v>1.59</v>
      </c>
      <c r="T1313">
        <f>Table1[[#This Row],[Total price]]-Table1[[#This Row],[Discount Amount]]</f>
        <v>14.31</v>
      </c>
      <c r="U1313">
        <f t="shared" si="62"/>
        <v>28.62</v>
      </c>
    </row>
    <row r="1314" spans="1:21">
      <c r="A1314">
        <v>1313</v>
      </c>
      <c r="B1314" s="3" t="s">
        <v>1141</v>
      </c>
      <c r="C1314" s="3" t="s">
        <v>1140</v>
      </c>
      <c r="D1314" s="3" t="s">
        <v>2866</v>
      </c>
      <c r="E1314" s="3" t="s">
        <v>4338</v>
      </c>
      <c r="F1314" s="3">
        <v>468</v>
      </c>
      <c r="G1314" s="4">
        <v>41244.529861111114</v>
      </c>
      <c r="H1314" s="3">
        <v>2</v>
      </c>
      <c r="I1314" s="5">
        <v>19</v>
      </c>
      <c r="J1314" t="s">
        <v>845</v>
      </c>
      <c r="K1314" t="s">
        <v>4500</v>
      </c>
      <c r="L1314">
        <v>536533</v>
      </c>
      <c r="M1314" s="2">
        <v>22680</v>
      </c>
      <c r="N1314">
        <v>1.25</v>
      </c>
      <c r="O1314" s="6">
        <v>20</v>
      </c>
      <c r="P1314" s="3">
        <v>0.1</v>
      </c>
      <c r="Q1314" t="s">
        <v>5</v>
      </c>
      <c r="R1314" s="7">
        <f t="shared" si="60"/>
        <v>25</v>
      </c>
      <c r="S1314" s="7">
        <f t="shared" si="61"/>
        <v>2.5</v>
      </c>
      <c r="T1314">
        <f>Table1[[#This Row],[Total price]]-Table1[[#This Row],[Discount Amount]]</f>
        <v>22.5</v>
      </c>
      <c r="U1314">
        <f t="shared" si="62"/>
        <v>450</v>
      </c>
    </row>
    <row r="1315" spans="1:21">
      <c r="A1315">
        <v>1314</v>
      </c>
      <c r="B1315" s="3" t="s">
        <v>1139</v>
      </c>
      <c r="C1315" s="3" t="s">
        <v>1138</v>
      </c>
      <c r="D1315" s="3" t="s">
        <v>2866</v>
      </c>
      <c r="E1315" s="3" t="s">
        <v>4339</v>
      </c>
      <c r="F1315" s="3">
        <v>468</v>
      </c>
      <c r="G1315" s="4">
        <v>41244.529861111114</v>
      </c>
      <c r="H1315" s="3">
        <v>3</v>
      </c>
      <c r="I1315" s="5">
        <v>9</v>
      </c>
      <c r="J1315" t="s">
        <v>239</v>
      </c>
      <c r="K1315" t="s">
        <v>4497</v>
      </c>
      <c r="L1315">
        <v>536533</v>
      </c>
      <c r="M1315" s="2">
        <v>22797</v>
      </c>
      <c r="N1315">
        <v>16.95</v>
      </c>
      <c r="O1315" s="6">
        <v>100</v>
      </c>
      <c r="P1315" s="3">
        <v>0.05</v>
      </c>
      <c r="Q1315" t="s">
        <v>9</v>
      </c>
      <c r="R1315" s="7">
        <f t="shared" si="60"/>
        <v>1695</v>
      </c>
      <c r="S1315" s="7">
        <f t="shared" si="61"/>
        <v>84.75</v>
      </c>
      <c r="T1315">
        <f>Table1[[#This Row],[Total price]]-Table1[[#This Row],[Discount Amount]]</f>
        <v>1610.25</v>
      </c>
      <c r="U1315">
        <f t="shared" si="62"/>
        <v>161025</v>
      </c>
    </row>
    <row r="1316" spans="1:21">
      <c r="A1316">
        <v>1315</v>
      </c>
      <c r="B1316" s="3" t="s">
        <v>1107</v>
      </c>
      <c r="C1316" s="3" t="s">
        <v>1137</v>
      </c>
      <c r="D1316" s="3" t="s">
        <v>2866</v>
      </c>
      <c r="E1316" s="3" t="s">
        <v>4340</v>
      </c>
      <c r="F1316" s="3">
        <v>468</v>
      </c>
      <c r="G1316" s="4">
        <v>41244.529861111114</v>
      </c>
      <c r="H1316" s="3">
        <v>3</v>
      </c>
      <c r="I1316" s="5">
        <v>10</v>
      </c>
      <c r="J1316" t="s">
        <v>199</v>
      </c>
      <c r="K1316" t="s">
        <v>4497</v>
      </c>
      <c r="L1316">
        <v>536533</v>
      </c>
      <c r="M1316" s="2">
        <v>21843</v>
      </c>
      <c r="N1316">
        <v>10.95</v>
      </c>
      <c r="O1316" s="6">
        <v>100</v>
      </c>
      <c r="P1316" s="3">
        <v>0.05</v>
      </c>
      <c r="Q1316" t="s">
        <v>9</v>
      </c>
      <c r="R1316" s="7">
        <f t="shared" si="60"/>
        <v>1095</v>
      </c>
      <c r="S1316" s="7">
        <f t="shared" si="61"/>
        <v>54.75</v>
      </c>
      <c r="T1316">
        <f>Table1[[#This Row],[Total price]]-Table1[[#This Row],[Discount Amount]]</f>
        <v>1040.25</v>
      </c>
      <c r="U1316">
        <f t="shared" si="62"/>
        <v>104025</v>
      </c>
    </row>
    <row r="1317" spans="1:21">
      <c r="A1317">
        <v>1316</v>
      </c>
      <c r="B1317" s="3" t="s">
        <v>1136</v>
      </c>
      <c r="C1317" s="3" t="s">
        <v>1135</v>
      </c>
      <c r="D1317" s="3" t="s">
        <v>2866</v>
      </c>
      <c r="E1317" s="3" t="s">
        <v>4341</v>
      </c>
      <c r="F1317" s="3">
        <v>468</v>
      </c>
      <c r="G1317" s="4">
        <v>41244.529861111114</v>
      </c>
      <c r="H1317" s="3">
        <v>3</v>
      </c>
      <c r="I1317" s="5">
        <v>25</v>
      </c>
      <c r="J1317" t="s">
        <v>158</v>
      </c>
      <c r="K1317" t="s">
        <v>4497</v>
      </c>
      <c r="L1317">
        <v>536534</v>
      </c>
      <c r="M1317" s="2">
        <v>22866</v>
      </c>
      <c r="N1317">
        <v>2.1</v>
      </c>
      <c r="O1317" s="6">
        <v>100</v>
      </c>
      <c r="P1317" s="3">
        <v>0.1</v>
      </c>
      <c r="Q1317" t="s">
        <v>9</v>
      </c>
      <c r="R1317" s="7">
        <f t="shared" si="60"/>
        <v>210</v>
      </c>
      <c r="S1317" s="7">
        <f t="shared" si="61"/>
        <v>21</v>
      </c>
      <c r="T1317">
        <f>Table1[[#This Row],[Total price]]-Table1[[#This Row],[Discount Amount]]</f>
        <v>189</v>
      </c>
      <c r="U1317">
        <f t="shared" si="62"/>
        <v>18900</v>
      </c>
    </row>
    <row r="1318" spans="1:21">
      <c r="A1318">
        <v>1317</v>
      </c>
      <c r="B1318" s="3" t="s">
        <v>1134</v>
      </c>
      <c r="C1318" s="3" t="s">
        <v>1133</v>
      </c>
      <c r="D1318" s="3" t="s">
        <v>2866</v>
      </c>
      <c r="E1318" s="3" t="s">
        <v>4342</v>
      </c>
      <c r="F1318" s="3">
        <v>469</v>
      </c>
      <c r="G1318" s="4">
        <v>41244.529861111114</v>
      </c>
      <c r="H1318" s="3">
        <v>3</v>
      </c>
      <c r="I1318" s="5">
        <v>8</v>
      </c>
      <c r="J1318" t="s">
        <v>157</v>
      </c>
      <c r="K1318" t="s">
        <v>4497</v>
      </c>
      <c r="L1318">
        <v>536534</v>
      </c>
      <c r="M1318" s="2">
        <v>22834</v>
      </c>
      <c r="N1318">
        <v>2.1</v>
      </c>
      <c r="O1318" s="6">
        <v>100</v>
      </c>
      <c r="P1318" s="3">
        <v>0.1</v>
      </c>
      <c r="Q1318" t="s">
        <v>9</v>
      </c>
      <c r="R1318" s="7">
        <f t="shared" si="60"/>
        <v>210</v>
      </c>
      <c r="S1318" s="7">
        <f t="shared" si="61"/>
        <v>21</v>
      </c>
      <c r="T1318">
        <f>Table1[[#This Row],[Total price]]-Table1[[#This Row],[Discount Amount]]</f>
        <v>189</v>
      </c>
      <c r="U1318">
        <f t="shared" si="62"/>
        <v>18900</v>
      </c>
    </row>
    <row r="1319" spans="1:21">
      <c r="A1319">
        <v>1318</v>
      </c>
      <c r="B1319" s="3" t="s">
        <v>1132</v>
      </c>
      <c r="C1319" s="3" t="s">
        <v>1131</v>
      </c>
      <c r="D1319" s="3" t="s">
        <v>4343</v>
      </c>
      <c r="E1319" s="3" t="s">
        <v>4344</v>
      </c>
      <c r="F1319" s="3">
        <v>469</v>
      </c>
      <c r="G1319" s="4">
        <v>41244.529861111114</v>
      </c>
      <c r="H1319" s="3">
        <v>3</v>
      </c>
      <c r="I1319" s="5">
        <v>4</v>
      </c>
      <c r="J1319" t="s">
        <v>27</v>
      </c>
      <c r="K1319" t="s">
        <v>4497</v>
      </c>
      <c r="L1319">
        <v>536534</v>
      </c>
      <c r="M1319" s="2">
        <v>22865</v>
      </c>
      <c r="N1319">
        <v>2.1</v>
      </c>
      <c r="O1319" s="6">
        <v>100</v>
      </c>
      <c r="P1319" s="3">
        <v>7.0000000000000007E-2</v>
      </c>
      <c r="Q1319" t="s">
        <v>9</v>
      </c>
      <c r="R1319" s="7">
        <f t="shared" si="60"/>
        <v>210</v>
      </c>
      <c r="S1319" s="7">
        <f t="shared" si="61"/>
        <v>14.700000000000001</v>
      </c>
      <c r="T1319">
        <f>Table1[[#This Row],[Total price]]-Table1[[#This Row],[Discount Amount]]</f>
        <v>195.3</v>
      </c>
      <c r="U1319">
        <f t="shared" si="62"/>
        <v>19530</v>
      </c>
    </row>
    <row r="1320" spans="1:21">
      <c r="A1320">
        <v>1319</v>
      </c>
      <c r="B1320" s="3" t="s">
        <v>1130</v>
      </c>
      <c r="C1320" s="3" t="s">
        <v>1129</v>
      </c>
      <c r="D1320" s="3" t="s">
        <v>2866</v>
      </c>
      <c r="E1320" s="3" t="s">
        <v>4345</v>
      </c>
      <c r="F1320" s="3">
        <v>469</v>
      </c>
      <c r="G1320" s="4">
        <v>41244.529861111114</v>
      </c>
      <c r="H1320" s="3">
        <v>3</v>
      </c>
      <c r="I1320" s="5">
        <v>15</v>
      </c>
      <c r="J1320" t="s">
        <v>237</v>
      </c>
      <c r="K1320" t="s">
        <v>4497</v>
      </c>
      <c r="L1320">
        <v>536534</v>
      </c>
      <c r="M1320" s="2">
        <v>22867</v>
      </c>
      <c r="N1320">
        <v>2.1</v>
      </c>
      <c r="O1320" s="6">
        <v>100</v>
      </c>
      <c r="P1320" s="3">
        <v>0.2</v>
      </c>
      <c r="Q1320" t="s">
        <v>9</v>
      </c>
      <c r="R1320" s="7">
        <f t="shared" si="60"/>
        <v>210</v>
      </c>
      <c r="S1320" s="7">
        <f t="shared" si="61"/>
        <v>42</v>
      </c>
      <c r="T1320">
        <f>Table1[[#This Row],[Total price]]-Table1[[#This Row],[Discount Amount]]</f>
        <v>168</v>
      </c>
      <c r="U1320">
        <f t="shared" si="62"/>
        <v>16800</v>
      </c>
    </row>
    <row r="1321" spans="1:21">
      <c r="A1321">
        <v>1320</v>
      </c>
      <c r="B1321" s="3" t="s">
        <v>1128</v>
      </c>
      <c r="C1321" s="3" t="s">
        <v>1081</v>
      </c>
      <c r="D1321" s="3" t="s">
        <v>2866</v>
      </c>
      <c r="E1321" s="3" t="s">
        <v>4346</v>
      </c>
      <c r="F1321" s="3">
        <v>470</v>
      </c>
      <c r="G1321" s="4">
        <v>41244.529861111114</v>
      </c>
      <c r="H1321" s="3">
        <v>3</v>
      </c>
      <c r="I1321" s="5">
        <v>18</v>
      </c>
      <c r="J1321" t="s">
        <v>379</v>
      </c>
      <c r="K1321" t="s">
        <v>4497</v>
      </c>
      <c r="L1321">
        <v>536534</v>
      </c>
      <c r="M1321" s="2">
        <v>22112</v>
      </c>
      <c r="N1321">
        <v>4.95</v>
      </c>
      <c r="O1321" s="6">
        <v>100</v>
      </c>
      <c r="P1321" s="3">
        <v>0.05</v>
      </c>
      <c r="Q1321" t="s">
        <v>9</v>
      </c>
      <c r="R1321" s="7">
        <f t="shared" si="60"/>
        <v>495</v>
      </c>
      <c r="S1321" s="7">
        <f t="shared" si="61"/>
        <v>24.75</v>
      </c>
      <c r="T1321">
        <f>Table1[[#This Row],[Total price]]-Table1[[#This Row],[Discount Amount]]</f>
        <v>470.25</v>
      </c>
      <c r="U1321">
        <f t="shared" si="62"/>
        <v>47025</v>
      </c>
    </row>
    <row r="1322" spans="1:21">
      <c r="A1322">
        <v>1321</v>
      </c>
      <c r="B1322" s="3" t="s">
        <v>1127</v>
      </c>
      <c r="C1322" s="3" t="s">
        <v>1126</v>
      </c>
      <c r="D1322" s="3" t="s">
        <v>2866</v>
      </c>
      <c r="E1322" s="3" t="s">
        <v>4347</v>
      </c>
      <c r="F1322" s="3">
        <v>470</v>
      </c>
      <c r="G1322" s="4">
        <v>41244.529861111114</v>
      </c>
      <c r="H1322" s="3">
        <v>3</v>
      </c>
      <c r="I1322" s="5">
        <v>13</v>
      </c>
      <c r="J1322" t="s">
        <v>290</v>
      </c>
      <c r="K1322" t="s">
        <v>4497</v>
      </c>
      <c r="L1322">
        <v>536535</v>
      </c>
      <c r="M1322" s="2">
        <v>22943</v>
      </c>
      <c r="N1322">
        <v>4.95</v>
      </c>
      <c r="O1322" s="6">
        <v>100</v>
      </c>
      <c r="P1322" s="3">
        <v>0.05</v>
      </c>
      <c r="Q1322" t="s">
        <v>9</v>
      </c>
      <c r="R1322" s="7">
        <f t="shared" si="60"/>
        <v>495</v>
      </c>
      <c r="S1322" s="7">
        <f t="shared" si="61"/>
        <v>24.75</v>
      </c>
      <c r="T1322">
        <f>Table1[[#This Row],[Total price]]-Table1[[#This Row],[Discount Amount]]</f>
        <v>470.25</v>
      </c>
      <c r="U1322">
        <f t="shared" si="62"/>
        <v>47025</v>
      </c>
    </row>
    <row r="1323" spans="1:21">
      <c r="A1323">
        <v>1322</v>
      </c>
      <c r="B1323" s="3" t="s">
        <v>1125</v>
      </c>
      <c r="C1323" s="3" t="s">
        <v>1124</v>
      </c>
      <c r="D1323" s="3" t="s">
        <v>2866</v>
      </c>
      <c r="E1323" s="3" t="s">
        <v>4348</v>
      </c>
      <c r="F1323" s="3">
        <v>470</v>
      </c>
      <c r="G1323" s="4">
        <v>41244.529861111114</v>
      </c>
      <c r="H1323" s="3">
        <v>3</v>
      </c>
      <c r="I1323" s="5">
        <v>8</v>
      </c>
      <c r="J1323" t="s">
        <v>539</v>
      </c>
      <c r="K1323" t="s">
        <v>4497</v>
      </c>
      <c r="L1323">
        <v>536535</v>
      </c>
      <c r="M1323" s="2">
        <v>22118</v>
      </c>
      <c r="N1323">
        <v>4.95</v>
      </c>
      <c r="O1323" s="6">
        <v>100</v>
      </c>
      <c r="P1323" s="3">
        <v>0.2</v>
      </c>
      <c r="Q1323" t="s">
        <v>9</v>
      </c>
      <c r="R1323" s="7">
        <f t="shared" si="60"/>
        <v>495</v>
      </c>
      <c r="S1323" s="7">
        <f t="shared" si="61"/>
        <v>99</v>
      </c>
      <c r="T1323">
        <f>Table1[[#This Row],[Total price]]-Table1[[#This Row],[Discount Amount]]</f>
        <v>396</v>
      </c>
      <c r="U1323">
        <f t="shared" si="62"/>
        <v>39600</v>
      </c>
    </row>
    <row r="1324" spans="1:21">
      <c r="A1324">
        <v>1323</v>
      </c>
      <c r="B1324" s="3" t="s">
        <v>1123</v>
      </c>
      <c r="C1324" s="3" t="s">
        <v>944</v>
      </c>
      <c r="D1324" s="3" t="s">
        <v>2866</v>
      </c>
      <c r="E1324" s="3" t="s">
        <v>4349</v>
      </c>
      <c r="F1324" s="3">
        <v>471</v>
      </c>
      <c r="G1324" s="4">
        <v>41244.529861111114</v>
      </c>
      <c r="H1324" s="3">
        <v>3</v>
      </c>
      <c r="I1324" s="5">
        <v>14</v>
      </c>
      <c r="J1324" t="s">
        <v>395</v>
      </c>
      <c r="K1324" t="s">
        <v>4499</v>
      </c>
      <c r="L1324">
        <v>536535</v>
      </c>
      <c r="M1324" s="2">
        <v>22121</v>
      </c>
      <c r="N1324">
        <v>5.95</v>
      </c>
      <c r="O1324" s="6">
        <v>100</v>
      </c>
      <c r="P1324" s="3">
        <v>0.2</v>
      </c>
      <c r="Q1324" t="s">
        <v>9</v>
      </c>
      <c r="R1324" s="7">
        <f t="shared" si="60"/>
        <v>595</v>
      </c>
      <c r="S1324" s="7">
        <f t="shared" si="61"/>
        <v>119</v>
      </c>
      <c r="T1324">
        <f>Table1[[#This Row],[Total price]]-Table1[[#This Row],[Discount Amount]]</f>
        <v>476</v>
      </c>
      <c r="U1324">
        <f t="shared" si="62"/>
        <v>47600</v>
      </c>
    </row>
    <row r="1325" spans="1:21">
      <c r="A1325">
        <v>1324</v>
      </c>
      <c r="B1325" s="3" t="s">
        <v>1122</v>
      </c>
      <c r="C1325" s="3" t="s">
        <v>1121</v>
      </c>
      <c r="D1325" s="3" t="s">
        <v>2866</v>
      </c>
      <c r="E1325" s="3" t="s">
        <v>4350</v>
      </c>
      <c r="F1325" s="3">
        <v>471</v>
      </c>
      <c r="G1325" s="4">
        <v>41244.529861111114</v>
      </c>
      <c r="H1325" s="3">
        <v>3</v>
      </c>
      <c r="I1325" s="5">
        <v>13</v>
      </c>
      <c r="J1325" t="s">
        <v>398</v>
      </c>
      <c r="K1325" t="s">
        <v>4499</v>
      </c>
      <c r="L1325">
        <v>536535</v>
      </c>
      <c r="M1325" s="2">
        <v>22119</v>
      </c>
      <c r="N1325">
        <v>6.95</v>
      </c>
      <c r="O1325" s="6">
        <v>100</v>
      </c>
      <c r="P1325" s="3">
        <v>0.05</v>
      </c>
      <c r="Q1325" t="s">
        <v>9</v>
      </c>
      <c r="R1325" s="7">
        <f t="shared" si="60"/>
        <v>695</v>
      </c>
      <c r="S1325" s="7">
        <f t="shared" si="61"/>
        <v>34.75</v>
      </c>
      <c r="T1325">
        <f>Table1[[#This Row],[Total price]]-Table1[[#This Row],[Discount Amount]]</f>
        <v>660.25</v>
      </c>
      <c r="U1325">
        <f t="shared" si="62"/>
        <v>66025</v>
      </c>
    </row>
    <row r="1326" spans="1:21">
      <c r="A1326">
        <v>1325</v>
      </c>
      <c r="B1326" s="3" t="s">
        <v>1120</v>
      </c>
      <c r="C1326" s="3" t="s">
        <v>1119</v>
      </c>
      <c r="D1326" s="3" t="s">
        <v>2866</v>
      </c>
      <c r="E1326" s="3" t="s">
        <v>4351</v>
      </c>
      <c r="F1326" s="3">
        <v>472</v>
      </c>
      <c r="G1326" s="4">
        <v>41244.529861111114</v>
      </c>
      <c r="H1326" s="3">
        <v>3</v>
      </c>
      <c r="I1326" s="5">
        <v>15</v>
      </c>
      <c r="J1326" t="s">
        <v>78</v>
      </c>
      <c r="K1326" t="s">
        <v>4499</v>
      </c>
      <c r="L1326">
        <v>536535</v>
      </c>
      <c r="M1326" s="2">
        <v>21485</v>
      </c>
      <c r="N1326">
        <v>4.95</v>
      </c>
      <c r="O1326" s="6">
        <v>100</v>
      </c>
      <c r="P1326" s="3">
        <v>0.1</v>
      </c>
      <c r="Q1326" t="s">
        <v>9</v>
      </c>
      <c r="R1326" s="7">
        <f t="shared" si="60"/>
        <v>495</v>
      </c>
      <c r="S1326" s="7">
        <f t="shared" si="61"/>
        <v>49.5</v>
      </c>
      <c r="T1326">
        <f>Table1[[#This Row],[Total price]]-Table1[[#This Row],[Discount Amount]]</f>
        <v>445.5</v>
      </c>
      <c r="U1326">
        <f t="shared" si="62"/>
        <v>44550</v>
      </c>
    </row>
    <row r="1327" spans="1:21">
      <c r="A1327">
        <v>1326</v>
      </c>
      <c r="B1327" s="3" t="s">
        <v>1118</v>
      </c>
      <c r="C1327" s="3" t="s">
        <v>1079</v>
      </c>
      <c r="D1327" s="3" t="s">
        <v>2866</v>
      </c>
      <c r="E1327" s="3" t="s">
        <v>4352</v>
      </c>
      <c r="F1327" s="3">
        <v>472</v>
      </c>
      <c r="G1327" s="4">
        <v>41244.529861111114</v>
      </c>
      <c r="H1327" s="3">
        <v>3</v>
      </c>
      <c r="I1327" s="5">
        <v>21</v>
      </c>
      <c r="J1327" t="s">
        <v>520</v>
      </c>
      <c r="K1327" t="s">
        <v>4499</v>
      </c>
      <c r="L1327">
        <v>536535</v>
      </c>
      <c r="M1327" s="2">
        <v>22219</v>
      </c>
      <c r="N1327">
        <v>0.85</v>
      </c>
      <c r="O1327" s="6">
        <v>100</v>
      </c>
      <c r="P1327" s="3">
        <v>0.1</v>
      </c>
      <c r="Q1327" t="s">
        <v>9</v>
      </c>
      <c r="R1327" s="7">
        <f t="shared" si="60"/>
        <v>85</v>
      </c>
      <c r="S1327" s="7">
        <f t="shared" si="61"/>
        <v>8.5</v>
      </c>
      <c r="T1327">
        <f>Table1[[#This Row],[Total price]]-Table1[[#This Row],[Discount Amount]]</f>
        <v>76.5</v>
      </c>
      <c r="U1327">
        <f t="shared" si="62"/>
        <v>7650</v>
      </c>
    </row>
    <row r="1328" spans="1:21">
      <c r="A1328">
        <v>1327</v>
      </c>
      <c r="B1328" s="3" t="s">
        <v>1117</v>
      </c>
      <c r="C1328" s="3" t="s">
        <v>1116</v>
      </c>
      <c r="D1328" s="3" t="s">
        <v>2866</v>
      </c>
      <c r="E1328" s="3" t="s">
        <v>4353</v>
      </c>
      <c r="F1328" s="3">
        <v>473</v>
      </c>
      <c r="G1328" s="4">
        <v>41244.529861111114</v>
      </c>
      <c r="H1328" s="3">
        <v>3</v>
      </c>
      <c r="I1328" s="5">
        <v>26</v>
      </c>
      <c r="J1328" t="s">
        <v>553</v>
      </c>
      <c r="K1328" t="s">
        <v>4499</v>
      </c>
      <c r="L1328">
        <v>536535</v>
      </c>
      <c r="M1328" s="2">
        <v>21523</v>
      </c>
      <c r="N1328">
        <v>7.95</v>
      </c>
      <c r="O1328" s="6">
        <v>100</v>
      </c>
      <c r="P1328" s="3">
        <v>7.0000000000000007E-2</v>
      </c>
      <c r="Q1328" t="s">
        <v>9</v>
      </c>
      <c r="R1328" s="7">
        <f t="shared" si="60"/>
        <v>795</v>
      </c>
      <c r="S1328" s="7">
        <f t="shared" si="61"/>
        <v>55.650000000000006</v>
      </c>
      <c r="T1328">
        <f>Table1[[#This Row],[Total price]]-Table1[[#This Row],[Discount Amount]]</f>
        <v>739.35</v>
      </c>
      <c r="U1328">
        <f t="shared" si="62"/>
        <v>73935</v>
      </c>
    </row>
    <row r="1329" spans="1:21">
      <c r="A1329">
        <v>1328</v>
      </c>
      <c r="B1329" s="3" t="s">
        <v>1115</v>
      </c>
      <c r="C1329" s="3" t="s">
        <v>1114</v>
      </c>
      <c r="D1329" s="3" t="s">
        <v>2866</v>
      </c>
      <c r="E1329" s="3" t="s">
        <v>4354</v>
      </c>
      <c r="F1329" s="3">
        <v>474</v>
      </c>
      <c r="G1329" s="4">
        <v>41244.529861111114</v>
      </c>
      <c r="H1329" s="3">
        <v>3</v>
      </c>
      <c r="I1329" s="5">
        <v>19</v>
      </c>
      <c r="J1329" t="s">
        <v>240</v>
      </c>
      <c r="K1329" t="s">
        <v>4499</v>
      </c>
      <c r="L1329">
        <v>536535</v>
      </c>
      <c r="M1329" s="2">
        <v>48194</v>
      </c>
      <c r="N1329">
        <v>7.95</v>
      </c>
      <c r="O1329" s="6">
        <v>100</v>
      </c>
      <c r="P1329" s="3">
        <v>0.05</v>
      </c>
      <c r="Q1329" t="s">
        <v>9</v>
      </c>
      <c r="R1329" s="7">
        <f t="shared" si="60"/>
        <v>795</v>
      </c>
      <c r="S1329" s="7">
        <f t="shared" si="61"/>
        <v>39.75</v>
      </c>
      <c r="T1329">
        <f>Table1[[#This Row],[Total price]]-Table1[[#This Row],[Discount Amount]]</f>
        <v>755.25</v>
      </c>
      <c r="U1329">
        <f t="shared" si="62"/>
        <v>75525</v>
      </c>
    </row>
    <row r="1330" spans="1:21">
      <c r="A1330">
        <v>1329</v>
      </c>
      <c r="B1330" s="3" t="s">
        <v>1113</v>
      </c>
      <c r="C1330" s="3" t="s">
        <v>1112</v>
      </c>
      <c r="D1330" s="3" t="s">
        <v>2866</v>
      </c>
      <c r="E1330" s="3" t="s">
        <v>4355</v>
      </c>
      <c r="F1330" s="3">
        <v>474</v>
      </c>
      <c r="G1330" s="4">
        <v>41244.529861111114</v>
      </c>
      <c r="H1330" s="3">
        <v>3</v>
      </c>
      <c r="I1330" s="5">
        <v>11</v>
      </c>
      <c r="J1330" t="s">
        <v>301</v>
      </c>
      <c r="K1330" t="s">
        <v>4499</v>
      </c>
      <c r="L1330">
        <v>536535</v>
      </c>
      <c r="M1330" s="2">
        <v>20685</v>
      </c>
      <c r="N1330">
        <v>7.95</v>
      </c>
      <c r="O1330" s="6">
        <v>30</v>
      </c>
      <c r="P1330" s="3">
        <v>0.2</v>
      </c>
      <c r="Q1330" t="s">
        <v>9</v>
      </c>
      <c r="R1330" s="7">
        <f t="shared" si="60"/>
        <v>238.5</v>
      </c>
      <c r="S1330" s="7">
        <f t="shared" si="61"/>
        <v>47.7</v>
      </c>
      <c r="T1330">
        <f>Table1[[#This Row],[Total price]]-Table1[[#This Row],[Discount Amount]]</f>
        <v>190.8</v>
      </c>
      <c r="U1330">
        <f t="shared" si="62"/>
        <v>5724</v>
      </c>
    </row>
    <row r="1331" spans="1:21">
      <c r="A1331">
        <v>1330</v>
      </c>
      <c r="B1331" s="3" t="s">
        <v>1063</v>
      </c>
      <c r="C1331" s="3" t="s">
        <v>960</v>
      </c>
      <c r="D1331" s="3" t="s">
        <v>2866</v>
      </c>
      <c r="E1331" s="3" t="s">
        <v>4356</v>
      </c>
      <c r="F1331" s="3">
        <v>475</v>
      </c>
      <c r="G1331" s="4">
        <v>41244.529861111114</v>
      </c>
      <c r="H1331" s="3">
        <v>3</v>
      </c>
      <c r="I1331" s="5">
        <v>17</v>
      </c>
      <c r="J1331" t="s">
        <v>64</v>
      </c>
      <c r="K1331" t="s">
        <v>4499</v>
      </c>
      <c r="L1331">
        <v>536535</v>
      </c>
      <c r="M1331" s="2">
        <v>21156</v>
      </c>
      <c r="N1331">
        <v>1.95</v>
      </c>
      <c r="O1331" s="6">
        <v>80</v>
      </c>
      <c r="P1331" s="3">
        <v>7.0000000000000007E-2</v>
      </c>
      <c r="Q1331" t="s">
        <v>9</v>
      </c>
      <c r="R1331" s="7">
        <f t="shared" si="60"/>
        <v>156</v>
      </c>
      <c r="S1331" s="7">
        <f t="shared" si="61"/>
        <v>10.920000000000002</v>
      </c>
      <c r="T1331">
        <f>Table1[[#This Row],[Total price]]-Table1[[#This Row],[Discount Amount]]</f>
        <v>145.07999999999998</v>
      </c>
      <c r="U1331">
        <f t="shared" si="62"/>
        <v>11606.399999999998</v>
      </c>
    </row>
    <row r="1332" spans="1:21">
      <c r="A1332">
        <v>1331</v>
      </c>
      <c r="B1332" s="3" t="s">
        <v>1111</v>
      </c>
      <c r="C1332" s="3" t="s">
        <v>1110</v>
      </c>
      <c r="D1332" s="3" t="s">
        <v>2866</v>
      </c>
      <c r="E1332" s="3" t="s">
        <v>4357</v>
      </c>
      <c r="F1332" s="3">
        <v>475</v>
      </c>
      <c r="G1332" s="4">
        <v>41244.529861111114</v>
      </c>
      <c r="H1332" s="3">
        <v>3</v>
      </c>
      <c r="I1332" s="5">
        <v>26</v>
      </c>
      <c r="J1332" t="s">
        <v>91</v>
      </c>
      <c r="K1332" t="s">
        <v>4499</v>
      </c>
      <c r="L1332">
        <v>536535</v>
      </c>
      <c r="M1332" s="2">
        <v>22418</v>
      </c>
      <c r="N1332">
        <v>0.85</v>
      </c>
      <c r="O1332" s="6">
        <v>24</v>
      </c>
      <c r="P1332" s="3">
        <v>0.2</v>
      </c>
      <c r="Q1332" t="s">
        <v>9</v>
      </c>
      <c r="R1332" s="7">
        <f t="shared" si="60"/>
        <v>20.399999999999999</v>
      </c>
      <c r="S1332" s="7">
        <f t="shared" si="61"/>
        <v>4.08</v>
      </c>
      <c r="T1332">
        <f>Table1[[#This Row],[Total price]]-Table1[[#This Row],[Discount Amount]]</f>
        <v>16.32</v>
      </c>
      <c r="U1332">
        <f t="shared" si="62"/>
        <v>391.68</v>
      </c>
    </row>
    <row r="1333" spans="1:21">
      <c r="A1333">
        <v>1332</v>
      </c>
      <c r="B1333" s="3" t="s">
        <v>1109</v>
      </c>
      <c r="C1333" s="3" t="s">
        <v>1108</v>
      </c>
      <c r="D1333" s="3" t="s">
        <v>2866</v>
      </c>
      <c r="E1333" s="3" t="s">
        <v>4358</v>
      </c>
      <c r="F1333" s="3">
        <v>475</v>
      </c>
      <c r="G1333" s="4">
        <v>41244.529861111114</v>
      </c>
      <c r="H1333" s="3">
        <v>3</v>
      </c>
      <c r="I1333" s="5">
        <v>25</v>
      </c>
      <c r="J1333" t="s">
        <v>591</v>
      </c>
      <c r="K1333" t="s">
        <v>4499</v>
      </c>
      <c r="L1333">
        <v>536535</v>
      </c>
      <c r="M1333" s="2">
        <v>22311</v>
      </c>
      <c r="N1333">
        <v>2.95</v>
      </c>
      <c r="O1333" s="6">
        <v>60</v>
      </c>
      <c r="P1333" s="3">
        <v>0.2</v>
      </c>
      <c r="Q1333" t="s">
        <v>9</v>
      </c>
      <c r="R1333" s="7">
        <f t="shared" si="60"/>
        <v>177</v>
      </c>
      <c r="S1333" s="7">
        <f t="shared" si="61"/>
        <v>35.4</v>
      </c>
      <c r="T1333">
        <f>Table1[[#This Row],[Total price]]-Table1[[#This Row],[Discount Amount]]</f>
        <v>141.6</v>
      </c>
      <c r="U1333">
        <f t="shared" si="62"/>
        <v>8496</v>
      </c>
    </row>
    <row r="1334" spans="1:21">
      <c r="A1334">
        <v>1333</v>
      </c>
      <c r="B1334" s="3" t="s">
        <v>1107</v>
      </c>
      <c r="C1334" s="3" t="s">
        <v>1106</v>
      </c>
      <c r="D1334" s="3" t="s">
        <v>2866</v>
      </c>
      <c r="E1334" s="3" t="s">
        <v>4359</v>
      </c>
      <c r="F1334" s="3">
        <v>476</v>
      </c>
      <c r="G1334" s="4">
        <v>41244.529861111114</v>
      </c>
      <c r="H1334" s="3">
        <v>4</v>
      </c>
      <c r="I1334" s="5">
        <v>22</v>
      </c>
      <c r="J1334" t="s">
        <v>78</v>
      </c>
      <c r="K1334" t="s">
        <v>4498</v>
      </c>
      <c r="L1334">
        <v>536536</v>
      </c>
      <c r="M1334" s="2">
        <v>21485</v>
      </c>
      <c r="N1334">
        <v>4.95</v>
      </c>
      <c r="O1334" s="6">
        <v>40</v>
      </c>
      <c r="P1334" s="3">
        <v>7.0000000000000007E-2</v>
      </c>
      <c r="Q1334" t="s">
        <v>9</v>
      </c>
      <c r="R1334" s="7">
        <f t="shared" si="60"/>
        <v>198</v>
      </c>
      <c r="S1334" s="7">
        <f t="shared" si="61"/>
        <v>13.860000000000001</v>
      </c>
      <c r="T1334">
        <f>Table1[[#This Row],[Total price]]-Table1[[#This Row],[Discount Amount]]</f>
        <v>184.14</v>
      </c>
      <c r="U1334">
        <f t="shared" si="62"/>
        <v>7365.5999999999995</v>
      </c>
    </row>
    <row r="1335" spans="1:21">
      <c r="A1335">
        <v>1334</v>
      </c>
      <c r="B1335" s="3" t="s">
        <v>1105</v>
      </c>
      <c r="C1335" s="3" t="s">
        <v>962</v>
      </c>
      <c r="D1335" s="3" t="s">
        <v>2866</v>
      </c>
      <c r="E1335" s="3" t="s">
        <v>4360</v>
      </c>
      <c r="F1335" s="3">
        <v>476</v>
      </c>
      <c r="G1335" s="4">
        <v>41244.529861111114</v>
      </c>
      <c r="H1335" s="3">
        <v>4</v>
      </c>
      <c r="I1335" s="5">
        <v>4</v>
      </c>
      <c r="J1335" t="s">
        <v>21</v>
      </c>
      <c r="K1335" t="s">
        <v>4498</v>
      </c>
      <c r="L1335">
        <v>536536</v>
      </c>
      <c r="M1335" s="2">
        <v>84879</v>
      </c>
      <c r="N1335">
        <v>1.69</v>
      </c>
      <c r="O1335" s="6">
        <v>80</v>
      </c>
      <c r="P1335" s="3">
        <v>0.2</v>
      </c>
      <c r="Q1335" t="s">
        <v>9</v>
      </c>
      <c r="R1335" s="7">
        <f t="shared" si="60"/>
        <v>135.19999999999999</v>
      </c>
      <c r="S1335" s="7">
        <f t="shared" si="61"/>
        <v>27.04</v>
      </c>
      <c r="T1335">
        <f>Table1[[#This Row],[Total price]]-Table1[[#This Row],[Discount Amount]]</f>
        <v>108.16</v>
      </c>
      <c r="U1335">
        <f t="shared" si="62"/>
        <v>8652.7999999999993</v>
      </c>
    </row>
    <row r="1336" spans="1:21">
      <c r="A1336">
        <v>1335</v>
      </c>
      <c r="B1336" s="3" t="s">
        <v>1104</v>
      </c>
      <c r="C1336" s="3" t="s">
        <v>1020</v>
      </c>
      <c r="D1336" s="3" t="s">
        <v>2866</v>
      </c>
      <c r="E1336" s="3" t="s">
        <v>4361</v>
      </c>
      <c r="F1336" s="3">
        <v>476</v>
      </c>
      <c r="G1336" s="4">
        <v>41244.529861111114</v>
      </c>
      <c r="H1336" s="3">
        <v>4</v>
      </c>
      <c r="I1336" s="5">
        <v>11</v>
      </c>
      <c r="J1336" t="s">
        <v>634</v>
      </c>
      <c r="K1336" t="s">
        <v>4498</v>
      </c>
      <c r="L1336">
        <v>536536</v>
      </c>
      <c r="M1336" s="2">
        <v>72817</v>
      </c>
      <c r="N1336">
        <v>1.25</v>
      </c>
      <c r="O1336" s="6">
        <v>30</v>
      </c>
      <c r="P1336" s="3">
        <v>7.0000000000000007E-2</v>
      </c>
      <c r="Q1336" t="s">
        <v>9</v>
      </c>
      <c r="R1336" s="7">
        <f t="shared" si="60"/>
        <v>37.5</v>
      </c>
      <c r="S1336" s="7">
        <f t="shared" si="61"/>
        <v>2.6250000000000004</v>
      </c>
      <c r="T1336">
        <f>Table1[[#This Row],[Total price]]-Table1[[#This Row],[Discount Amount]]</f>
        <v>34.875</v>
      </c>
      <c r="U1336">
        <f t="shared" si="62"/>
        <v>1046.25</v>
      </c>
    </row>
    <row r="1337" spans="1:21">
      <c r="A1337">
        <v>1336</v>
      </c>
      <c r="B1337" s="3" t="s">
        <v>1103</v>
      </c>
      <c r="C1337" s="3" t="s">
        <v>1102</v>
      </c>
      <c r="D1337" s="3" t="s">
        <v>2866</v>
      </c>
      <c r="E1337" s="3" t="s">
        <v>4362</v>
      </c>
      <c r="F1337" s="3">
        <v>476</v>
      </c>
      <c r="G1337" s="4">
        <v>41244.529861111114</v>
      </c>
      <c r="H1337" s="3">
        <v>4</v>
      </c>
      <c r="I1337" s="5">
        <v>20</v>
      </c>
      <c r="J1337" t="s">
        <v>746</v>
      </c>
      <c r="K1337" t="s">
        <v>4498</v>
      </c>
      <c r="L1337">
        <v>536537</v>
      </c>
      <c r="M1337" s="2">
        <v>22277</v>
      </c>
      <c r="N1337">
        <v>2.1</v>
      </c>
      <c r="O1337" s="6">
        <v>36</v>
      </c>
      <c r="P1337" s="3">
        <v>0.05</v>
      </c>
      <c r="Q1337" t="s">
        <v>9</v>
      </c>
      <c r="R1337" s="7">
        <f t="shared" si="60"/>
        <v>75.600000000000009</v>
      </c>
      <c r="S1337" s="7">
        <f t="shared" si="61"/>
        <v>3.7800000000000007</v>
      </c>
      <c r="T1337">
        <f>Table1[[#This Row],[Total price]]-Table1[[#This Row],[Discount Amount]]</f>
        <v>71.820000000000007</v>
      </c>
      <c r="U1337">
        <f t="shared" si="62"/>
        <v>2585.5200000000004</v>
      </c>
    </row>
    <row r="1338" spans="1:21">
      <c r="A1338">
        <v>1337</v>
      </c>
      <c r="B1338" s="3" t="s">
        <v>1101</v>
      </c>
      <c r="C1338" s="3" t="s">
        <v>1100</v>
      </c>
      <c r="D1338" s="3" t="s">
        <v>2866</v>
      </c>
      <c r="E1338" s="3" t="s">
        <v>4363</v>
      </c>
      <c r="F1338" s="3">
        <v>477</v>
      </c>
      <c r="G1338" s="4">
        <v>41244.529861111114</v>
      </c>
      <c r="H1338" s="3">
        <v>4</v>
      </c>
      <c r="I1338" s="5">
        <v>6</v>
      </c>
      <c r="J1338" t="s">
        <v>88</v>
      </c>
      <c r="K1338" t="s">
        <v>4498</v>
      </c>
      <c r="L1338">
        <v>536537</v>
      </c>
      <c r="M1338" s="2">
        <v>22333</v>
      </c>
      <c r="N1338">
        <v>1.65</v>
      </c>
      <c r="O1338" s="6">
        <v>80</v>
      </c>
      <c r="P1338" s="3">
        <v>0.1</v>
      </c>
      <c r="Q1338" t="s">
        <v>9</v>
      </c>
      <c r="R1338" s="7">
        <f t="shared" si="60"/>
        <v>132</v>
      </c>
      <c r="S1338" s="7">
        <f t="shared" si="61"/>
        <v>13.200000000000001</v>
      </c>
      <c r="T1338">
        <f>Table1[[#This Row],[Total price]]-Table1[[#This Row],[Discount Amount]]</f>
        <v>118.8</v>
      </c>
      <c r="U1338">
        <f t="shared" si="62"/>
        <v>9504</v>
      </c>
    </row>
    <row r="1339" spans="1:21">
      <c r="A1339">
        <v>1338</v>
      </c>
      <c r="B1339" s="3" t="s">
        <v>1099</v>
      </c>
      <c r="C1339" s="3" t="s">
        <v>1098</v>
      </c>
      <c r="D1339" s="3" t="s">
        <v>2866</v>
      </c>
      <c r="E1339" s="3" t="s">
        <v>4364</v>
      </c>
      <c r="F1339" s="3">
        <v>477</v>
      </c>
      <c r="G1339" s="4">
        <v>41244.529861111114</v>
      </c>
      <c r="H1339" s="3">
        <v>4</v>
      </c>
      <c r="I1339" s="5">
        <v>10</v>
      </c>
      <c r="J1339" t="s">
        <v>587</v>
      </c>
      <c r="K1339" t="s">
        <v>4498</v>
      </c>
      <c r="L1339">
        <v>536537</v>
      </c>
      <c r="M1339" s="2">
        <v>20867</v>
      </c>
      <c r="N1339">
        <v>1.25</v>
      </c>
      <c r="O1339" s="6">
        <v>36</v>
      </c>
      <c r="P1339" s="3">
        <v>0.05</v>
      </c>
      <c r="Q1339" t="s">
        <v>9</v>
      </c>
      <c r="R1339" s="7">
        <f t="shared" si="60"/>
        <v>45</v>
      </c>
      <c r="S1339" s="7">
        <f t="shared" si="61"/>
        <v>2.25</v>
      </c>
      <c r="T1339">
        <f>Table1[[#This Row],[Total price]]-Table1[[#This Row],[Discount Amount]]</f>
        <v>42.75</v>
      </c>
      <c r="U1339">
        <f t="shared" si="62"/>
        <v>1539</v>
      </c>
    </row>
    <row r="1340" spans="1:21">
      <c r="A1340">
        <v>1339</v>
      </c>
      <c r="B1340" s="3" t="s">
        <v>1097</v>
      </c>
      <c r="C1340" s="3" t="s">
        <v>1096</v>
      </c>
      <c r="D1340" s="3" t="s">
        <v>4365</v>
      </c>
      <c r="E1340" s="3" t="s">
        <v>4366</v>
      </c>
      <c r="F1340" s="3">
        <v>478</v>
      </c>
      <c r="G1340" s="4">
        <v>41244.529861111114</v>
      </c>
      <c r="H1340" s="3">
        <v>4</v>
      </c>
      <c r="I1340" s="5">
        <v>21</v>
      </c>
      <c r="J1340" t="s">
        <v>605</v>
      </c>
      <c r="K1340" t="s">
        <v>4498</v>
      </c>
      <c r="L1340">
        <v>536537</v>
      </c>
      <c r="M1340" s="2">
        <v>21688</v>
      </c>
      <c r="N1340">
        <v>2.95</v>
      </c>
      <c r="O1340" s="6">
        <v>12</v>
      </c>
      <c r="P1340" s="3">
        <v>7.0000000000000007E-2</v>
      </c>
      <c r="Q1340" t="s">
        <v>9</v>
      </c>
      <c r="R1340" s="7">
        <f t="shared" si="60"/>
        <v>35.400000000000006</v>
      </c>
      <c r="S1340" s="7">
        <f t="shared" si="61"/>
        <v>2.4780000000000006</v>
      </c>
      <c r="T1340">
        <f>Table1[[#This Row],[Total price]]-Table1[[#This Row],[Discount Amount]]</f>
        <v>32.922000000000004</v>
      </c>
      <c r="U1340">
        <f t="shared" si="62"/>
        <v>395.06400000000008</v>
      </c>
    </row>
    <row r="1341" spans="1:21">
      <c r="A1341">
        <v>1340</v>
      </c>
      <c r="B1341" s="3" t="s">
        <v>1095</v>
      </c>
      <c r="C1341" s="3" t="s">
        <v>1094</v>
      </c>
      <c r="D1341" s="3" t="s">
        <v>2866</v>
      </c>
      <c r="E1341" s="3" t="s">
        <v>4367</v>
      </c>
      <c r="F1341" s="3">
        <v>479</v>
      </c>
      <c r="G1341" s="4">
        <v>41244.529861111114</v>
      </c>
      <c r="H1341" s="3">
        <v>4</v>
      </c>
      <c r="I1341" s="5">
        <v>26</v>
      </c>
      <c r="J1341" t="s">
        <v>700</v>
      </c>
      <c r="K1341" t="s">
        <v>4498</v>
      </c>
      <c r="L1341">
        <v>536537</v>
      </c>
      <c r="M1341" s="2">
        <v>21694</v>
      </c>
      <c r="N1341">
        <v>2.95</v>
      </c>
      <c r="O1341" s="6">
        <v>12</v>
      </c>
      <c r="P1341" s="3">
        <v>7.0000000000000007E-2</v>
      </c>
      <c r="Q1341" t="s">
        <v>9</v>
      </c>
      <c r="R1341" s="7">
        <f t="shared" si="60"/>
        <v>35.400000000000006</v>
      </c>
      <c r="S1341" s="7">
        <f t="shared" si="61"/>
        <v>2.4780000000000006</v>
      </c>
      <c r="T1341">
        <f>Table1[[#This Row],[Total price]]-Table1[[#This Row],[Discount Amount]]</f>
        <v>32.922000000000004</v>
      </c>
      <c r="U1341">
        <f t="shared" si="62"/>
        <v>395.06400000000008</v>
      </c>
    </row>
    <row r="1342" spans="1:21">
      <c r="A1342">
        <v>1341</v>
      </c>
      <c r="B1342" s="3" t="s">
        <v>1093</v>
      </c>
      <c r="C1342" s="3" t="s">
        <v>1092</v>
      </c>
      <c r="D1342" s="3" t="s">
        <v>2866</v>
      </c>
      <c r="E1342" s="3" t="s">
        <v>4368</v>
      </c>
      <c r="F1342" s="3">
        <v>479</v>
      </c>
      <c r="G1342" s="4">
        <v>41244.529861111114</v>
      </c>
      <c r="H1342" s="3">
        <v>4</v>
      </c>
      <c r="I1342" s="5">
        <v>12</v>
      </c>
      <c r="J1342" t="s">
        <v>120</v>
      </c>
      <c r="K1342" t="s">
        <v>4498</v>
      </c>
      <c r="L1342">
        <v>536537</v>
      </c>
      <c r="M1342" s="2">
        <v>22183</v>
      </c>
      <c r="N1342">
        <v>6.75</v>
      </c>
      <c r="O1342" s="6">
        <v>60</v>
      </c>
      <c r="P1342" s="3">
        <v>0.05</v>
      </c>
      <c r="Q1342" t="s">
        <v>9</v>
      </c>
      <c r="R1342" s="7">
        <f t="shared" si="60"/>
        <v>405</v>
      </c>
      <c r="S1342" s="7">
        <f t="shared" si="61"/>
        <v>20.25</v>
      </c>
      <c r="T1342">
        <f>Table1[[#This Row],[Total price]]-Table1[[#This Row],[Discount Amount]]</f>
        <v>384.75</v>
      </c>
      <c r="U1342">
        <f t="shared" si="62"/>
        <v>23085</v>
      </c>
    </row>
    <row r="1343" spans="1:21">
      <c r="A1343">
        <v>1342</v>
      </c>
      <c r="B1343" s="3" t="s">
        <v>1091</v>
      </c>
      <c r="C1343" s="3" t="s">
        <v>1090</v>
      </c>
      <c r="D1343" s="3" t="s">
        <v>2866</v>
      </c>
      <c r="E1343" s="3" t="s">
        <v>4369</v>
      </c>
      <c r="F1343" s="3">
        <v>479</v>
      </c>
      <c r="G1343" s="4">
        <v>41244.529861111114</v>
      </c>
      <c r="H1343" s="3">
        <v>4</v>
      </c>
      <c r="I1343" s="5">
        <v>21</v>
      </c>
      <c r="J1343" t="s">
        <v>81</v>
      </c>
      <c r="K1343" t="s">
        <v>4498</v>
      </c>
      <c r="L1343">
        <v>536537</v>
      </c>
      <c r="M1343" s="2">
        <v>22423</v>
      </c>
      <c r="N1343">
        <v>12.75</v>
      </c>
      <c r="O1343" s="6">
        <v>30</v>
      </c>
      <c r="P1343" s="3">
        <v>0.2</v>
      </c>
      <c r="Q1343" t="s">
        <v>9</v>
      </c>
      <c r="R1343" s="7">
        <f t="shared" si="60"/>
        <v>382.5</v>
      </c>
      <c r="S1343" s="7">
        <f t="shared" si="61"/>
        <v>76.5</v>
      </c>
      <c r="T1343">
        <f>Table1[[#This Row],[Total price]]-Table1[[#This Row],[Discount Amount]]</f>
        <v>306</v>
      </c>
      <c r="U1343">
        <f t="shared" si="62"/>
        <v>9180</v>
      </c>
    </row>
    <row r="1344" spans="1:21">
      <c r="A1344">
        <v>1343</v>
      </c>
      <c r="B1344" s="3" t="s">
        <v>1089</v>
      </c>
      <c r="C1344" s="3" t="s">
        <v>1088</v>
      </c>
      <c r="D1344" s="3" t="s">
        <v>2866</v>
      </c>
      <c r="E1344" s="3" t="s">
        <v>4370</v>
      </c>
      <c r="F1344" s="3">
        <v>479</v>
      </c>
      <c r="G1344" s="4">
        <v>41244.529861111114</v>
      </c>
      <c r="H1344" s="3">
        <v>4</v>
      </c>
      <c r="I1344" s="5">
        <v>7</v>
      </c>
      <c r="J1344" t="s">
        <v>297</v>
      </c>
      <c r="K1344" t="s">
        <v>4498</v>
      </c>
      <c r="L1344">
        <v>536537</v>
      </c>
      <c r="M1344" s="2">
        <v>22798</v>
      </c>
      <c r="N1344">
        <v>2.95</v>
      </c>
      <c r="O1344" s="6">
        <v>80</v>
      </c>
      <c r="P1344" s="3">
        <v>0.05</v>
      </c>
      <c r="Q1344" t="s">
        <v>9</v>
      </c>
      <c r="R1344" s="7">
        <f t="shared" si="60"/>
        <v>236</v>
      </c>
      <c r="S1344" s="7">
        <f t="shared" si="61"/>
        <v>11.8</v>
      </c>
      <c r="T1344">
        <f>Table1[[#This Row],[Total price]]-Table1[[#This Row],[Discount Amount]]</f>
        <v>224.2</v>
      </c>
      <c r="U1344">
        <f t="shared" si="62"/>
        <v>17936</v>
      </c>
    </row>
    <row r="1345" spans="1:21">
      <c r="A1345">
        <v>1344</v>
      </c>
      <c r="B1345" s="3" t="s">
        <v>1087</v>
      </c>
      <c r="C1345" s="3" t="s">
        <v>1086</v>
      </c>
      <c r="D1345" s="3" t="s">
        <v>2866</v>
      </c>
      <c r="E1345" s="3" t="s">
        <v>4371</v>
      </c>
      <c r="F1345" s="3">
        <v>479</v>
      </c>
      <c r="G1345" s="4">
        <v>41244.529861111114</v>
      </c>
      <c r="H1345" s="3">
        <v>4</v>
      </c>
      <c r="I1345" s="5">
        <v>10</v>
      </c>
      <c r="J1345" t="s">
        <v>298</v>
      </c>
      <c r="K1345" t="s">
        <v>4498</v>
      </c>
      <c r="L1345">
        <v>536537</v>
      </c>
      <c r="M1345" s="2">
        <v>22800</v>
      </c>
      <c r="N1345">
        <v>3.75</v>
      </c>
      <c r="O1345" s="6">
        <v>80</v>
      </c>
      <c r="P1345" s="3">
        <v>0.2</v>
      </c>
      <c r="Q1345" t="s">
        <v>9</v>
      </c>
      <c r="R1345" s="7">
        <f t="shared" si="60"/>
        <v>300</v>
      </c>
      <c r="S1345" s="7">
        <f t="shared" si="61"/>
        <v>60</v>
      </c>
      <c r="T1345">
        <f>Table1[[#This Row],[Total price]]-Table1[[#This Row],[Discount Amount]]</f>
        <v>240</v>
      </c>
      <c r="U1345">
        <f t="shared" si="62"/>
        <v>19200</v>
      </c>
    </row>
    <row r="1346" spans="1:21">
      <c r="A1346">
        <v>1345</v>
      </c>
      <c r="B1346" s="3" t="s">
        <v>1085</v>
      </c>
      <c r="C1346" s="3" t="s">
        <v>958</v>
      </c>
      <c r="D1346" s="3" t="s">
        <v>2866</v>
      </c>
      <c r="E1346" s="3" t="s">
        <v>4372</v>
      </c>
      <c r="F1346" s="3">
        <v>480</v>
      </c>
      <c r="G1346" s="4">
        <v>41244.529861111114</v>
      </c>
      <c r="H1346" s="3">
        <v>4</v>
      </c>
      <c r="I1346" s="5">
        <v>4</v>
      </c>
      <c r="J1346" t="s">
        <v>299</v>
      </c>
      <c r="K1346" t="s">
        <v>4498</v>
      </c>
      <c r="L1346">
        <v>536537</v>
      </c>
      <c r="M1346" s="2">
        <v>22801</v>
      </c>
      <c r="N1346">
        <v>3.75</v>
      </c>
      <c r="O1346" s="6">
        <v>80</v>
      </c>
      <c r="P1346" s="3">
        <v>0.05</v>
      </c>
      <c r="Q1346" t="s">
        <v>9</v>
      </c>
      <c r="R1346" s="7">
        <f t="shared" si="60"/>
        <v>300</v>
      </c>
      <c r="S1346" s="7">
        <f t="shared" si="61"/>
        <v>15</v>
      </c>
      <c r="T1346">
        <f>Table1[[#This Row],[Total price]]-Table1[[#This Row],[Discount Amount]]</f>
        <v>285</v>
      </c>
      <c r="U1346">
        <f t="shared" si="62"/>
        <v>22800</v>
      </c>
    </row>
    <row r="1347" spans="1:21">
      <c r="A1347">
        <v>1346</v>
      </c>
      <c r="B1347" s="3" t="s">
        <v>1084</v>
      </c>
      <c r="C1347" s="3" t="s">
        <v>1083</v>
      </c>
      <c r="D1347" s="3" t="s">
        <v>4373</v>
      </c>
      <c r="E1347" s="3" t="s">
        <v>4374</v>
      </c>
      <c r="F1347" s="3">
        <v>480</v>
      </c>
      <c r="G1347" s="4">
        <v>41244.529861111114</v>
      </c>
      <c r="H1347" s="3">
        <v>2</v>
      </c>
      <c r="I1347" s="5">
        <v>15</v>
      </c>
      <c r="J1347" t="s">
        <v>560</v>
      </c>
      <c r="K1347" t="s">
        <v>4500</v>
      </c>
      <c r="L1347">
        <v>536537</v>
      </c>
      <c r="M1347" s="2">
        <v>22781</v>
      </c>
      <c r="N1347">
        <v>7.65</v>
      </c>
      <c r="O1347" s="6">
        <v>2</v>
      </c>
      <c r="P1347" s="3">
        <v>0.05</v>
      </c>
      <c r="Q1347" t="s">
        <v>9</v>
      </c>
      <c r="R1347" s="7">
        <f t="shared" ref="R1347:R1410" si="63">N1347*O1347</f>
        <v>15.3</v>
      </c>
      <c r="S1347" s="7">
        <f t="shared" ref="S1347:S1410" si="64">R1347*P1347</f>
        <v>0.76500000000000012</v>
      </c>
      <c r="T1347">
        <f>Table1[[#This Row],[Total price]]-Table1[[#This Row],[Discount Amount]]</f>
        <v>14.535</v>
      </c>
      <c r="U1347">
        <f t="shared" ref="U1347:U1410" si="65">T1347*O1347</f>
        <v>29.07</v>
      </c>
    </row>
    <row r="1348" spans="1:21">
      <c r="A1348">
        <v>1347</v>
      </c>
      <c r="B1348" s="3" t="s">
        <v>1082</v>
      </c>
      <c r="C1348" s="3" t="s">
        <v>1081</v>
      </c>
      <c r="D1348" s="3" t="s">
        <v>2866</v>
      </c>
      <c r="E1348" s="3" t="s">
        <v>4375</v>
      </c>
      <c r="F1348" s="3">
        <v>480</v>
      </c>
      <c r="G1348" s="4">
        <v>41244.529861111114</v>
      </c>
      <c r="H1348" s="3">
        <v>2</v>
      </c>
      <c r="I1348" s="5">
        <v>23</v>
      </c>
      <c r="J1348" t="s">
        <v>684</v>
      </c>
      <c r="K1348" t="s">
        <v>4500</v>
      </c>
      <c r="L1348">
        <v>536538</v>
      </c>
      <c r="M1348" s="2">
        <v>21466</v>
      </c>
      <c r="N1348">
        <v>3.75</v>
      </c>
      <c r="O1348" s="6">
        <v>1</v>
      </c>
      <c r="P1348" s="3">
        <v>7.0000000000000007E-2</v>
      </c>
      <c r="Q1348" t="s">
        <v>9</v>
      </c>
      <c r="R1348" s="7">
        <f t="shared" si="63"/>
        <v>3.75</v>
      </c>
      <c r="S1348" s="7">
        <f t="shared" si="64"/>
        <v>0.26250000000000001</v>
      </c>
      <c r="T1348">
        <f>Table1[[#This Row],[Total price]]-Table1[[#This Row],[Discount Amount]]</f>
        <v>3.4874999999999998</v>
      </c>
      <c r="U1348">
        <f t="shared" si="65"/>
        <v>3.4874999999999998</v>
      </c>
    </row>
    <row r="1349" spans="1:21">
      <c r="A1349">
        <v>1348</v>
      </c>
      <c r="B1349" s="3" t="s">
        <v>1080</v>
      </c>
      <c r="C1349" s="3" t="s">
        <v>1079</v>
      </c>
      <c r="D1349" s="3" t="s">
        <v>2866</v>
      </c>
      <c r="E1349" s="3" t="s">
        <v>4376</v>
      </c>
      <c r="F1349" s="3">
        <v>481</v>
      </c>
      <c r="G1349" s="4">
        <v>41244.529861111114</v>
      </c>
      <c r="H1349" s="3">
        <v>1</v>
      </c>
      <c r="I1349" s="5">
        <v>13</v>
      </c>
      <c r="J1349" t="s">
        <v>274</v>
      </c>
      <c r="K1349" t="s">
        <v>4500</v>
      </c>
      <c r="L1349">
        <v>536538</v>
      </c>
      <c r="M1349" s="2">
        <v>21467</v>
      </c>
      <c r="N1349">
        <v>3.75</v>
      </c>
      <c r="O1349" s="6">
        <v>1</v>
      </c>
      <c r="P1349" s="3">
        <v>0.2</v>
      </c>
      <c r="Q1349" t="s">
        <v>9</v>
      </c>
      <c r="R1349" s="7">
        <f t="shared" si="63"/>
        <v>3.75</v>
      </c>
      <c r="S1349" s="7">
        <f t="shared" si="64"/>
        <v>0.75</v>
      </c>
      <c r="T1349">
        <f>Table1[[#This Row],[Total price]]-Table1[[#This Row],[Discount Amount]]</f>
        <v>3</v>
      </c>
      <c r="U1349">
        <f t="shared" si="65"/>
        <v>3</v>
      </c>
    </row>
    <row r="1350" spans="1:21">
      <c r="A1350">
        <v>1349</v>
      </c>
      <c r="B1350" s="3" t="s">
        <v>1078</v>
      </c>
      <c r="C1350" s="3" t="s">
        <v>1077</v>
      </c>
      <c r="D1350" s="3" t="s">
        <v>2866</v>
      </c>
      <c r="E1350" s="3" t="s">
        <v>4377</v>
      </c>
      <c r="F1350" s="3">
        <v>481</v>
      </c>
      <c r="G1350" s="4">
        <v>41244.529861111114</v>
      </c>
      <c r="H1350" s="3">
        <v>1</v>
      </c>
      <c r="I1350" s="5">
        <v>16</v>
      </c>
      <c r="J1350" t="s">
        <v>816</v>
      </c>
      <c r="K1350" t="s">
        <v>4500</v>
      </c>
      <c r="L1350">
        <v>536538</v>
      </c>
      <c r="M1350" s="2">
        <v>21471</v>
      </c>
      <c r="N1350">
        <v>3.75</v>
      </c>
      <c r="O1350" s="6">
        <v>1</v>
      </c>
      <c r="P1350" s="3">
        <v>7.0000000000000007E-2</v>
      </c>
      <c r="Q1350" t="s">
        <v>9</v>
      </c>
      <c r="R1350" s="7">
        <f t="shared" si="63"/>
        <v>3.75</v>
      </c>
      <c r="S1350" s="7">
        <f t="shared" si="64"/>
        <v>0.26250000000000001</v>
      </c>
      <c r="T1350">
        <f>Table1[[#This Row],[Total price]]-Table1[[#This Row],[Discount Amount]]</f>
        <v>3.4874999999999998</v>
      </c>
      <c r="U1350">
        <f t="shared" si="65"/>
        <v>3.4874999999999998</v>
      </c>
    </row>
    <row r="1351" spans="1:21">
      <c r="A1351">
        <v>1350</v>
      </c>
      <c r="B1351" s="3" t="s">
        <v>1076</v>
      </c>
      <c r="C1351" s="3" t="s">
        <v>1075</v>
      </c>
      <c r="D1351" s="3" t="s">
        <v>2866</v>
      </c>
      <c r="E1351" s="3" t="s">
        <v>4378</v>
      </c>
      <c r="F1351" s="3">
        <v>481</v>
      </c>
      <c r="G1351" s="4">
        <v>41244.529861111114</v>
      </c>
      <c r="H1351" s="3">
        <v>2</v>
      </c>
      <c r="I1351" s="5">
        <v>9</v>
      </c>
      <c r="J1351" t="s">
        <v>690</v>
      </c>
      <c r="K1351" t="s">
        <v>4500</v>
      </c>
      <c r="L1351">
        <v>536538</v>
      </c>
      <c r="M1351" s="2">
        <v>21469</v>
      </c>
      <c r="N1351">
        <v>3.75</v>
      </c>
      <c r="O1351" s="6">
        <v>1</v>
      </c>
      <c r="P1351" s="3">
        <v>0.1</v>
      </c>
      <c r="Q1351" t="s">
        <v>9</v>
      </c>
      <c r="R1351" s="7">
        <f t="shared" si="63"/>
        <v>3.75</v>
      </c>
      <c r="S1351" s="7">
        <f t="shared" si="64"/>
        <v>0.375</v>
      </c>
      <c r="T1351">
        <f>Table1[[#This Row],[Total price]]-Table1[[#This Row],[Discount Amount]]</f>
        <v>3.375</v>
      </c>
      <c r="U1351">
        <f t="shared" si="65"/>
        <v>3.375</v>
      </c>
    </row>
    <row r="1352" spans="1:21">
      <c r="A1352">
        <v>1351</v>
      </c>
      <c r="B1352" s="3" t="s">
        <v>1074</v>
      </c>
      <c r="C1352" s="3" t="s">
        <v>1073</v>
      </c>
      <c r="D1352" s="3" t="s">
        <v>2866</v>
      </c>
      <c r="E1352" s="3" t="s">
        <v>4379</v>
      </c>
      <c r="F1352" s="3">
        <v>482</v>
      </c>
      <c r="G1352" s="4">
        <v>41244.529861111114</v>
      </c>
      <c r="H1352" s="3">
        <v>2</v>
      </c>
      <c r="I1352" s="5">
        <v>13</v>
      </c>
      <c r="J1352" t="s">
        <v>553</v>
      </c>
      <c r="K1352" t="s">
        <v>4500</v>
      </c>
      <c r="L1352">
        <v>536538</v>
      </c>
      <c r="M1352" s="2">
        <v>21523</v>
      </c>
      <c r="N1352">
        <v>7.95</v>
      </c>
      <c r="O1352" s="6">
        <v>1</v>
      </c>
      <c r="P1352" s="3">
        <v>0.2</v>
      </c>
      <c r="Q1352" t="s">
        <v>9</v>
      </c>
      <c r="R1352" s="7">
        <f t="shared" si="63"/>
        <v>7.95</v>
      </c>
      <c r="S1352" s="7">
        <f t="shared" si="64"/>
        <v>1.59</v>
      </c>
      <c r="T1352">
        <f>Table1[[#This Row],[Total price]]-Table1[[#This Row],[Discount Amount]]</f>
        <v>6.36</v>
      </c>
      <c r="U1352">
        <f t="shared" si="65"/>
        <v>6.36</v>
      </c>
    </row>
    <row r="1353" spans="1:21">
      <c r="A1353">
        <v>1352</v>
      </c>
      <c r="B1353" s="3" t="s">
        <v>1072</v>
      </c>
      <c r="C1353" s="3" t="s">
        <v>951</v>
      </c>
      <c r="D1353" s="3" t="s">
        <v>2866</v>
      </c>
      <c r="E1353" s="3" t="s">
        <v>4380</v>
      </c>
      <c r="F1353" s="3">
        <v>482</v>
      </c>
      <c r="G1353" s="4">
        <v>41244.529861111114</v>
      </c>
      <c r="H1353" s="3">
        <v>1</v>
      </c>
      <c r="I1353" s="5">
        <v>14</v>
      </c>
      <c r="J1353" t="s">
        <v>71</v>
      </c>
      <c r="K1353" t="s">
        <v>4500</v>
      </c>
      <c r="L1353">
        <v>536538</v>
      </c>
      <c r="M1353" s="2">
        <v>48129</v>
      </c>
      <c r="N1353">
        <v>7.95</v>
      </c>
      <c r="O1353" s="6">
        <v>1</v>
      </c>
      <c r="P1353" s="3">
        <v>0.1</v>
      </c>
      <c r="Q1353" t="s">
        <v>9</v>
      </c>
      <c r="R1353" s="7">
        <f t="shared" si="63"/>
        <v>7.95</v>
      </c>
      <c r="S1353" s="7">
        <f t="shared" si="64"/>
        <v>0.79500000000000004</v>
      </c>
      <c r="T1353">
        <f>Table1[[#This Row],[Total price]]-Table1[[#This Row],[Discount Amount]]</f>
        <v>7.1550000000000002</v>
      </c>
      <c r="U1353">
        <f t="shared" si="65"/>
        <v>7.1550000000000002</v>
      </c>
    </row>
    <row r="1354" spans="1:21">
      <c r="A1354">
        <v>1353</v>
      </c>
      <c r="B1354" s="3" t="s">
        <v>1071</v>
      </c>
      <c r="C1354" s="3" t="s">
        <v>1070</v>
      </c>
      <c r="D1354" s="3" t="s">
        <v>2866</v>
      </c>
      <c r="E1354" s="3" t="s">
        <v>4381</v>
      </c>
      <c r="F1354" s="3">
        <v>483</v>
      </c>
      <c r="G1354" s="4">
        <v>41244.529861111114</v>
      </c>
      <c r="H1354" s="3">
        <v>2</v>
      </c>
      <c r="I1354" s="5">
        <v>17</v>
      </c>
      <c r="J1354" t="s">
        <v>532</v>
      </c>
      <c r="K1354" t="s">
        <v>4500</v>
      </c>
      <c r="L1354">
        <v>536538</v>
      </c>
      <c r="M1354" s="2">
        <v>21524</v>
      </c>
      <c r="N1354">
        <v>7.95</v>
      </c>
      <c r="O1354" s="6">
        <v>1</v>
      </c>
      <c r="P1354" s="3">
        <v>7.0000000000000007E-2</v>
      </c>
      <c r="Q1354" t="s">
        <v>9</v>
      </c>
      <c r="R1354" s="7">
        <f t="shared" si="63"/>
        <v>7.95</v>
      </c>
      <c r="S1354" s="7">
        <f t="shared" si="64"/>
        <v>0.55650000000000011</v>
      </c>
      <c r="T1354">
        <f>Table1[[#This Row],[Total price]]-Table1[[#This Row],[Discount Amount]]</f>
        <v>7.3935000000000004</v>
      </c>
      <c r="U1354">
        <f t="shared" si="65"/>
        <v>7.3935000000000004</v>
      </c>
    </row>
    <row r="1355" spans="1:21">
      <c r="A1355">
        <v>1354</v>
      </c>
      <c r="B1355" s="3" t="s">
        <v>1069</v>
      </c>
      <c r="C1355" s="3" t="s">
        <v>1068</v>
      </c>
      <c r="D1355" s="3" t="s">
        <v>2866</v>
      </c>
      <c r="E1355" s="3" t="s">
        <v>4382</v>
      </c>
      <c r="F1355" s="3">
        <v>484</v>
      </c>
      <c r="G1355" s="4">
        <v>41244.529861111114</v>
      </c>
      <c r="H1355" s="3">
        <v>1</v>
      </c>
      <c r="I1355" s="5">
        <v>8</v>
      </c>
      <c r="J1355" t="s">
        <v>460</v>
      </c>
      <c r="K1355" t="s">
        <v>4500</v>
      </c>
      <c r="L1355">
        <v>536538</v>
      </c>
      <c r="M1355" s="2">
        <v>22791</v>
      </c>
      <c r="N1355">
        <v>1.25</v>
      </c>
      <c r="O1355" s="6">
        <v>12</v>
      </c>
      <c r="P1355" s="3">
        <v>0.1</v>
      </c>
      <c r="Q1355" t="s">
        <v>9</v>
      </c>
      <c r="R1355" s="7">
        <f t="shared" si="63"/>
        <v>15</v>
      </c>
      <c r="S1355" s="7">
        <f t="shared" si="64"/>
        <v>1.5</v>
      </c>
      <c r="T1355">
        <f>Table1[[#This Row],[Total price]]-Table1[[#This Row],[Discount Amount]]</f>
        <v>13.5</v>
      </c>
      <c r="U1355">
        <f t="shared" si="65"/>
        <v>162</v>
      </c>
    </row>
    <row r="1356" spans="1:21">
      <c r="A1356">
        <v>1355</v>
      </c>
      <c r="B1356" s="3" t="s">
        <v>1067</v>
      </c>
      <c r="C1356" s="3" t="s">
        <v>1066</v>
      </c>
      <c r="D1356" s="3" t="s">
        <v>2866</v>
      </c>
      <c r="E1356" s="3" t="s">
        <v>4383</v>
      </c>
      <c r="F1356" s="3">
        <v>484</v>
      </c>
      <c r="G1356" s="4">
        <v>41244.529861111114</v>
      </c>
      <c r="H1356" s="3">
        <v>1</v>
      </c>
      <c r="I1356" s="5">
        <v>24</v>
      </c>
      <c r="J1356" t="s">
        <v>136</v>
      </c>
      <c r="K1356" t="s">
        <v>4500</v>
      </c>
      <c r="L1356">
        <v>536538</v>
      </c>
      <c r="M1356" s="2">
        <v>84949</v>
      </c>
      <c r="N1356">
        <v>1.65</v>
      </c>
      <c r="O1356" s="6">
        <v>6</v>
      </c>
      <c r="P1356" s="3">
        <v>0.05</v>
      </c>
      <c r="Q1356" t="s">
        <v>9</v>
      </c>
      <c r="R1356" s="7">
        <f t="shared" si="63"/>
        <v>9.8999999999999986</v>
      </c>
      <c r="S1356" s="7">
        <f t="shared" si="64"/>
        <v>0.49499999999999994</v>
      </c>
      <c r="T1356">
        <f>Table1[[#This Row],[Total price]]-Table1[[#This Row],[Discount Amount]]</f>
        <v>9.4049999999999994</v>
      </c>
      <c r="U1356">
        <f t="shared" si="65"/>
        <v>56.429999999999993</v>
      </c>
    </row>
    <row r="1357" spans="1:21">
      <c r="A1357">
        <v>1356</v>
      </c>
      <c r="B1357" s="3" t="s">
        <v>1065</v>
      </c>
      <c r="C1357" s="3" t="s">
        <v>1064</v>
      </c>
      <c r="D1357" s="3" t="s">
        <v>2866</v>
      </c>
      <c r="E1357" s="3" t="s">
        <v>4384</v>
      </c>
      <c r="F1357" s="3">
        <v>484</v>
      </c>
      <c r="G1357" s="4">
        <v>41244.529861111114</v>
      </c>
      <c r="H1357" s="3">
        <v>2</v>
      </c>
      <c r="I1357" s="5">
        <v>9</v>
      </c>
      <c r="J1357" t="s">
        <v>411</v>
      </c>
      <c r="K1357" t="s">
        <v>4500</v>
      </c>
      <c r="L1357">
        <v>536538</v>
      </c>
      <c r="M1357" s="2">
        <v>22086</v>
      </c>
      <c r="N1357">
        <v>2.95</v>
      </c>
      <c r="O1357" s="6">
        <v>5</v>
      </c>
      <c r="P1357" s="3">
        <v>0.05</v>
      </c>
      <c r="Q1357" t="s">
        <v>9</v>
      </c>
      <c r="R1357" s="7">
        <f t="shared" si="63"/>
        <v>14.75</v>
      </c>
      <c r="S1357" s="7">
        <f t="shared" si="64"/>
        <v>0.73750000000000004</v>
      </c>
      <c r="T1357">
        <f>Table1[[#This Row],[Total price]]-Table1[[#This Row],[Discount Amount]]</f>
        <v>14.012499999999999</v>
      </c>
      <c r="U1357">
        <f t="shared" si="65"/>
        <v>70.0625</v>
      </c>
    </row>
    <row r="1358" spans="1:21">
      <c r="A1358">
        <v>1357</v>
      </c>
      <c r="B1358" s="3" t="s">
        <v>1063</v>
      </c>
      <c r="C1358" s="3" t="s">
        <v>896</v>
      </c>
      <c r="D1358" s="3" t="s">
        <v>4385</v>
      </c>
      <c r="E1358" s="3" t="s">
        <v>4386</v>
      </c>
      <c r="F1358" s="3">
        <v>484</v>
      </c>
      <c r="G1358" s="4">
        <v>41244.529861111114</v>
      </c>
      <c r="H1358" s="3">
        <v>2</v>
      </c>
      <c r="I1358" s="5">
        <v>6</v>
      </c>
      <c r="J1358" t="s">
        <v>63</v>
      </c>
      <c r="K1358" t="s">
        <v>4500</v>
      </c>
      <c r="L1358">
        <v>536538</v>
      </c>
      <c r="M1358" s="2">
        <v>22910</v>
      </c>
      <c r="N1358">
        <v>2.95</v>
      </c>
      <c r="O1358" s="6">
        <v>5</v>
      </c>
      <c r="P1358" s="3">
        <v>0.2</v>
      </c>
      <c r="Q1358" t="s">
        <v>9</v>
      </c>
      <c r="R1358" s="7">
        <f t="shared" si="63"/>
        <v>14.75</v>
      </c>
      <c r="S1358" s="7">
        <f t="shared" si="64"/>
        <v>2.95</v>
      </c>
      <c r="T1358">
        <f>Table1[[#This Row],[Total price]]-Table1[[#This Row],[Discount Amount]]</f>
        <v>11.8</v>
      </c>
      <c r="U1358">
        <f t="shared" si="65"/>
        <v>59</v>
      </c>
    </row>
    <row r="1359" spans="1:21">
      <c r="A1359">
        <v>1358</v>
      </c>
      <c r="B1359" s="3" t="s">
        <v>942</v>
      </c>
      <c r="C1359" s="3" t="s">
        <v>1062</v>
      </c>
      <c r="D1359" s="3" t="s">
        <v>2866</v>
      </c>
      <c r="E1359" s="3" t="s">
        <v>4387</v>
      </c>
      <c r="F1359" s="3">
        <v>485</v>
      </c>
      <c r="G1359" s="4">
        <v>41244.529861111114</v>
      </c>
      <c r="H1359" s="3">
        <v>1</v>
      </c>
      <c r="I1359" s="5">
        <v>13</v>
      </c>
      <c r="J1359" t="s">
        <v>147</v>
      </c>
      <c r="K1359" t="s">
        <v>4500</v>
      </c>
      <c r="L1359">
        <v>536538</v>
      </c>
      <c r="M1359" s="2">
        <v>22457</v>
      </c>
      <c r="N1359">
        <v>2.95</v>
      </c>
      <c r="O1359" s="6">
        <v>2</v>
      </c>
      <c r="P1359" s="3">
        <v>0.1</v>
      </c>
      <c r="Q1359" t="s">
        <v>9</v>
      </c>
      <c r="R1359" s="7">
        <f t="shared" si="63"/>
        <v>5.9</v>
      </c>
      <c r="S1359" s="7">
        <f t="shared" si="64"/>
        <v>0.59000000000000008</v>
      </c>
      <c r="T1359">
        <f>Table1[[#This Row],[Total price]]-Table1[[#This Row],[Discount Amount]]</f>
        <v>5.3100000000000005</v>
      </c>
      <c r="U1359">
        <f t="shared" si="65"/>
        <v>10.620000000000001</v>
      </c>
    </row>
    <row r="1360" spans="1:21">
      <c r="A1360">
        <v>1359</v>
      </c>
      <c r="B1360" s="3" t="s">
        <v>1061</v>
      </c>
      <c r="C1360" s="3" t="s">
        <v>1060</v>
      </c>
      <c r="D1360" s="3" t="s">
        <v>2866</v>
      </c>
      <c r="E1360" s="3" t="s">
        <v>4388</v>
      </c>
      <c r="F1360" s="3">
        <v>485</v>
      </c>
      <c r="G1360" s="4">
        <v>41244.529861111114</v>
      </c>
      <c r="H1360" s="3">
        <v>2</v>
      </c>
      <c r="I1360" s="5">
        <v>26</v>
      </c>
      <c r="J1360" t="s">
        <v>233</v>
      </c>
      <c r="K1360" t="s">
        <v>4500</v>
      </c>
      <c r="L1360">
        <v>536538</v>
      </c>
      <c r="M1360" s="2">
        <v>21690</v>
      </c>
      <c r="N1360">
        <v>3.75</v>
      </c>
      <c r="O1360" s="6">
        <v>4</v>
      </c>
      <c r="P1360" s="3">
        <v>0.05</v>
      </c>
      <c r="Q1360" t="s">
        <v>9</v>
      </c>
      <c r="R1360" s="7">
        <f t="shared" si="63"/>
        <v>15</v>
      </c>
      <c r="S1360" s="7">
        <f t="shared" si="64"/>
        <v>0.75</v>
      </c>
      <c r="T1360">
        <f>Table1[[#This Row],[Total price]]-Table1[[#This Row],[Discount Amount]]</f>
        <v>14.25</v>
      </c>
      <c r="U1360">
        <f t="shared" si="65"/>
        <v>57</v>
      </c>
    </row>
    <row r="1361" spans="1:21">
      <c r="A1361">
        <v>1360</v>
      </c>
      <c r="B1361" s="3" t="s">
        <v>1059</v>
      </c>
      <c r="C1361" s="3" t="s">
        <v>1058</v>
      </c>
      <c r="D1361" s="3" t="s">
        <v>2866</v>
      </c>
      <c r="E1361" s="3" t="s">
        <v>4389</v>
      </c>
      <c r="F1361" s="3">
        <v>486</v>
      </c>
      <c r="G1361" s="4">
        <v>41244.529861111114</v>
      </c>
      <c r="H1361" s="3">
        <v>1</v>
      </c>
      <c r="I1361" s="5">
        <v>9</v>
      </c>
      <c r="J1361" t="s">
        <v>227</v>
      </c>
      <c r="K1361" t="s">
        <v>4500</v>
      </c>
      <c r="L1361">
        <v>536538</v>
      </c>
      <c r="M1361" s="2">
        <v>22752</v>
      </c>
      <c r="N1361">
        <v>8.5</v>
      </c>
      <c r="O1361" s="6">
        <v>2</v>
      </c>
      <c r="P1361" s="3">
        <v>7.0000000000000007E-2</v>
      </c>
      <c r="Q1361" t="s">
        <v>9</v>
      </c>
      <c r="R1361" s="7">
        <f t="shared" si="63"/>
        <v>17</v>
      </c>
      <c r="S1361" s="7">
        <f t="shared" si="64"/>
        <v>1.1900000000000002</v>
      </c>
      <c r="T1361">
        <f>Table1[[#This Row],[Total price]]-Table1[[#This Row],[Discount Amount]]</f>
        <v>15.81</v>
      </c>
      <c r="U1361">
        <f t="shared" si="65"/>
        <v>31.62</v>
      </c>
    </row>
    <row r="1362" spans="1:21">
      <c r="A1362">
        <v>1361</v>
      </c>
      <c r="B1362" s="3" t="s">
        <v>1057</v>
      </c>
      <c r="C1362" s="3" t="s">
        <v>1056</v>
      </c>
      <c r="D1362" s="3" t="s">
        <v>2866</v>
      </c>
      <c r="E1362" s="3" t="s">
        <v>4390</v>
      </c>
      <c r="F1362" s="3">
        <v>486</v>
      </c>
      <c r="G1362" s="4">
        <v>41244.529861111114</v>
      </c>
      <c r="H1362" s="3">
        <v>1</v>
      </c>
      <c r="I1362" s="5">
        <v>23</v>
      </c>
      <c r="J1362" t="s">
        <v>711</v>
      </c>
      <c r="K1362" t="s">
        <v>4500</v>
      </c>
      <c r="L1362">
        <v>536538</v>
      </c>
      <c r="M1362" s="2">
        <v>37343</v>
      </c>
      <c r="N1362">
        <v>1.65</v>
      </c>
      <c r="O1362" s="6">
        <v>6</v>
      </c>
      <c r="P1362" s="3">
        <v>0.05</v>
      </c>
      <c r="Q1362" t="s">
        <v>9</v>
      </c>
      <c r="R1362" s="7">
        <f t="shared" si="63"/>
        <v>9.8999999999999986</v>
      </c>
      <c r="S1362" s="7">
        <f t="shared" si="64"/>
        <v>0.49499999999999994</v>
      </c>
      <c r="T1362">
        <f>Table1[[#This Row],[Total price]]-Table1[[#This Row],[Discount Amount]]</f>
        <v>9.4049999999999994</v>
      </c>
      <c r="U1362">
        <f t="shared" si="65"/>
        <v>56.429999999999993</v>
      </c>
    </row>
    <row r="1363" spans="1:21">
      <c r="A1363">
        <v>1362</v>
      </c>
      <c r="B1363" s="3" t="s">
        <v>1055</v>
      </c>
      <c r="C1363" s="3" t="s">
        <v>1054</v>
      </c>
      <c r="D1363" s="3" t="s">
        <v>2866</v>
      </c>
      <c r="E1363" s="3" t="s">
        <v>4391</v>
      </c>
      <c r="F1363" s="3">
        <v>487</v>
      </c>
      <c r="G1363" s="4">
        <v>41244.529861111114</v>
      </c>
      <c r="H1363" s="3">
        <v>2</v>
      </c>
      <c r="I1363" s="5">
        <v>6</v>
      </c>
      <c r="J1363" t="s">
        <v>670</v>
      </c>
      <c r="K1363" t="s">
        <v>4500</v>
      </c>
      <c r="L1363">
        <v>536538</v>
      </c>
      <c r="M1363" s="2">
        <v>22088</v>
      </c>
      <c r="N1363">
        <v>2.95</v>
      </c>
      <c r="O1363" s="6">
        <v>1</v>
      </c>
      <c r="P1363" s="3">
        <v>0.2</v>
      </c>
      <c r="Q1363" t="s">
        <v>9</v>
      </c>
      <c r="R1363" s="7">
        <f t="shared" si="63"/>
        <v>2.95</v>
      </c>
      <c r="S1363" s="7">
        <f t="shared" si="64"/>
        <v>0.59000000000000008</v>
      </c>
      <c r="T1363">
        <f>Table1[[#This Row],[Total price]]-Table1[[#This Row],[Discount Amount]]</f>
        <v>2.3600000000000003</v>
      </c>
      <c r="U1363">
        <f t="shared" si="65"/>
        <v>2.3600000000000003</v>
      </c>
    </row>
    <row r="1364" spans="1:21">
      <c r="A1364">
        <v>1363</v>
      </c>
      <c r="B1364" s="3" t="s">
        <v>1053</v>
      </c>
      <c r="C1364" s="3" t="s">
        <v>1052</v>
      </c>
      <c r="D1364" s="3" t="s">
        <v>4392</v>
      </c>
      <c r="E1364" s="3" t="s">
        <v>4393</v>
      </c>
      <c r="F1364" s="3">
        <v>488</v>
      </c>
      <c r="G1364" s="4">
        <v>41244.529861111114</v>
      </c>
      <c r="H1364" s="3">
        <v>2</v>
      </c>
      <c r="I1364" s="5">
        <v>13</v>
      </c>
      <c r="J1364" t="s">
        <v>106</v>
      </c>
      <c r="K1364" t="s">
        <v>4500</v>
      </c>
      <c r="L1364">
        <v>536538</v>
      </c>
      <c r="M1364" s="2">
        <v>22195</v>
      </c>
      <c r="N1364">
        <v>1.65</v>
      </c>
      <c r="O1364" s="6">
        <v>5</v>
      </c>
      <c r="P1364" s="3">
        <v>7.0000000000000007E-2</v>
      </c>
      <c r="Q1364" t="s">
        <v>9</v>
      </c>
      <c r="R1364" s="7">
        <f t="shared" si="63"/>
        <v>8.25</v>
      </c>
      <c r="S1364" s="7">
        <f t="shared" si="64"/>
        <v>0.57750000000000001</v>
      </c>
      <c r="T1364">
        <f>Table1[[#This Row],[Total price]]-Table1[[#This Row],[Discount Amount]]</f>
        <v>7.6725000000000003</v>
      </c>
      <c r="U1364">
        <f t="shared" si="65"/>
        <v>38.362500000000004</v>
      </c>
    </row>
    <row r="1365" spans="1:21">
      <c r="A1365">
        <v>1364</v>
      </c>
      <c r="B1365" s="3" t="s">
        <v>1051</v>
      </c>
      <c r="C1365" s="3" t="s">
        <v>1050</v>
      </c>
      <c r="D1365" s="3" t="s">
        <v>2866</v>
      </c>
      <c r="E1365" s="3" t="s">
        <v>4394</v>
      </c>
      <c r="F1365" s="3">
        <v>488</v>
      </c>
      <c r="G1365" s="4">
        <v>41244.529861111114</v>
      </c>
      <c r="H1365" s="3">
        <v>2</v>
      </c>
      <c r="I1365" s="5">
        <v>23</v>
      </c>
      <c r="J1365" t="s">
        <v>20</v>
      </c>
      <c r="K1365" t="s">
        <v>4500</v>
      </c>
      <c r="L1365">
        <v>536538</v>
      </c>
      <c r="M1365" s="2">
        <v>22470</v>
      </c>
      <c r="N1365">
        <v>2.95</v>
      </c>
      <c r="O1365" s="6">
        <v>2</v>
      </c>
      <c r="P1365" s="3">
        <v>0.05</v>
      </c>
      <c r="Q1365" t="s">
        <v>9</v>
      </c>
      <c r="R1365" s="7">
        <f t="shared" si="63"/>
        <v>5.9</v>
      </c>
      <c r="S1365" s="7">
        <f t="shared" si="64"/>
        <v>0.29500000000000004</v>
      </c>
      <c r="T1365">
        <f>Table1[[#This Row],[Total price]]-Table1[[#This Row],[Discount Amount]]</f>
        <v>5.6050000000000004</v>
      </c>
      <c r="U1365">
        <f t="shared" si="65"/>
        <v>11.21</v>
      </c>
    </row>
    <row r="1366" spans="1:21">
      <c r="A1366">
        <v>1365</v>
      </c>
      <c r="B1366" s="3" t="s">
        <v>1049</v>
      </c>
      <c r="C1366" s="3" t="s">
        <v>1048</v>
      </c>
      <c r="D1366" s="3" t="s">
        <v>2866</v>
      </c>
      <c r="E1366" s="3" t="s">
        <v>4395</v>
      </c>
      <c r="F1366" s="3">
        <v>488</v>
      </c>
      <c r="G1366" s="4">
        <v>41244.529861111114</v>
      </c>
      <c r="H1366" s="3">
        <v>4</v>
      </c>
      <c r="I1366" s="5">
        <v>22</v>
      </c>
      <c r="J1366" t="s">
        <v>498</v>
      </c>
      <c r="K1366" t="s">
        <v>4498</v>
      </c>
      <c r="L1366">
        <v>536538</v>
      </c>
      <c r="M1366" s="2">
        <v>22469</v>
      </c>
      <c r="N1366">
        <v>1.65</v>
      </c>
      <c r="O1366" s="6">
        <v>80</v>
      </c>
      <c r="P1366" s="3">
        <v>0.05</v>
      </c>
      <c r="Q1366" t="s">
        <v>5</v>
      </c>
      <c r="R1366" s="7">
        <f t="shared" si="63"/>
        <v>132</v>
      </c>
      <c r="S1366" s="7">
        <f t="shared" si="64"/>
        <v>6.6000000000000005</v>
      </c>
      <c r="T1366">
        <f>Table1[[#This Row],[Total price]]-Table1[[#This Row],[Discount Amount]]</f>
        <v>125.4</v>
      </c>
      <c r="U1366">
        <f t="shared" si="65"/>
        <v>10032</v>
      </c>
    </row>
    <row r="1367" spans="1:21">
      <c r="A1367">
        <v>1366</v>
      </c>
      <c r="B1367" s="3" t="s">
        <v>1047</v>
      </c>
      <c r="C1367" s="3" t="s">
        <v>1046</v>
      </c>
      <c r="D1367" s="3" t="s">
        <v>2866</v>
      </c>
      <c r="E1367" s="3" t="s">
        <v>4396</v>
      </c>
      <c r="F1367" s="3">
        <v>489</v>
      </c>
      <c r="G1367" s="4">
        <v>41244.529861111114</v>
      </c>
      <c r="H1367" s="3">
        <v>4</v>
      </c>
      <c r="I1367" s="5">
        <v>8</v>
      </c>
      <c r="J1367" t="s">
        <v>137</v>
      </c>
      <c r="K1367" t="s">
        <v>4498</v>
      </c>
      <c r="L1367">
        <v>536538</v>
      </c>
      <c r="M1367" s="2">
        <v>22173</v>
      </c>
      <c r="N1367">
        <v>2.95</v>
      </c>
      <c r="O1367" s="6">
        <v>100</v>
      </c>
      <c r="P1367" s="3">
        <v>0.1</v>
      </c>
      <c r="Q1367" t="s">
        <v>5</v>
      </c>
      <c r="R1367" s="7">
        <f t="shared" si="63"/>
        <v>295</v>
      </c>
      <c r="S1367" s="7">
        <f t="shared" si="64"/>
        <v>29.5</v>
      </c>
      <c r="T1367">
        <f>Table1[[#This Row],[Total price]]-Table1[[#This Row],[Discount Amount]]</f>
        <v>265.5</v>
      </c>
      <c r="U1367">
        <f t="shared" si="65"/>
        <v>26550</v>
      </c>
    </row>
    <row r="1368" spans="1:21">
      <c r="A1368">
        <v>1367</v>
      </c>
      <c r="B1368" s="3" t="s">
        <v>1045</v>
      </c>
      <c r="C1368" s="3" t="s">
        <v>1044</v>
      </c>
      <c r="D1368" s="3" t="s">
        <v>2866</v>
      </c>
      <c r="E1368" s="3" t="s">
        <v>4397</v>
      </c>
      <c r="F1368" s="3">
        <v>490</v>
      </c>
      <c r="G1368" s="4">
        <v>41244.529861111114</v>
      </c>
      <c r="H1368" s="3">
        <v>4</v>
      </c>
      <c r="I1368" s="5">
        <v>12</v>
      </c>
      <c r="J1368" t="s">
        <v>322</v>
      </c>
      <c r="K1368" t="s">
        <v>4498</v>
      </c>
      <c r="L1368">
        <v>536538</v>
      </c>
      <c r="M1368" s="2">
        <v>22584</v>
      </c>
      <c r="N1368">
        <v>2.5499999999999998</v>
      </c>
      <c r="O1368" s="6">
        <v>200</v>
      </c>
      <c r="P1368" s="3">
        <v>0.1</v>
      </c>
      <c r="Q1368" t="s">
        <v>5</v>
      </c>
      <c r="R1368" s="7">
        <f t="shared" si="63"/>
        <v>509.99999999999994</v>
      </c>
      <c r="S1368" s="7">
        <f t="shared" si="64"/>
        <v>51</v>
      </c>
      <c r="T1368">
        <f>Table1[[#This Row],[Total price]]-Table1[[#This Row],[Discount Amount]]</f>
        <v>458.99999999999994</v>
      </c>
      <c r="U1368">
        <f t="shared" si="65"/>
        <v>91799.999999999985</v>
      </c>
    </row>
    <row r="1369" spans="1:21">
      <c r="A1369">
        <v>1368</v>
      </c>
      <c r="B1369" s="3" t="s">
        <v>1043</v>
      </c>
      <c r="C1369" s="3" t="s">
        <v>1042</v>
      </c>
      <c r="D1369" s="3" t="s">
        <v>2866</v>
      </c>
      <c r="E1369" s="3" t="s">
        <v>4398</v>
      </c>
      <c r="F1369" s="3">
        <v>490</v>
      </c>
      <c r="G1369" s="4">
        <v>41244.529861111114</v>
      </c>
      <c r="H1369" s="3">
        <v>4</v>
      </c>
      <c r="I1369" s="5">
        <v>23</v>
      </c>
      <c r="J1369" t="s">
        <v>677</v>
      </c>
      <c r="K1369" t="s">
        <v>4498</v>
      </c>
      <c r="L1369">
        <v>536538</v>
      </c>
      <c r="M1369" s="2">
        <v>22583</v>
      </c>
      <c r="N1369">
        <v>2.5499999999999998</v>
      </c>
      <c r="O1369" s="6">
        <v>150</v>
      </c>
      <c r="P1369" s="3">
        <v>0.05</v>
      </c>
      <c r="Q1369" t="s">
        <v>5</v>
      </c>
      <c r="R1369" s="7">
        <f t="shared" si="63"/>
        <v>382.5</v>
      </c>
      <c r="S1369" s="7">
        <f t="shared" si="64"/>
        <v>19.125</v>
      </c>
      <c r="T1369">
        <f>Table1[[#This Row],[Total price]]-Table1[[#This Row],[Discount Amount]]</f>
        <v>363.375</v>
      </c>
      <c r="U1369">
        <f t="shared" si="65"/>
        <v>54506.25</v>
      </c>
    </row>
    <row r="1370" spans="1:21">
      <c r="A1370">
        <v>1369</v>
      </c>
      <c r="B1370" s="3" t="s">
        <v>1041</v>
      </c>
      <c r="C1370" s="3" t="s">
        <v>1040</v>
      </c>
      <c r="D1370" s="3" t="s">
        <v>2866</v>
      </c>
      <c r="E1370" s="3" t="s">
        <v>4399</v>
      </c>
      <c r="F1370" s="3">
        <v>490</v>
      </c>
      <c r="G1370" s="4">
        <v>41244.529861111114</v>
      </c>
      <c r="H1370" s="3">
        <v>4</v>
      </c>
      <c r="I1370" s="5">
        <v>14</v>
      </c>
      <c r="J1370" t="s">
        <v>531</v>
      </c>
      <c r="K1370" t="s">
        <v>4498</v>
      </c>
      <c r="L1370">
        <v>536538</v>
      </c>
      <c r="M1370" s="2">
        <v>21143</v>
      </c>
      <c r="N1370">
        <v>1.95</v>
      </c>
      <c r="O1370" s="6">
        <v>200</v>
      </c>
      <c r="P1370" s="3">
        <v>0.1</v>
      </c>
      <c r="Q1370" t="s">
        <v>5</v>
      </c>
      <c r="R1370" s="7">
        <f t="shared" si="63"/>
        <v>390</v>
      </c>
      <c r="S1370" s="7">
        <f t="shared" si="64"/>
        <v>39</v>
      </c>
      <c r="T1370">
        <f>Table1[[#This Row],[Total price]]-Table1[[#This Row],[Discount Amount]]</f>
        <v>351</v>
      </c>
      <c r="U1370">
        <f t="shared" si="65"/>
        <v>70200</v>
      </c>
    </row>
    <row r="1371" spans="1:21">
      <c r="A1371">
        <v>1370</v>
      </c>
      <c r="B1371" s="3" t="s">
        <v>1039</v>
      </c>
      <c r="C1371" s="3" t="s">
        <v>1038</v>
      </c>
      <c r="D1371" s="3" t="s">
        <v>4400</v>
      </c>
      <c r="E1371" s="3" t="s">
        <v>4401</v>
      </c>
      <c r="F1371" s="3">
        <v>490</v>
      </c>
      <c r="G1371" s="4">
        <v>41244.529861111114</v>
      </c>
      <c r="H1371" s="3">
        <v>4</v>
      </c>
      <c r="I1371" s="5">
        <v>13</v>
      </c>
      <c r="J1371" t="s">
        <v>715</v>
      </c>
      <c r="K1371" t="s">
        <v>4498</v>
      </c>
      <c r="L1371">
        <v>536538</v>
      </c>
      <c r="M1371" s="2">
        <v>84944</v>
      </c>
      <c r="N1371">
        <v>4.25</v>
      </c>
      <c r="O1371" s="6">
        <v>300</v>
      </c>
      <c r="P1371" s="3">
        <v>7.0000000000000007E-2</v>
      </c>
      <c r="Q1371" t="s">
        <v>5</v>
      </c>
      <c r="R1371" s="7">
        <f t="shared" si="63"/>
        <v>1275</v>
      </c>
      <c r="S1371" s="7">
        <f t="shared" si="64"/>
        <v>89.250000000000014</v>
      </c>
      <c r="T1371">
        <f>Table1[[#This Row],[Total price]]-Table1[[#This Row],[Discount Amount]]</f>
        <v>1185.75</v>
      </c>
      <c r="U1371">
        <f t="shared" si="65"/>
        <v>355725</v>
      </c>
    </row>
    <row r="1372" spans="1:21">
      <c r="A1372">
        <v>1371</v>
      </c>
      <c r="B1372" s="3" t="s">
        <v>1037</v>
      </c>
      <c r="C1372" s="3" t="s">
        <v>894</v>
      </c>
      <c r="D1372" s="3" t="s">
        <v>2866</v>
      </c>
      <c r="E1372" s="3" t="s">
        <v>4402</v>
      </c>
      <c r="F1372" s="3">
        <v>491</v>
      </c>
      <c r="G1372" s="4">
        <v>41244.529861111114</v>
      </c>
      <c r="H1372" s="3">
        <v>4</v>
      </c>
      <c r="I1372" s="5">
        <v>9</v>
      </c>
      <c r="J1372" t="s">
        <v>352</v>
      </c>
      <c r="K1372" t="s">
        <v>4498</v>
      </c>
      <c r="L1372">
        <v>536538</v>
      </c>
      <c r="M1372" s="2">
        <v>22601</v>
      </c>
      <c r="N1372">
        <v>0.85</v>
      </c>
      <c r="O1372" s="6">
        <v>100</v>
      </c>
      <c r="P1372" s="3">
        <v>0.2</v>
      </c>
      <c r="Q1372" t="s">
        <v>5</v>
      </c>
      <c r="R1372" s="7">
        <f t="shared" si="63"/>
        <v>85</v>
      </c>
      <c r="S1372" s="7">
        <f t="shared" si="64"/>
        <v>17</v>
      </c>
      <c r="T1372">
        <f>Table1[[#This Row],[Total price]]-Table1[[#This Row],[Discount Amount]]</f>
        <v>68</v>
      </c>
      <c r="U1372">
        <f t="shared" si="65"/>
        <v>6800</v>
      </c>
    </row>
    <row r="1373" spans="1:21">
      <c r="A1373">
        <v>1372</v>
      </c>
      <c r="B1373" s="3" t="s">
        <v>1036</v>
      </c>
      <c r="C1373" s="3" t="s">
        <v>1035</v>
      </c>
      <c r="D1373" s="3" t="s">
        <v>2866</v>
      </c>
      <c r="E1373" s="3" t="s">
        <v>4403</v>
      </c>
      <c r="F1373" s="3">
        <v>491</v>
      </c>
      <c r="G1373" s="4">
        <v>41244.529861111114</v>
      </c>
      <c r="H1373" s="3">
        <v>4</v>
      </c>
      <c r="I1373" s="5">
        <v>21</v>
      </c>
      <c r="J1373" t="s">
        <v>548</v>
      </c>
      <c r="K1373" t="s">
        <v>4498</v>
      </c>
      <c r="L1373">
        <v>536538</v>
      </c>
      <c r="M1373" s="2">
        <v>22603</v>
      </c>
      <c r="N1373">
        <v>0.85</v>
      </c>
      <c r="O1373" s="6">
        <v>100</v>
      </c>
      <c r="P1373" s="3">
        <v>0.05</v>
      </c>
      <c r="Q1373" t="s">
        <v>5</v>
      </c>
      <c r="R1373" s="7">
        <f t="shared" si="63"/>
        <v>85</v>
      </c>
      <c r="S1373" s="7">
        <f t="shared" si="64"/>
        <v>4.25</v>
      </c>
      <c r="T1373">
        <f>Table1[[#This Row],[Total price]]-Table1[[#This Row],[Discount Amount]]</f>
        <v>80.75</v>
      </c>
      <c r="U1373">
        <f t="shared" si="65"/>
        <v>8075</v>
      </c>
    </row>
    <row r="1374" spans="1:21">
      <c r="A1374">
        <v>1373</v>
      </c>
      <c r="B1374" s="3" t="s">
        <v>1034</v>
      </c>
      <c r="C1374" s="3" t="s">
        <v>1033</v>
      </c>
      <c r="D1374" s="3" t="s">
        <v>2866</v>
      </c>
      <c r="E1374" s="3" t="s">
        <v>4404</v>
      </c>
      <c r="F1374" s="3">
        <v>491</v>
      </c>
      <c r="G1374" s="4">
        <v>41244.529861111114</v>
      </c>
      <c r="H1374" s="3">
        <v>4</v>
      </c>
      <c r="I1374" s="5">
        <v>15</v>
      </c>
      <c r="J1374" t="s">
        <v>549</v>
      </c>
      <c r="K1374" t="s">
        <v>4498</v>
      </c>
      <c r="L1374">
        <v>536538</v>
      </c>
      <c r="M1374" s="2">
        <v>22600</v>
      </c>
      <c r="N1374">
        <v>0.85</v>
      </c>
      <c r="O1374" s="6">
        <v>100</v>
      </c>
      <c r="P1374" s="3">
        <v>0.05</v>
      </c>
      <c r="Q1374" t="s">
        <v>5</v>
      </c>
      <c r="R1374" s="7">
        <f t="shared" si="63"/>
        <v>85</v>
      </c>
      <c r="S1374" s="7">
        <f t="shared" si="64"/>
        <v>4.25</v>
      </c>
      <c r="T1374">
        <f>Table1[[#This Row],[Total price]]-Table1[[#This Row],[Discount Amount]]</f>
        <v>80.75</v>
      </c>
      <c r="U1374">
        <f t="shared" si="65"/>
        <v>8075</v>
      </c>
    </row>
    <row r="1375" spans="1:21">
      <c r="A1375">
        <v>1374</v>
      </c>
      <c r="B1375" s="3" t="s">
        <v>1032</v>
      </c>
      <c r="C1375" s="3" t="s">
        <v>1031</v>
      </c>
      <c r="D1375" s="3" t="s">
        <v>2866</v>
      </c>
      <c r="E1375" s="3" t="s">
        <v>4405</v>
      </c>
      <c r="F1375" s="3">
        <v>492</v>
      </c>
      <c r="G1375" s="4">
        <v>41244.529861111114</v>
      </c>
      <c r="H1375" s="3">
        <v>4</v>
      </c>
      <c r="I1375" s="5">
        <v>6</v>
      </c>
      <c r="J1375" t="s">
        <v>512</v>
      </c>
      <c r="K1375" t="s">
        <v>4498</v>
      </c>
      <c r="L1375">
        <v>536538</v>
      </c>
      <c r="M1375" s="2">
        <v>22574</v>
      </c>
      <c r="N1375">
        <v>0.85</v>
      </c>
      <c r="O1375" s="6">
        <v>100</v>
      </c>
      <c r="P1375" s="3">
        <v>0.1</v>
      </c>
      <c r="Q1375" t="s">
        <v>5</v>
      </c>
      <c r="R1375" s="7">
        <f t="shared" si="63"/>
        <v>85</v>
      </c>
      <c r="S1375" s="7">
        <f t="shared" si="64"/>
        <v>8.5</v>
      </c>
      <c r="T1375">
        <f>Table1[[#This Row],[Total price]]-Table1[[#This Row],[Discount Amount]]</f>
        <v>76.5</v>
      </c>
      <c r="U1375">
        <f t="shared" si="65"/>
        <v>7650</v>
      </c>
    </row>
    <row r="1376" spans="1:21">
      <c r="A1376">
        <v>1375</v>
      </c>
      <c r="B1376" s="3" t="s">
        <v>1030</v>
      </c>
      <c r="C1376" s="3" t="s">
        <v>1029</v>
      </c>
      <c r="D1376" s="3" t="s">
        <v>2866</v>
      </c>
      <c r="E1376" s="3" t="s">
        <v>4406</v>
      </c>
      <c r="F1376" s="3">
        <v>492</v>
      </c>
      <c r="G1376" s="4">
        <v>41244.529861111114</v>
      </c>
      <c r="H1376" s="3">
        <v>4</v>
      </c>
      <c r="I1376" s="5">
        <v>22</v>
      </c>
      <c r="J1376" t="s">
        <v>370</v>
      </c>
      <c r="K1376" t="s">
        <v>4498</v>
      </c>
      <c r="L1376">
        <v>536538</v>
      </c>
      <c r="M1376" s="2">
        <v>22573</v>
      </c>
      <c r="N1376">
        <v>0.85</v>
      </c>
      <c r="O1376" s="6">
        <v>100</v>
      </c>
      <c r="P1376" s="3">
        <v>0.1</v>
      </c>
      <c r="Q1376" t="s">
        <v>5</v>
      </c>
      <c r="R1376" s="7">
        <f t="shared" si="63"/>
        <v>85</v>
      </c>
      <c r="S1376" s="7">
        <f t="shared" si="64"/>
        <v>8.5</v>
      </c>
      <c r="T1376">
        <f>Table1[[#This Row],[Total price]]-Table1[[#This Row],[Discount Amount]]</f>
        <v>76.5</v>
      </c>
      <c r="U1376">
        <f t="shared" si="65"/>
        <v>7650</v>
      </c>
    </row>
    <row r="1377" spans="1:21">
      <c r="A1377">
        <v>1376</v>
      </c>
      <c r="B1377" s="3" t="s">
        <v>1028</v>
      </c>
      <c r="C1377" s="3" t="s">
        <v>1027</v>
      </c>
      <c r="D1377" s="3" t="s">
        <v>2866</v>
      </c>
      <c r="E1377" s="3" t="s">
        <v>4407</v>
      </c>
      <c r="F1377" s="3">
        <v>492</v>
      </c>
      <c r="G1377" s="4">
        <v>41244.529861111114</v>
      </c>
      <c r="H1377" s="3">
        <v>4</v>
      </c>
      <c r="I1377" s="5">
        <v>26</v>
      </c>
      <c r="J1377" t="s">
        <v>287</v>
      </c>
      <c r="K1377" t="s">
        <v>4499</v>
      </c>
      <c r="L1377">
        <v>536538</v>
      </c>
      <c r="M1377" s="2" t="s">
        <v>286</v>
      </c>
      <c r="N1377">
        <v>0.65</v>
      </c>
      <c r="O1377" s="6">
        <v>10</v>
      </c>
      <c r="P1377" s="3">
        <v>0.05</v>
      </c>
      <c r="Q1377" t="s">
        <v>5</v>
      </c>
      <c r="R1377" s="7">
        <f t="shared" si="63"/>
        <v>6.5</v>
      </c>
      <c r="S1377" s="7">
        <f t="shared" si="64"/>
        <v>0.32500000000000001</v>
      </c>
      <c r="T1377">
        <f>Table1[[#This Row],[Total price]]-Table1[[#This Row],[Discount Amount]]</f>
        <v>6.1749999999999998</v>
      </c>
      <c r="U1377">
        <f t="shared" si="65"/>
        <v>61.75</v>
      </c>
    </row>
    <row r="1378" spans="1:21">
      <c r="A1378">
        <v>1377</v>
      </c>
      <c r="B1378" s="3" t="s">
        <v>1026</v>
      </c>
      <c r="C1378" s="3" t="s">
        <v>938</v>
      </c>
      <c r="D1378" s="3" t="s">
        <v>4408</v>
      </c>
      <c r="E1378" s="3" t="s">
        <v>4409</v>
      </c>
      <c r="F1378" s="3">
        <v>493</v>
      </c>
      <c r="G1378" s="4">
        <v>41244.529861111114</v>
      </c>
      <c r="H1378" s="3">
        <v>4</v>
      </c>
      <c r="I1378" s="5">
        <v>15</v>
      </c>
      <c r="J1378" t="s">
        <v>289</v>
      </c>
      <c r="K1378" t="s">
        <v>4499</v>
      </c>
      <c r="L1378">
        <v>536538</v>
      </c>
      <c r="M1378" s="2" t="s">
        <v>288</v>
      </c>
      <c r="N1378">
        <v>0.42</v>
      </c>
      <c r="O1378" s="6">
        <v>10</v>
      </c>
      <c r="P1378" s="3">
        <v>0.05</v>
      </c>
      <c r="Q1378" t="s">
        <v>5</v>
      </c>
      <c r="R1378" s="7">
        <f t="shared" si="63"/>
        <v>4.2</v>
      </c>
      <c r="S1378" s="7">
        <f t="shared" si="64"/>
        <v>0.21000000000000002</v>
      </c>
      <c r="T1378">
        <f>Table1[[#This Row],[Total price]]-Table1[[#This Row],[Discount Amount]]</f>
        <v>3.99</v>
      </c>
      <c r="U1378">
        <f t="shared" si="65"/>
        <v>39.900000000000006</v>
      </c>
    </row>
    <row r="1379" spans="1:21">
      <c r="A1379">
        <v>1378</v>
      </c>
      <c r="B1379" s="3" t="s">
        <v>1025</v>
      </c>
      <c r="C1379" s="3" t="s">
        <v>1024</v>
      </c>
      <c r="D1379" s="3" t="s">
        <v>4410</v>
      </c>
      <c r="E1379" s="3" t="s">
        <v>4411</v>
      </c>
      <c r="F1379" s="3">
        <v>493</v>
      </c>
      <c r="G1379" s="4">
        <v>41244.529861111114</v>
      </c>
      <c r="H1379" s="3">
        <v>4</v>
      </c>
      <c r="I1379" s="5">
        <v>18</v>
      </c>
      <c r="J1379" t="s">
        <v>861</v>
      </c>
      <c r="K1379" t="s">
        <v>4499</v>
      </c>
      <c r="L1379">
        <v>536539</v>
      </c>
      <c r="M1379" s="2">
        <v>22969</v>
      </c>
      <c r="N1379">
        <v>1.45</v>
      </c>
      <c r="O1379" s="6">
        <v>12</v>
      </c>
      <c r="P1379" s="3">
        <v>0.05</v>
      </c>
      <c r="Q1379" t="s">
        <v>5</v>
      </c>
      <c r="R1379" s="7">
        <f t="shared" si="63"/>
        <v>17.399999999999999</v>
      </c>
      <c r="S1379" s="7">
        <f t="shared" si="64"/>
        <v>0.87</v>
      </c>
      <c r="T1379">
        <f>Table1[[#This Row],[Total price]]-Table1[[#This Row],[Discount Amount]]</f>
        <v>16.529999999999998</v>
      </c>
      <c r="U1379">
        <f t="shared" si="65"/>
        <v>198.35999999999996</v>
      </c>
    </row>
    <row r="1380" spans="1:21">
      <c r="A1380">
        <v>1379</v>
      </c>
      <c r="B1380" s="3" t="s">
        <v>1023</v>
      </c>
      <c r="C1380" s="3" t="s">
        <v>1022</v>
      </c>
      <c r="D1380" s="3" t="s">
        <v>2866</v>
      </c>
      <c r="E1380" s="3" t="s">
        <v>4412</v>
      </c>
      <c r="F1380" s="3">
        <v>493</v>
      </c>
      <c r="G1380" s="4">
        <v>41244.529861111114</v>
      </c>
      <c r="H1380" s="3">
        <v>4</v>
      </c>
      <c r="I1380" s="5">
        <v>26</v>
      </c>
      <c r="J1380" t="s">
        <v>333</v>
      </c>
      <c r="K1380" t="s">
        <v>4499</v>
      </c>
      <c r="L1380">
        <v>536539</v>
      </c>
      <c r="M1380" s="2">
        <v>72741</v>
      </c>
      <c r="N1380">
        <v>1.45</v>
      </c>
      <c r="O1380" s="6">
        <v>18</v>
      </c>
      <c r="P1380" s="3">
        <v>0.05</v>
      </c>
      <c r="Q1380" t="s">
        <v>5</v>
      </c>
      <c r="R1380" s="7">
        <f t="shared" si="63"/>
        <v>26.099999999999998</v>
      </c>
      <c r="S1380" s="7">
        <f t="shared" si="64"/>
        <v>1.3049999999999999</v>
      </c>
      <c r="T1380">
        <f>Table1[[#This Row],[Total price]]-Table1[[#This Row],[Discount Amount]]</f>
        <v>24.794999999999998</v>
      </c>
      <c r="U1380">
        <f t="shared" si="65"/>
        <v>446.30999999999995</v>
      </c>
    </row>
    <row r="1381" spans="1:21">
      <c r="A1381">
        <v>1380</v>
      </c>
      <c r="B1381" s="3" t="s">
        <v>1021</v>
      </c>
      <c r="C1381" s="3" t="s">
        <v>1020</v>
      </c>
      <c r="D1381" s="3" t="s">
        <v>2866</v>
      </c>
      <c r="E1381" s="3" t="s">
        <v>4413</v>
      </c>
      <c r="F1381" s="3">
        <v>494</v>
      </c>
      <c r="G1381" s="4">
        <v>41244.529861111114</v>
      </c>
      <c r="H1381" s="3">
        <v>4</v>
      </c>
      <c r="I1381" s="5">
        <v>23</v>
      </c>
      <c r="J1381" t="s">
        <v>234</v>
      </c>
      <c r="K1381" t="s">
        <v>4499</v>
      </c>
      <c r="L1381">
        <v>536539</v>
      </c>
      <c r="M1381" s="2">
        <v>37495</v>
      </c>
      <c r="N1381">
        <v>3.75</v>
      </c>
      <c r="O1381" s="6">
        <v>4</v>
      </c>
      <c r="P1381" s="3">
        <v>0.1</v>
      </c>
      <c r="Q1381" t="s">
        <v>5</v>
      </c>
      <c r="R1381" s="7">
        <f t="shared" si="63"/>
        <v>15</v>
      </c>
      <c r="S1381" s="7">
        <f t="shared" si="64"/>
        <v>1.5</v>
      </c>
      <c r="T1381">
        <f>Table1[[#This Row],[Total price]]-Table1[[#This Row],[Discount Amount]]</f>
        <v>13.5</v>
      </c>
      <c r="U1381">
        <f t="shared" si="65"/>
        <v>54</v>
      </c>
    </row>
    <row r="1382" spans="1:21">
      <c r="A1382">
        <v>1381</v>
      </c>
      <c r="B1382" s="3" t="s">
        <v>1019</v>
      </c>
      <c r="C1382" s="3" t="s">
        <v>1018</v>
      </c>
      <c r="D1382" s="3" t="s">
        <v>2866</v>
      </c>
      <c r="E1382" s="3" t="s">
        <v>4414</v>
      </c>
      <c r="F1382" s="3">
        <v>495</v>
      </c>
      <c r="G1382" s="4">
        <v>41244.529861111114</v>
      </c>
      <c r="H1382" s="3">
        <v>4</v>
      </c>
      <c r="I1382" s="5">
        <v>22</v>
      </c>
      <c r="J1382" t="s">
        <v>524</v>
      </c>
      <c r="K1382" t="s">
        <v>4499</v>
      </c>
      <c r="L1382">
        <v>536539</v>
      </c>
      <c r="M1382" s="2">
        <v>22807</v>
      </c>
      <c r="N1382">
        <v>2.95</v>
      </c>
      <c r="O1382" s="6">
        <v>6</v>
      </c>
      <c r="P1382" s="3">
        <v>0.2</v>
      </c>
      <c r="Q1382" t="s">
        <v>5</v>
      </c>
      <c r="R1382" s="7">
        <f t="shared" si="63"/>
        <v>17.700000000000003</v>
      </c>
      <c r="S1382" s="7">
        <f t="shared" si="64"/>
        <v>3.5400000000000009</v>
      </c>
      <c r="T1382">
        <f>Table1[[#This Row],[Total price]]-Table1[[#This Row],[Discount Amount]]</f>
        <v>14.160000000000002</v>
      </c>
      <c r="U1382">
        <f t="shared" si="65"/>
        <v>84.960000000000008</v>
      </c>
    </row>
    <row r="1383" spans="1:21">
      <c r="A1383">
        <v>1382</v>
      </c>
      <c r="B1383" s="3" t="s">
        <v>1017</v>
      </c>
      <c r="C1383" s="3" t="s">
        <v>1016</v>
      </c>
      <c r="D1383" s="3" t="s">
        <v>2866</v>
      </c>
      <c r="E1383" s="3" t="s">
        <v>4415</v>
      </c>
      <c r="F1383" s="3">
        <v>495</v>
      </c>
      <c r="G1383" s="4">
        <v>41244.529861111114</v>
      </c>
      <c r="H1383" s="3">
        <v>4</v>
      </c>
      <c r="I1383" s="5">
        <v>9</v>
      </c>
      <c r="J1383" t="s">
        <v>641</v>
      </c>
      <c r="K1383" t="s">
        <v>4499</v>
      </c>
      <c r="L1383">
        <v>536539</v>
      </c>
      <c r="M1383" s="2">
        <v>22171</v>
      </c>
      <c r="N1383">
        <v>8.5</v>
      </c>
      <c r="O1383" s="6">
        <v>2</v>
      </c>
      <c r="P1383" s="3">
        <v>0.05</v>
      </c>
      <c r="Q1383" t="s">
        <v>5</v>
      </c>
      <c r="R1383" s="7">
        <f t="shared" si="63"/>
        <v>17</v>
      </c>
      <c r="S1383" s="7">
        <f t="shared" si="64"/>
        <v>0.85000000000000009</v>
      </c>
      <c r="T1383">
        <f>Table1[[#This Row],[Total price]]-Table1[[#This Row],[Discount Amount]]</f>
        <v>16.149999999999999</v>
      </c>
      <c r="U1383">
        <f t="shared" si="65"/>
        <v>32.299999999999997</v>
      </c>
    </row>
    <row r="1384" spans="1:21">
      <c r="A1384">
        <v>1383</v>
      </c>
      <c r="B1384" s="3" t="s">
        <v>1015</v>
      </c>
      <c r="C1384" s="3" t="s">
        <v>1014</v>
      </c>
      <c r="D1384" s="3" t="s">
        <v>4416</v>
      </c>
      <c r="E1384" s="3" t="s">
        <v>4417</v>
      </c>
      <c r="F1384" s="3">
        <v>496</v>
      </c>
      <c r="G1384" s="4">
        <v>41244.529861111114</v>
      </c>
      <c r="H1384" s="3">
        <v>4</v>
      </c>
      <c r="I1384" s="5">
        <v>23</v>
      </c>
      <c r="J1384" t="s">
        <v>607</v>
      </c>
      <c r="K1384" t="s">
        <v>4499</v>
      </c>
      <c r="L1384">
        <v>536539</v>
      </c>
      <c r="M1384" s="2">
        <v>82486</v>
      </c>
      <c r="N1384">
        <v>7.95</v>
      </c>
      <c r="O1384" s="6">
        <v>2</v>
      </c>
      <c r="P1384" s="3">
        <v>0.2</v>
      </c>
      <c r="Q1384" t="s">
        <v>5</v>
      </c>
      <c r="R1384" s="7">
        <f t="shared" si="63"/>
        <v>15.9</v>
      </c>
      <c r="S1384" s="7">
        <f t="shared" si="64"/>
        <v>3.18</v>
      </c>
      <c r="T1384">
        <f>Table1[[#This Row],[Total price]]-Table1[[#This Row],[Discount Amount]]</f>
        <v>12.72</v>
      </c>
      <c r="U1384">
        <f t="shared" si="65"/>
        <v>25.44</v>
      </c>
    </row>
    <row r="1385" spans="1:21">
      <c r="A1385">
        <v>1384</v>
      </c>
      <c r="B1385" s="3" t="s">
        <v>1013</v>
      </c>
      <c r="C1385" s="3" t="s">
        <v>1012</v>
      </c>
      <c r="D1385" s="3" t="s">
        <v>2866</v>
      </c>
      <c r="E1385" s="3" t="s">
        <v>4418</v>
      </c>
      <c r="F1385" s="3">
        <v>496</v>
      </c>
      <c r="G1385" s="4">
        <v>41244.529861111114</v>
      </c>
      <c r="H1385" s="3">
        <v>4</v>
      </c>
      <c r="I1385" s="5">
        <v>13</v>
      </c>
      <c r="J1385" t="s">
        <v>137</v>
      </c>
      <c r="K1385" t="s">
        <v>4499</v>
      </c>
      <c r="L1385">
        <v>536539</v>
      </c>
      <c r="M1385" s="2">
        <v>22173</v>
      </c>
      <c r="N1385">
        <v>2.95</v>
      </c>
      <c r="O1385" s="6">
        <v>8</v>
      </c>
      <c r="P1385" s="3">
        <v>0.1</v>
      </c>
      <c r="Q1385" t="s">
        <v>5</v>
      </c>
      <c r="R1385" s="7">
        <f t="shared" si="63"/>
        <v>23.6</v>
      </c>
      <c r="S1385" s="7">
        <f t="shared" si="64"/>
        <v>2.3600000000000003</v>
      </c>
      <c r="T1385">
        <f>Table1[[#This Row],[Total price]]-Table1[[#This Row],[Discount Amount]]</f>
        <v>21.240000000000002</v>
      </c>
      <c r="U1385">
        <f t="shared" si="65"/>
        <v>169.92000000000002</v>
      </c>
    </row>
    <row r="1386" spans="1:21">
      <c r="A1386">
        <v>1385</v>
      </c>
      <c r="B1386" s="3" t="s">
        <v>1011</v>
      </c>
      <c r="C1386" s="3" t="s">
        <v>1010</v>
      </c>
      <c r="D1386" s="3" t="s">
        <v>2866</v>
      </c>
      <c r="E1386" s="3" t="s">
        <v>4419</v>
      </c>
      <c r="F1386" s="3">
        <v>496</v>
      </c>
      <c r="G1386" s="4">
        <v>41244.529861111114</v>
      </c>
      <c r="H1386" s="3">
        <v>4</v>
      </c>
      <c r="I1386" s="5">
        <v>21</v>
      </c>
      <c r="J1386" t="s">
        <v>480</v>
      </c>
      <c r="K1386" t="s">
        <v>4499</v>
      </c>
      <c r="L1386">
        <v>536539</v>
      </c>
      <c r="M1386" s="2">
        <v>85067</v>
      </c>
      <c r="N1386">
        <v>18.95</v>
      </c>
      <c r="O1386" s="6">
        <v>1</v>
      </c>
      <c r="P1386" s="3">
        <v>0.2</v>
      </c>
      <c r="Q1386" t="s">
        <v>5</v>
      </c>
      <c r="R1386" s="7">
        <f t="shared" si="63"/>
        <v>18.95</v>
      </c>
      <c r="S1386" s="7">
        <f t="shared" si="64"/>
        <v>3.79</v>
      </c>
      <c r="T1386">
        <f>Table1[[#This Row],[Total price]]-Table1[[#This Row],[Discount Amount]]</f>
        <v>15.16</v>
      </c>
      <c r="U1386">
        <f t="shared" si="65"/>
        <v>15.16</v>
      </c>
    </row>
    <row r="1387" spans="1:21">
      <c r="A1387">
        <v>1386</v>
      </c>
      <c r="B1387" s="3" t="s">
        <v>1009</v>
      </c>
      <c r="C1387" s="3" t="s">
        <v>1008</v>
      </c>
      <c r="D1387" s="3" t="s">
        <v>4420</v>
      </c>
      <c r="E1387" s="3" t="s">
        <v>4421</v>
      </c>
      <c r="F1387" s="3">
        <v>497</v>
      </c>
      <c r="G1387" s="4">
        <v>41244.529861111114</v>
      </c>
      <c r="H1387" s="3">
        <v>4</v>
      </c>
      <c r="I1387" s="5">
        <v>25</v>
      </c>
      <c r="J1387" t="s">
        <v>405</v>
      </c>
      <c r="K1387" t="s">
        <v>4499</v>
      </c>
      <c r="L1387">
        <v>536539</v>
      </c>
      <c r="M1387" s="2">
        <v>48184</v>
      </c>
      <c r="N1387">
        <v>7.95</v>
      </c>
      <c r="O1387" s="6">
        <v>2</v>
      </c>
      <c r="P1387" s="3">
        <v>7.0000000000000007E-2</v>
      </c>
      <c r="Q1387" t="s">
        <v>5</v>
      </c>
      <c r="R1387" s="7">
        <f t="shared" si="63"/>
        <v>15.9</v>
      </c>
      <c r="S1387" s="7">
        <f t="shared" si="64"/>
        <v>1.1130000000000002</v>
      </c>
      <c r="T1387">
        <f>Table1[[#This Row],[Total price]]-Table1[[#This Row],[Discount Amount]]</f>
        <v>14.787000000000001</v>
      </c>
      <c r="U1387">
        <f t="shared" si="65"/>
        <v>29.574000000000002</v>
      </c>
    </row>
    <row r="1388" spans="1:21">
      <c r="A1388">
        <v>1387</v>
      </c>
      <c r="B1388" s="3" t="s">
        <v>1007</v>
      </c>
      <c r="C1388" s="3" t="s">
        <v>1006</v>
      </c>
      <c r="D1388" s="3" t="s">
        <v>2866</v>
      </c>
      <c r="E1388" s="3" t="s">
        <v>4422</v>
      </c>
      <c r="F1388" s="3">
        <v>498</v>
      </c>
      <c r="G1388" s="4">
        <v>41244.529861111114</v>
      </c>
      <c r="H1388" s="3">
        <v>4</v>
      </c>
      <c r="I1388" s="5">
        <v>24</v>
      </c>
      <c r="J1388" t="s">
        <v>70</v>
      </c>
      <c r="K1388" t="s">
        <v>4499</v>
      </c>
      <c r="L1388">
        <v>536539</v>
      </c>
      <c r="M1388" s="2">
        <v>48138</v>
      </c>
      <c r="N1388">
        <v>7.95</v>
      </c>
      <c r="O1388" s="6">
        <v>2</v>
      </c>
      <c r="P1388" s="3">
        <v>7.0000000000000007E-2</v>
      </c>
      <c r="Q1388" t="s">
        <v>5</v>
      </c>
      <c r="R1388" s="7">
        <f t="shared" si="63"/>
        <v>15.9</v>
      </c>
      <c r="S1388" s="7">
        <f t="shared" si="64"/>
        <v>1.1130000000000002</v>
      </c>
      <c r="T1388">
        <f>Table1[[#This Row],[Total price]]-Table1[[#This Row],[Discount Amount]]</f>
        <v>14.787000000000001</v>
      </c>
      <c r="U1388">
        <f t="shared" si="65"/>
        <v>29.574000000000002</v>
      </c>
    </row>
    <row r="1389" spans="1:21">
      <c r="A1389">
        <v>1388</v>
      </c>
      <c r="B1389" s="3" t="s">
        <v>1005</v>
      </c>
      <c r="C1389" s="3" t="s">
        <v>1004</v>
      </c>
      <c r="D1389" s="3" t="s">
        <v>2866</v>
      </c>
      <c r="E1389" s="3" t="s">
        <v>4423</v>
      </c>
      <c r="F1389" s="3">
        <v>498</v>
      </c>
      <c r="G1389" s="4">
        <v>41244.529861111114</v>
      </c>
      <c r="H1389" s="3">
        <v>4</v>
      </c>
      <c r="I1389" s="5">
        <v>21</v>
      </c>
      <c r="J1389" t="s">
        <v>71</v>
      </c>
      <c r="K1389" t="s">
        <v>4499</v>
      </c>
      <c r="L1389">
        <v>536539</v>
      </c>
      <c r="M1389" s="2">
        <v>48129</v>
      </c>
      <c r="N1389">
        <v>7.95</v>
      </c>
      <c r="O1389" s="6">
        <v>2</v>
      </c>
      <c r="P1389" s="3">
        <v>0.1</v>
      </c>
      <c r="Q1389" t="s">
        <v>5</v>
      </c>
      <c r="R1389" s="7">
        <f t="shared" si="63"/>
        <v>15.9</v>
      </c>
      <c r="S1389" s="7">
        <f t="shared" si="64"/>
        <v>1.59</v>
      </c>
      <c r="T1389">
        <f>Table1[[#This Row],[Total price]]-Table1[[#This Row],[Discount Amount]]</f>
        <v>14.31</v>
      </c>
      <c r="U1389">
        <f t="shared" si="65"/>
        <v>28.62</v>
      </c>
    </row>
    <row r="1390" spans="1:21">
      <c r="A1390">
        <v>1389</v>
      </c>
      <c r="B1390" s="3" t="s">
        <v>1003</v>
      </c>
      <c r="C1390" s="3" t="s">
        <v>1002</v>
      </c>
      <c r="D1390" s="3" t="s">
        <v>2866</v>
      </c>
      <c r="E1390" s="3" t="s">
        <v>4424</v>
      </c>
      <c r="F1390" s="3">
        <v>498</v>
      </c>
      <c r="G1390" s="4">
        <v>41244.529861111114</v>
      </c>
      <c r="H1390" s="3">
        <v>4</v>
      </c>
      <c r="I1390" s="5">
        <v>10</v>
      </c>
      <c r="J1390" t="s">
        <v>278</v>
      </c>
      <c r="K1390" t="s">
        <v>4499</v>
      </c>
      <c r="L1390">
        <v>536539</v>
      </c>
      <c r="M1390" s="2">
        <v>21625</v>
      </c>
      <c r="N1390">
        <v>6.95</v>
      </c>
      <c r="O1390" s="6">
        <v>3</v>
      </c>
      <c r="P1390" s="3">
        <v>7.0000000000000007E-2</v>
      </c>
      <c r="Q1390" t="s">
        <v>5</v>
      </c>
      <c r="R1390" s="7">
        <f t="shared" si="63"/>
        <v>20.85</v>
      </c>
      <c r="S1390" s="7">
        <f t="shared" si="64"/>
        <v>1.4595000000000002</v>
      </c>
      <c r="T1390">
        <f>Table1[[#This Row],[Total price]]-Table1[[#This Row],[Discount Amount]]</f>
        <v>19.390500000000003</v>
      </c>
      <c r="U1390">
        <f t="shared" si="65"/>
        <v>58.171500000000009</v>
      </c>
    </row>
    <row r="1391" spans="1:21">
      <c r="A1391">
        <v>1390</v>
      </c>
      <c r="B1391" s="3" t="s">
        <v>1001</v>
      </c>
      <c r="C1391" s="3" t="s">
        <v>1000</v>
      </c>
      <c r="D1391" s="3" t="s">
        <v>2866</v>
      </c>
      <c r="E1391" s="3" t="s">
        <v>4425</v>
      </c>
      <c r="F1391" s="3">
        <v>499</v>
      </c>
      <c r="G1391" s="4">
        <v>41244.529861111114</v>
      </c>
      <c r="H1391" s="3">
        <v>2</v>
      </c>
      <c r="I1391" s="5">
        <v>11</v>
      </c>
      <c r="J1391" t="s">
        <v>156</v>
      </c>
      <c r="K1391" t="s">
        <v>4500</v>
      </c>
      <c r="L1391">
        <v>536539</v>
      </c>
      <c r="M1391" s="2">
        <v>22326</v>
      </c>
      <c r="N1391">
        <v>2.95</v>
      </c>
      <c r="O1391" s="6">
        <v>6</v>
      </c>
      <c r="P1391" s="3">
        <v>0.2</v>
      </c>
      <c r="Q1391" t="s">
        <v>9</v>
      </c>
      <c r="R1391" s="7">
        <f t="shared" si="63"/>
        <v>17.700000000000003</v>
      </c>
      <c r="S1391" s="7">
        <f t="shared" si="64"/>
        <v>3.5400000000000009</v>
      </c>
      <c r="T1391">
        <f>Table1[[#This Row],[Total price]]-Table1[[#This Row],[Discount Amount]]</f>
        <v>14.160000000000002</v>
      </c>
      <c r="U1391">
        <f t="shared" si="65"/>
        <v>84.960000000000008</v>
      </c>
    </row>
    <row r="1392" spans="1:21">
      <c r="A1392">
        <v>1391</v>
      </c>
      <c r="B1392" s="3" t="s">
        <v>999</v>
      </c>
      <c r="C1392" s="3" t="s">
        <v>998</v>
      </c>
      <c r="D1392" s="3" t="s">
        <v>2866</v>
      </c>
      <c r="E1392" s="3" t="s">
        <v>4426</v>
      </c>
      <c r="F1392" s="3">
        <v>499</v>
      </c>
      <c r="G1392" s="4">
        <v>41244.529861111114</v>
      </c>
      <c r="H1392" s="3">
        <v>2</v>
      </c>
      <c r="I1392" s="5">
        <v>15</v>
      </c>
      <c r="J1392" t="s">
        <v>81</v>
      </c>
      <c r="K1392" t="s">
        <v>4500</v>
      </c>
      <c r="L1392">
        <v>536539</v>
      </c>
      <c r="M1392" s="2">
        <v>22423</v>
      </c>
      <c r="N1392">
        <v>12.75</v>
      </c>
      <c r="O1392" s="6">
        <v>2</v>
      </c>
      <c r="P1392" s="3">
        <v>7.0000000000000007E-2</v>
      </c>
      <c r="Q1392" t="s">
        <v>9</v>
      </c>
      <c r="R1392" s="7">
        <f t="shared" si="63"/>
        <v>25.5</v>
      </c>
      <c r="S1392" s="7">
        <f t="shared" si="64"/>
        <v>1.7850000000000001</v>
      </c>
      <c r="T1392">
        <f>Table1[[#This Row],[Total price]]-Table1[[#This Row],[Discount Amount]]</f>
        <v>23.715</v>
      </c>
      <c r="U1392">
        <f t="shared" si="65"/>
        <v>47.43</v>
      </c>
    </row>
    <row r="1393" spans="1:21">
      <c r="A1393">
        <v>1392</v>
      </c>
      <c r="B1393" s="3" t="s">
        <v>997</v>
      </c>
      <c r="C1393" s="3" t="s">
        <v>996</v>
      </c>
      <c r="D1393" s="3" t="s">
        <v>2866</v>
      </c>
      <c r="E1393" s="3" t="s">
        <v>4427</v>
      </c>
      <c r="F1393" s="3">
        <v>499</v>
      </c>
      <c r="G1393" s="4">
        <v>41244.529861111114</v>
      </c>
      <c r="H1393" s="3">
        <v>2</v>
      </c>
      <c r="I1393" s="5">
        <v>14</v>
      </c>
      <c r="J1393" t="s">
        <v>569</v>
      </c>
      <c r="K1393" t="s">
        <v>4500</v>
      </c>
      <c r="L1393">
        <v>536539</v>
      </c>
      <c r="M1393" s="2">
        <v>21743</v>
      </c>
      <c r="N1393">
        <v>2.95</v>
      </c>
      <c r="O1393" s="6">
        <v>6</v>
      </c>
      <c r="P1393" s="3">
        <v>0.2</v>
      </c>
      <c r="Q1393" t="s">
        <v>9</v>
      </c>
      <c r="R1393" s="7">
        <f t="shared" si="63"/>
        <v>17.700000000000003</v>
      </c>
      <c r="S1393" s="7">
        <f t="shared" si="64"/>
        <v>3.5400000000000009</v>
      </c>
      <c r="T1393">
        <f>Table1[[#This Row],[Total price]]-Table1[[#This Row],[Discount Amount]]</f>
        <v>14.160000000000002</v>
      </c>
      <c r="U1393">
        <f t="shared" si="65"/>
        <v>84.960000000000008</v>
      </c>
    </row>
    <row r="1394" spans="1:21">
      <c r="A1394">
        <v>1393</v>
      </c>
      <c r="B1394" s="3" t="s">
        <v>995</v>
      </c>
      <c r="C1394" s="3" t="s">
        <v>994</v>
      </c>
      <c r="D1394" s="3" t="s">
        <v>2866</v>
      </c>
      <c r="E1394" s="3" t="s">
        <v>4428</v>
      </c>
      <c r="F1394" s="3">
        <v>499</v>
      </c>
      <c r="G1394" s="4">
        <v>41244.529861111114</v>
      </c>
      <c r="H1394" s="3">
        <v>2</v>
      </c>
      <c r="I1394" s="5">
        <v>20</v>
      </c>
      <c r="J1394" t="s">
        <v>325</v>
      </c>
      <c r="K1394" t="s">
        <v>4500</v>
      </c>
      <c r="L1394">
        <v>536539</v>
      </c>
      <c r="M1394" s="2">
        <v>22557</v>
      </c>
      <c r="N1394">
        <v>1.65</v>
      </c>
      <c r="O1394" s="6">
        <v>12</v>
      </c>
      <c r="P1394" s="3">
        <v>0.1</v>
      </c>
      <c r="Q1394" t="s">
        <v>9</v>
      </c>
      <c r="R1394" s="7">
        <f t="shared" si="63"/>
        <v>19.799999999999997</v>
      </c>
      <c r="S1394" s="7">
        <f t="shared" si="64"/>
        <v>1.9799999999999998</v>
      </c>
      <c r="T1394">
        <f>Table1[[#This Row],[Total price]]-Table1[[#This Row],[Discount Amount]]</f>
        <v>17.819999999999997</v>
      </c>
      <c r="U1394">
        <f t="shared" si="65"/>
        <v>213.83999999999997</v>
      </c>
    </row>
    <row r="1395" spans="1:21">
      <c r="A1395">
        <v>1394</v>
      </c>
      <c r="B1395" s="3" t="s">
        <v>993</v>
      </c>
      <c r="C1395" s="3" t="s">
        <v>992</v>
      </c>
      <c r="D1395" s="3" t="s">
        <v>2866</v>
      </c>
      <c r="E1395" s="3" t="s">
        <v>4429</v>
      </c>
      <c r="F1395" s="3">
        <v>500</v>
      </c>
      <c r="G1395" s="4">
        <v>41244.529861111114</v>
      </c>
      <c r="H1395" s="3">
        <v>2</v>
      </c>
      <c r="I1395" s="5">
        <v>12</v>
      </c>
      <c r="J1395" t="s">
        <v>508</v>
      </c>
      <c r="K1395" t="s">
        <v>4500</v>
      </c>
      <c r="L1395">
        <v>536539</v>
      </c>
      <c r="M1395" s="2">
        <v>22554</v>
      </c>
      <c r="N1395">
        <v>1.65</v>
      </c>
      <c r="O1395" s="6">
        <v>12</v>
      </c>
      <c r="P1395" s="3">
        <v>0.05</v>
      </c>
      <c r="Q1395" t="s">
        <v>9</v>
      </c>
      <c r="R1395" s="7">
        <f t="shared" si="63"/>
        <v>19.799999999999997</v>
      </c>
      <c r="S1395" s="7">
        <f t="shared" si="64"/>
        <v>0.98999999999999988</v>
      </c>
      <c r="T1395">
        <f>Table1[[#This Row],[Total price]]-Table1[[#This Row],[Discount Amount]]</f>
        <v>18.809999999999999</v>
      </c>
      <c r="U1395">
        <f t="shared" si="65"/>
        <v>225.71999999999997</v>
      </c>
    </row>
    <row r="1396" spans="1:21">
      <c r="A1396">
        <v>1395</v>
      </c>
      <c r="B1396" s="3" t="s">
        <v>991</v>
      </c>
      <c r="C1396" s="3" t="s">
        <v>916</v>
      </c>
      <c r="D1396" s="3" t="s">
        <v>2866</v>
      </c>
      <c r="E1396" s="3" t="s">
        <v>4430</v>
      </c>
      <c r="F1396" s="3">
        <v>500</v>
      </c>
      <c r="G1396" s="4">
        <v>41244.529861111114</v>
      </c>
      <c r="H1396" s="3">
        <v>2</v>
      </c>
      <c r="I1396" s="5">
        <v>14</v>
      </c>
      <c r="J1396" t="s">
        <v>704</v>
      </c>
      <c r="K1396" t="s">
        <v>4500</v>
      </c>
      <c r="L1396">
        <v>536539</v>
      </c>
      <c r="M1396" s="2" t="s">
        <v>703</v>
      </c>
      <c r="N1396">
        <v>4.25</v>
      </c>
      <c r="O1396" s="6">
        <v>4</v>
      </c>
      <c r="P1396" s="3">
        <v>0.2</v>
      </c>
      <c r="Q1396" t="s">
        <v>9</v>
      </c>
      <c r="R1396" s="7">
        <f t="shared" si="63"/>
        <v>17</v>
      </c>
      <c r="S1396" s="7">
        <f t="shared" si="64"/>
        <v>3.4000000000000004</v>
      </c>
      <c r="T1396">
        <f>Table1[[#This Row],[Total price]]-Table1[[#This Row],[Discount Amount]]</f>
        <v>13.6</v>
      </c>
      <c r="U1396">
        <f t="shared" si="65"/>
        <v>54.4</v>
      </c>
    </row>
    <row r="1397" spans="1:21">
      <c r="A1397">
        <v>1396</v>
      </c>
      <c r="B1397" s="3" t="s">
        <v>990</v>
      </c>
      <c r="C1397" s="3" t="s">
        <v>989</v>
      </c>
      <c r="D1397" s="3" t="s">
        <v>4431</v>
      </c>
      <c r="E1397" s="3" t="s">
        <v>4432</v>
      </c>
      <c r="F1397" s="3">
        <v>501</v>
      </c>
      <c r="G1397" s="4">
        <v>41244.529861111114</v>
      </c>
      <c r="H1397" s="3">
        <v>2</v>
      </c>
      <c r="I1397" s="5">
        <v>19</v>
      </c>
      <c r="J1397" t="s">
        <v>793</v>
      </c>
      <c r="K1397" t="s">
        <v>4500</v>
      </c>
      <c r="L1397">
        <v>536539</v>
      </c>
      <c r="M1397" s="2" t="s">
        <v>792</v>
      </c>
      <c r="N1397">
        <v>4.25</v>
      </c>
      <c r="O1397" s="6">
        <v>3</v>
      </c>
      <c r="P1397" s="3">
        <v>0.05</v>
      </c>
      <c r="Q1397" t="s">
        <v>9</v>
      </c>
      <c r="R1397" s="7">
        <f t="shared" si="63"/>
        <v>12.75</v>
      </c>
      <c r="S1397" s="7">
        <f t="shared" si="64"/>
        <v>0.63750000000000007</v>
      </c>
      <c r="T1397">
        <f>Table1[[#This Row],[Total price]]-Table1[[#This Row],[Discount Amount]]</f>
        <v>12.112500000000001</v>
      </c>
      <c r="U1397">
        <f t="shared" si="65"/>
        <v>36.337500000000006</v>
      </c>
    </row>
    <row r="1398" spans="1:21">
      <c r="A1398">
        <v>1397</v>
      </c>
      <c r="B1398" s="3" t="s">
        <v>988</v>
      </c>
      <c r="C1398" s="3" t="s">
        <v>987</v>
      </c>
      <c r="D1398" s="3" t="s">
        <v>2866</v>
      </c>
      <c r="E1398" s="3" t="s">
        <v>4433</v>
      </c>
      <c r="F1398" s="3">
        <v>501</v>
      </c>
      <c r="G1398" s="4">
        <v>41244.529861111114</v>
      </c>
      <c r="H1398" s="3">
        <v>2</v>
      </c>
      <c r="I1398" s="5">
        <v>8</v>
      </c>
      <c r="J1398" t="s">
        <v>807</v>
      </c>
      <c r="K1398" t="s">
        <v>4500</v>
      </c>
      <c r="L1398">
        <v>536539</v>
      </c>
      <c r="M1398" s="2">
        <v>20902</v>
      </c>
      <c r="N1398">
        <v>6.35</v>
      </c>
      <c r="O1398" s="6">
        <v>2</v>
      </c>
      <c r="P1398" s="3">
        <v>7.0000000000000007E-2</v>
      </c>
      <c r="Q1398" t="s">
        <v>9</v>
      </c>
      <c r="R1398" s="7">
        <f t="shared" si="63"/>
        <v>12.7</v>
      </c>
      <c r="S1398" s="7">
        <f t="shared" si="64"/>
        <v>0.88900000000000001</v>
      </c>
      <c r="T1398">
        <f>Table1[[#This Row],[Total price]]-Table1[[#This Row],[Discount Amount]]</f>
        <v>11.811</v>
      </c>
      <c r="U1398">
        <f t="shared" si="65"/>
        <v>23.622</v>
      </c>
    </row>
    <row r="1399" spans="1:21">
      <c r="A1399">
        <v>1398</v>
      </c>
      <c r="B1399" s="3" t="s">
        <v>986</v>
      </c>
      <c r="C1399" s="3" t="s">
        <v>985</v>
      </c>
      <c r="D1399" s="3" t="s">
        <v>2866</v>
      </c>
      <c r="E1399" s="3" t="s">
        <v>4434</v>
      </c>
      <c r="F1399" s="3">
        <v>501</v>
      </c>
      <c r="G1399" s="4">
        <v>41244.529861111114</v>
      </c>
      <c r="H1399" s="3">
        <v>2</v>
      </c>
      <c r="I1399" s="5">
        <v>14</v>
      </c>
      <c r="J1399" t="s">
        <v>174</v>
      </c>
      <c r="K1399" t="s">
        <v>4500</v>
      </c>
      <c r="L1399">
        <v>536539</v>
      </c>
      <c r="M1399" s="2">
        <v>21429</v>
      </c>
      <c r="N1399">
        <v>1.65</v>
      </c>
      <c r="O1399" s="6">
        <v>8</v>
      </c>
      <c r="P1399" s="3">
        <v>0.1</v>
      </c>
      <c r="Q1399" t="s">
        <v>9</v>
      </c>
      <c r="R1399" s="7">
        <f t="shared" si="63"/>
        <v>13.2</v>
      </c>
      <c r="S1399" s="7">
        <f t="shared" si="64"/>
        <v>1.32</v>
      </c>
      <c r="T1399">
        <f>Table1[[#This Row],[Total price]]-Table1[[#This Row],[Discount Amount]]</f>
        <v>11.879999999999999</v>
      </c>
      <c r="U1399">
        <f t="shared" si="65"/>
        <v>95.039999999999992</v>
      </c>
    </row>
    <row r="1400" spans="1:21">
      <c r="A1400">
        <v>1399</v>
      </c>
      <c r="B1400" s="3" t="s">
        <v>984</v>
      </c>
      <c r="C1400" s="3" t="s">
        <v>983</v>
      </c>
      <c r="D1400" s="3" t="s">
        <v>2866</v>
      </c>
      <c r="E1400" s="3" t="s">
        <v>4435</v>
      </c>
      <c r="F1400" s="3">
        <v>501</v>
      </c>
      <c r="G1400" s="4">
        <v>41244.529861111114</v>
      </c>
      <c r="H1400" s="3">
        <v>2</v>
      </c>
      <c r="I1400" s="5">
        <v>23</v>
      </c>
      <c r="J1400" t="s">
        <v>237</v>
      </c>
      <c r="K1400" t="s">
        <v>4500</v>
      </c>
      <c r="L1400">
        <v>536539</v>
      </c>
      <c r="M1400" s="2">
        <v>22867</v>
      </c>
      <c r="N1400">
        <v>2.1</v>
      </c>
      <c r="O1400" s="6">
        <v>12</v>
      </c>
      <c r="P1400" s="3">
        <v>7.0000000000000007E-2</v>
      </c>
      <c r="Q1400" t="s">
        <v>9</v>
      </c>
      <c r="R1400" s="7">
        <f t="shared" si="63"/>
        <v>25.200000000000003</v>
      </c>
      <c r="S1400" s="7">
        <f t="shared" si="64"/>
        <v>1.7640000000000005</v>
      </c>
      <c r="T1400">
        <f>Table1[[#This Row],[Total price]]-Table1[[#This Row],[Discount Amount]]</f>
        <v>23.436000000000003</v>
      </c>
      <c r="U1400">
        <f t="shared" si="65"/>
        <v>281.23200000000003</v>
      </c>
    </row>
    <row r="1401" spans="1:21">
      <c r="A1401">
        <v>1400</v>
      </c>
      <c r="B1401" s="3" t="s">
        <v>982</v>
      </c>
      <c r="C1401" s="3" t="s">
        <v>981</v>
      </c>
      <c r="D1401" s="3" t="s">
        <v>2866</v>
      </c>
      <c r="E1401" s="3" t="s">
        <v>4436</v>
      </c>
      <c r="F1401" s="3">
        <v>502</v>
      </c>
      <c r="G1401" s="4">
        <v>41244.529861111114</v>
      </c>
      <c r="H1401" s="3">
        <v>2</v>
      </c>
      <c r="I1401" s="5">
        <v>13</v>
      </c>
      <c r="J1401" t="s">
        <v>26</v>
      </c>
      <c r="K1401" t="s">
        <v>4500</v>
      </c>
      <c r="L1401">
        <v>536539</v>
      </c>
      <c r="M1401" s="2">
        <v>22632</v>
      </c>
      <c r="N1401">
        <v>2.1</v>
      </c>
      <c r="O1401" s="6">
        <v>12</v>
      </c>
      <c r="P1401" s="3">
        <v>0.05</v>
      </c>
      <c r="Q1401" t="s">
        <v>9</v>
      </c>
      <c r="R1401" s="7">
        <f t="shared" si="63"/>
        <v>25.200000000000003</v>
      </c>
      <c r="S1401" s="7">
        <f t="shared" si="64"/>
        <v>1.2600000000000002</v>
      </c>
      <c r="T1401">
        <f>Table1[[#This Row],[Total price]]-Table1[[#This Row],[Discount Amount]]</f>
        <v>23.94</v>
      </c>
      <c r="U1401">
        <f t="shared" si="65"/>
        <v>287.28000000000003</v>
      </c>
    </row>
    <row r="1402" spans="1:21">
      <c r="A1402">
        <v>1401</v>
      </c>
      <c r="B1402" s="3" t="s">
        <v>980</v>
      </c>
      <c r="C1402" s="3" t="s">
        <v>979</v>
      </c>
      <c r="D1402" s="3" t="s">
        <v>2866</v>
      </c>
      <c r="E1402" s="3" t="s">
        <v>4437</v>
      </c>
      <c r="F1402" s="3">
        <v>503</v>
      </c>
      <c r="G1402" s="4">
        <v>41244.529861111114</v>
      </c>
      <c r="H1402" s="3">
        <v>2</v>
      </c>
      <c r="I1402" s="5">
        <v>13</v>
      </c>
      <c r="J1402" t="s">
        <v>77</v>
      </c>
      <c r="K1402" t="s">
        <v>4500</v>
      </c>
      <c r="L1402">
        <v>536539</v>
      </c>
      <c r="M1402" s="2" t="s">
        <v>76</v>
      </c>
      <c r="N1402">
        <v>4.25</v>
      </c>
      <c r="O1402" s="6">
        <v>4</v>
      </c>
      <c r="P1402" s="3">
        <v>7.0000000000000007E-2</v>
      </c>
      <c r="Q1402" t="s">
        <v>9</v>
      </c>
      <c r="R1402" s="7">
        <f t="shared" si="63"/>
        <v>17</v>
      </c>
      <c r="S1402" s="7">
        <f t="shared" si="64"/>
        <v>1.1900000000000002</v>
      </c>
      <c r="T1402">
        <f>Table1[[#This Row],[Total price]]-Table1[[#This Row],[Discount Amount]]</f>
        <v>15.81</v>
      </c>
      <c r="U1402">
        <f t="shared" si="65"/>
        <v>63.24</v>
      </c>
    </row>
    <row r="1403" spans="1:21">
      <c r="A1403">
        <v>1402</v>
      </c>
      <c r="B1403" s="3" t="s">
        <v>978</v>
      </c>
      <c r="C1403" s="3" t="s">
        <v>977</v>
      </c>
      <c r="D1403" s="3" t="s">
        <v>2866</v>
      </c>
      <c r="E1403" s="3" t="s">
        <v>4438</v>
      </c>
      <c r="F1403" s="3">
        <v>503</v>
      </c>
      <c r="G1403" s="4">
        <v>41244.529861111114</v>
      </c>
      <c r="H1403" s="3">
        <v>2</v>
      </c>
      <c r="I1403" s="5">
        <v>10</v>
      </c>
      <c r="J1403" t="s">
        <v>94</v>
      </c>
      <c r="K1403" t="s">
        <v>4500</v>
      </c>
      <c r="L1403">
        <v>536539</v>
      </c>
      <c r="M1403" s="2">
        <v>22114</v>
      </c>
      <c r="N1403">
        <v>3.95</v>
      </c>
      <c r="O1403" s="6">
        <v>4</v>
      </c>
      <c r="P1403" s="3">
        <v>0.05</v>
      </c>
      <c r="Q1403" t="s">
        <v>9</v>
      </c>
      <c r="R1403" s="7">
        <f t="shared" si="63"/>
        <v>15.8</v>
      </c>
      <c r="S1403" s="7">
        <f t="shared" si="64"/>
        <v>0.79</v>
      </c>
      <c r="T1403">
        <f>Table1[[#This Row],[Total price]]-Table1[[#This Row],[Discount Amount]]</f>
        <v>15.010000000000002</v>
      </c>
      <c r="U1403">
        <f t="shared" si="65"/>
        <v>60.040000000000006</v>
      </c>
    </row>
    <row r="1404" spans="1:21">
      <c r="A1404">
        <v>1403</v>
      </c>
      <c r="B1404" s="3" t="s">
        <v>976</v>
      </c>
      <c r="C1404" s="3" t="s">
        <v>975</v>
      </c>
      <c r="D1404" s="3" t="s">
        <v>4439</v>
      </c>
      <c r="E1404" s="3" t="s">
        <v>4440</v>
      </c>
      <c r="F1404" s="3">
        <v>504</v>
      </c>
      <c r="G1404" s="4">
        <v>41244.529861111114</v>
      </c>
      <c r="H1404" s="3">
        <v>2</v>
      </c>
      <c r="I1404" s="5">
        <v>24</v>
      </c>
      <c r="J1404" t="s">
        <v>144</v>
      </c>
      <c r="K1404" t="s">
        <v>4500</v>
      </c>
      <c r="L1404">
        <v>536539</v>
      </c>
      <c r="M1404" s="2">
        <v>21481</v>
      </c>
      <c r="N1404">
        <v>2.95</v>
      </c>
      <c r="O1404" s="6">
        <v>6</v>
      </c>
      <c r="P1404" s="3">
        <v>0.1</v>
      </c>
      <c r="Q1404" t="s">
        <v>9</v>
      </c>
      <c r="R1404" s="7">
        <f t="shared" si="63"/>
        <v>17.700000000000003</v>
      </c>
      <c r="S1404" s="7">
        <f t="shared" si="64"/>
        <v>1.7700000000000005</v>
      </c>
      <c r="T1404">
        <f>Table1[[#This Row],[Total price]]-Table1[[#This Row],[Discount Amount]]</f>
        <v>15.930000000000003</v>
      </c>
      <c r="U1404">
        <f t="shared" si="65"/>
        <v>95.580000000000013</v>
      </c>
    </row>
    <row r="1405" spans="1:21">
      <c r="A1405">
        <v>1404</v>
      </c>
      <c r="B1405" s="3" t="s">
        <v>974</v>
      </c>
      <c r="C1405" s="3" t="s">
        <v>973</v>
      </c>
      <c r="D1405" s="3" t="s">
        <v>2866</v>
      </c>
      <c r="E1405" s="3" t="s">
        <v>4441</v>
      </c>
      <c r="F1405" s="3">
        <v>504</v>
      </c>
      <c r="G1405" s="4">
        <v>41244.529861111114</v>
      </c>
      <c r="H1405" s="3">
        <v>1</v>
      </c>
      <c r="I1405" s="5">
        <v>2</v>
      </c>
      <c r="J1405" t="s">
        <v>461</v>
      </c>
      <c r="K1405" t="s">
        <v>4500</v>
      </c>
      <c r="L1405">
        <v>536539</v>
      </c>
      <c r="M1405" s="2">
        <v>22379</v>
      </c>
      <c r="N1405">
        <v>2.1</v>
      </c>
      <c r="O1405" s="6">
        <v>5</v>
      </c>
      <c r="P1405" s="3">
        <v>0.05</v>
      </c>
      <c r="Q1405" t="s">
        <v>9</v>
      </c>
      <c r="R1405" s="7">
        <f t="shared" si="63"/>
        <v>10.5</v>
      </c>
      <c r="S1405" s="7">
        <f t="shared" si="64"/>
        <v>0.52500000000000002</v>
      </c>
      <c r="T1405">
        <f>Table1[[#This Row],[Total price]]-Table1[[#This Row],[Discount Amount]]</f>
        <v>9.9749999999999996</v>
      </c>
      <c r="U1405">
        <f t="shared" si="65"/>
        <v>49.875</v>
      </c>
    </row>
    <row r="1406" spans="1:21">
      <c r="A1406">
        <v>1405</v>
      </c>
      <c r="B1406" s="3" t="s">
        <v>972</v>
      </c>
      <c r="C1406" s="3" t="s">
        <v>971</v>
      </c>
      <c r="D1406" s="3" t="s">
        <v>2866</v>
      </c>
      <c r="E1406" s="3" t="s">
        <v>4442</v>
      </c>
      <c r="F1406" s="3">
        <v>505</v>
      </c>
      <c r="G1406" s="4">
        <v>41244.529861111114</v>
      </c>
      <c r="H1406" s="3">
        <v>1</v>
      </c>
      <c r="I1406" s="5">
        <v>26</v>
      </c>
      <c r="J1406" t="s">
        <v>373</v>
      </c>
      <c r="K1406" t="s">
        <v>4500</v>
      </c>
      <c r="L1406">
        <v>536540</v>
      </c>
      <c r="M1406" s="2">
        <v>22968</v>
      </c>
      <c r="N1406">
        <v>9.9499999999999993</v>
      </c>
      <c r="O1406" s="6">
        <v>4</v>
      </c>
      <c r="P1406" s="3">
        <v>0.2</v>
      </c>
      <c r="Q1406" t="s">
        <v>4</v>
      </c>
      <c r="R1406" s="7">
        <f t="shared" si="63"/>
        <v>39.799999999999997</v>
      </c>
      <c r="S1406" s="7">
        <f t="shared" si="64"/>
        <v>7.96</v>
      </c>
      <c r="T1406">
        <f>Table1[[#This Row],[Total price]]-Table1[[#This Row],[Discount Amount]]</f>
        <v>31.839999999999996</v>
      </c>
      <c r="U1406">
        <f t="shared" si="65"/>
        <v>127.35999999999999</v>
      </c>
    </row>
    <row r="1407" spans="1:21">
      <c r="A1407">
        <v>1406</v>
      </c>
      <c r="B1407" s="3" t="s">
        <v>970</v>
      </c>
      <c r="C1407" s="3" t="s">
        <v>969</v>
      </c>
      <c r="D1407" s="3" t="s">
        <v>2866</v>
      </c>
      <c r="E1407" s="3" t="s">
        <v>4443</v>
      </c>
      <c r="F1407" s="3">
        <v>506</v>
      </c>
      <c r="G1407" s="4">
        <v>41244.529861111114</v>
      </c>
      <c r="H1407" s="3">
        <v>1</v>
      </c>
      <c r="I1407" s="5">
        <v>25</v>
      </c>
      <c r="J1407" t="s">
        <v>745</v>
      </c>
      <c r="K1407" t="s">
        <v>4500</v>
      </c>
      <c r="L1407">
        <v>536540</v>
      </c>
      <c r="M1407" s="2" t="s">
        <v>744</v>
      </c>
      <c r="N1407">
        <v>2.95</v>
      </c>
      <c r="O1407" s="6">
        <v>6</v>
      </c>
      <c r="P1407" s="3">
        <v>0.1</v>
      </c>
      <c r="Q1407" t="s">
        <v>4</v>
      </c>
      <c r="R1407" s="7">
        <f t="shared" si="63"/>
        <v>17.700000000000003</v>
      </c>
      <c r="S1407" s="7">
        <f t="shared" si="64"/>
        <v>1.7700000000000005</v>
      </c>
      <c r="T1407">
        <f>Table1[[#This Row],[Total price]]-Table1[[#This Row],[Discount Amount]]</f>
        <v>15.930000000000003</v>
      </c>
      <c r="U1407">
        <f t="shared" si="65"/>
        <v>95.580000000000013</v>
      </c>
    </row>
    <row r="1408" spans="1:21">
      <c r="A1408">
        <v>1407</v>
      </c>
      <c r="B1408" s="3" t="s">
        <v>968</v>
      </c>
      <c r="C1408" s="3" t="s">
        <v>967</v>
      </c>
      <c r="D1408" s="3" t="s">
        <v>2866</v>
      </c>
      <c r="E1408" s="3" t="s">
        <v>4444</v>
      </c>
      <c r="F1408" s="3">
        <v>506</v>
      </c>
      <c r="G1408" s="4">
        <v>41244.529861111114</v>
      </c>
      <c r="H1408" s="3">
        <v>2</v>
      </c>
      <c r="I1408" s="5">
        <v>7</v>
      </c>
      <c r="J1408" t="s">
        <v>698</v>
      </c>
      <c r="K1408" t="s">
        <v>4500</v>
      </c>
      <c r="L1408">
        <v>536540</v>
      </c>
      <c r="M1408" s="2" t="s">
        <v>697</v>
      </c>
      <c r="N1408">
        <v>2.5499999999999998</v>
      </c>
      <c r="O1408" s="6">
        <v>6</v>
      </c>
      <c r="P1408" s="3">
        <v>7.0000000000000007E-2</v>
      </c>
      <c r="Q1408" t="s">
        <v>4</v>
      </c>
      <c r="R1408" s="7">
        <f t="shared" si="63"/>
        <v>15.299999999999999</v>
      </c>
      <c r="S1408" s="7">
        <f t="shared" si="64"/>
        <v>1.071</v>
      </c>
      <c r="T1408">
        <f>Table1[[#This Row],[Total price]]-Table1[[#This Row],[Discount Amount]]</f>
        <v>14.228999999999999</v>
      </c>
      <c r="U1408">
        <f t="shared" si="65"/>
        <v>85.373999999999995</v>
      </c>
    </row>
    <row r="1409" spans="1:21">
      <c r="A1409">
        <v>1408</v>
      </c>
      <c r="B1409" s="3" t="s">
        <v>966</v>
      </c>
      <c r="C1409" s="3" t="s">
        <v>965</v>
      </c>
      <c r="D1409" s="3" t="s">
        <v>2866</v>
      </c>
      <c r="E1409" s="3" t="s">
        <v>4445</v>
      </c>
      <c r="F1409" s="3">
        <v>507</v>
      </c>
      <c r="G1409" s="4">
        <v>41244.529861111114</v>
      </c>
      <c r="H1409" s="3">
        <v>2</v>
      </c>
      <c r="I1409" s="5">
        <v>11</v>
      </c>
      <c r="J1409" t="s">
        <v>152</v>
      </c>
      <c r="K1409" t="s">
        <v>4500</v>
      </c>
      <c r="L1409">
        <v>536540</v>
      </c>
      <c r="M1409" s="2">
        <v>22355</v>
      </c>
      <c r="N1409">
        <v>0.85</v>
      </c>
      <c r="O1409" s="6">
        <v>50</v>
      </c>
      <c r="P1409" s="3">
        <v>0.05</v>
      </c>
      <c r="Q1409" t="s">
        <v>4</v>
      </c>
      <c r="R1409" s="7">
        <f t="shared" si="63"/>
        <v>42.5</v>
      </c>
      <c r="S1409" s="7">
        <f t="shared" si="64"/>
        <v>2.125</v>
      </c>
      <c r="T1409">
        <f>Table1[[#This Row],[Total price]]-Table1[[#This Row],[Discount Amount]]</f>
        <v>40.375</v>
      </c>
      <c r="U1409">
        <f t="shared" si="65"/>
        <v>2018.75</v>
      </c>
    </row>
    <row r="1410" spans="1:21">
      <c r="A1410">
        <v>1409</v>
      </c>
      <c r="B1410" s="3" t="s">
        <v>964</v>
      </c>
      <c r="C1410" s="3" t="s">
        <v>963</v>
      </c>
      <c r="D1410" s="3" t="s">
        <v>4446</v>
      </c>
      <c r="E1410" s="3" t="s">
        <v>4447</v>
      </c>
      <c r="F1410" s="3">
        <v>507</v>
      </c>
      <c r="G1410" s="4">
        <v>41244.529861111114</v>
      </c>
      <c r="H1410" s="3">
        <v>2</v>
      </c>
      <c r="I1410" s="5">
        <v>13</v>
      </c>
      <c r="J1410" t="s">
        <v>102</v>
      </c>
      <c r="K1410" t="s">
        <v>4500</v>
      </c>
      <c r="L1410">
        <v>536540</v>
      </c>
      <c r="M1410" s="2">
        <v>21579</v>
      </c>
      <c r="N1410">
        <v>2.25</v>
      </c>
      <c r="O1410" s="6">
        <v>6</v>
      </c>
      <c r="P1410" s="3">
        <v>7.0000000000000007E-2</v>
      </c>
      <c r="Q1410" t="s">
        <v>4</v>
      </c>
      <c r="R1410" s="7">
        <f t="shared" si="63"/>
        <v>13.5</v>
      </c>
      <c r="S1410" s="7">
        <f t="shared" si="64"/>
        <v>0.94500000000000006</v>
      </c>
      <c r="T1410">
        <f>Table1[[#This Row],[Total price]]-Table1[[#This Row],[Discount Amount]]</f>
        <v>12.555</v>
      </c>
      <c r="U1410">
        <f t="shared" si="65"/>
        <v>75.33</v>
      </c>
    </row>
    <row r="1411" spans="1:21">
      <c r="A1411">
        <v>1410</v>
      </c>
      <c r="B1411" s="3" t="s">
        <v>945</v>
      </c>
      <c r="C1411" s="3" t="s">
        <v>962</v>
      </c>
      <c r="D1411" s="3" t="s">
        <v>4448</v>
      </c>
      <c r="E1411" s="3" t="s">
        <v>4449</v>
      </c>
      <c r="F1411" s="3">
        <v>507</v>
      </c>
      <c r="G1411" s="4">
        <v>41244.529861111114</v>
      </c>
      <c r="H1411" s="3">
        <v>1</v>
      </c>
      <c r="I1411" s="5">
        <v>20</v>
      </c>
      <c r="J1411" t="s">
        <v>784</v>
      </c>
      <c r="K1411" t="s">
        <v>4500</v>
      </c>
      <c r="L1411">
        <v>536540</v>
      </c>
      <c r="M1411" s="2">
        <v>21576</v>
      </c>
      <c r="N1411">
        <v>2.25</v>
      </c>
      <c r="O1411" s="6">
        <v>6</v>
      </c>
      <c r="P1411" s="3">
        <v>0.1</v>
      </c>
      <c r="Q1411" t="s">
        <v>4</v>
      </c>
      <c r="R1411" s="7">
        <f t="shared" ref="R1411:R1445" si="66">N1411*O1411</f>
        <v>13.5</v>
      </c>
      <c r="S1411" s="7">
        <f t="shared" ref="S1411:S1445" si="67">R1411*P1411</f>
        <v>1.35</v>
      </c>
      <c r="T1411">
        <f>Table1[[#This Row],[Total price]]-Table1[[#This Row],[Discount Amount]]</f>
        <v>12.15</v>
      </c>
      <c r="U1411">
        <f t="shared" ref="U1411:U1445" si="68">T1411*O1411</f>
        <v>72.900000000000006</v>
      </c>
    </row>
    <row r="1412" spans="1:21">
      <c r="A1412">
        <v>1411</v>
      </c>
      <c r="B1412" s="3" t="s">
        <v>961</v>
      </c>
      <c r="C1412" s="3" t="s">
        <v>960</v>
      </c>
      <c r="D1412" s="3" t="s">
        <v>2866</v>
      </c>
      <c r="E1412" s="3" t="s">
        <v>4450</v>
      </c>
      <c r="F1412" s="3">
        <v>508</v>
      </c>
      <c r="G1412" s="4">
        <v>41244.529861111114</v>
      </c>
      <c r="H1412" s="3">
        <v>2</v>
      </c>
      <c r="I1412" s="5">
        <v>8</v>
      </c>
      <c r="J1412" t="s">
        <v>138</v>
      </c>
      <c r="K1412" t="s">
        <v>4500</v>
      </c>
      <c r="L1412">
        <v>536540</v>
      </c>
      <c r="M1412" s="2">
        <v>22147</v>
      </c>
      <c r="N1412">
        <v>1.45</v>
      </c>
      <c r="O1412" s="6">
        <v>12</v>
      </c>
      <c r="P1412" s="3">
        <v>0.05</v>
      </c>
      <c r="Q1412" t="s">
        <v>4</v>
      </c>
      <c r="R1412" s="7">
        <f t="shared" si="66"/>
        <v>17.399999999999999</v>
      </c>
      <c r="S1412" s="7">
        <f t="shared" si="67"/>
        <v>0.87</v>
      </c>
      <c r="T1412">
        <f>Table1[[#This Row],[Total price]]-Table1[[#This Row],[Discount Amount]]</f>
        <v>16.529999999999998</v>
      </c>
      <c r="U1412">
        <f t="shared" si="68"/>
        <v>198.35999999999996</v>
      </c>
    </row>
    <row r="1413" spans="1:21">
      <c r="A1413">
        <v>1412</v>
      </c>
      <c r="B1413" s="3" t="s">
        <v>959</v>
      </c>
      <c r="C1413" s="3" t="s">
        <v>958</v>
      </c>
      <c r="D1413" s="3" t="s">
        <v>2866</v>
      </c>
      <c r="E1413" s="3" t="s">
        <v>4451</v>
      </c>
      <c r="F1413" s="3">
        <v>508</v>
      </c>
      <c r="G1413" s="4">
        <v>41244.529861111114</v>
      </c>
      <c r="H1413" s="3">
        <v>1</v>
      </c>
      <c r="I1413" s="5">
        <v>2</v>
      </c>
      <c r="J1413" t="s">
        <v>447</v>
      </c>
      <c r="K1413" t="s">
        <v>4500</v>
      </c>
      <c r="L1413">
        <v>536540</v>
      </c>
      <c r="M1413" s="2">
        <v>22150</v>
      </c>
      <c r="N1413">
        <v>1.95</v>
      </c>
      <c r="O1413" s="6">
        <v>12</v>
      </c>
      <c r="P1413" s="3">
        <v>0.05</v>
      </c>
      <c r="Q1413" t="s">
        <v>4</v>
      </c>
      <c r="R1413" s="7">
        <f t="shared" si="66"/>
        <v>23.4</v>
      </c>
      <c r="S1413" s="7">
        <f t="shared" si="67"/>
        <v>1.17</v>
      </c>
      <c r="T1413">
        <f>Table1[[#This Row],[Total price]]-Table1[[#This Row],[Discount Amount]]</f>
        <v>22.229999999999997</v>
      </c>
      <c r="U1413">
        <f t="shared" si="68"/>
        <v>266.76</v>
      </c>
    </row>
    <row r="1414" spans="1:21">
      <c r="A1414">
        <v>1413</v>
      </c>
      <c r="B1414" s="3" t="s">
        <v>957</v>
      </c>
      <c r="C1414" s="3" t="s">
        <v>956</v>
      </c>
      <c r="D1414" s="3" t="s">
        <v>2866</v>
      </c>
      <c r="E1414" s="3" t="s">
        <v>4452</v>
      </c>
      <c r="F1414" s="3">
        <v>508</v>
      </c>
      <c r="G1414" s="4">
        <v>41244.529861111114</v>
      </c>
      <c r="H1414" s="3">
        <v>2</v>
      </c>
      <c r="I1414" s="5">
        <v>10</v>
      </c>
      <c r="J1414" t="s">
        <v>82</v>
      </c>
      <c r="K1414" t="s">
        <v>4500</v>
      </c>
      <c r="L1414">
        <v>536540</v>
      </c>
      <c r="M1414" s="2">
        <v>22492</v>
      </c>
      <c r="N1414">
        <v>0.65</v>
      </c>
      <c r="O1414" s="6">
        <v>36</v>
      </c>
      <c r="P1414" s="3">
        <v>0.05</v>
      </c>
      <c r="Q1414" t="s">
        <v>4</v>
      </c>
      <c r="R1414" s="7">
        <f t="shared" si="66"/>
        <v>23.400000000000002</v>
      </c>
      <c r="S1414" s="7">
        <f t="shared" si="67"/>
        <v>1.1700000000000002</v>
      </c>
      <c r="T1414">
        <f>Table1[[#This Row],[Total price]]-Table1[[#This Row],[Discount Amount]]</f>
        <v>22.23</v>
      </c>
      <c r="U1414">
        <f t="shared" si="68"/>
        <v>800.28</v>
      </c>
    </row>
    <row r="1415" spans="1:21">
      <c r="A1415">
        <v>1414</v>
      </c>
      <c r="B1415" s="3" t="s">
        <v>955</v>
      </c>
      <c r="C1415" s="3" t="s">
        <v>954</v>
      </c>
      <c r="D1415" s="3" t="s">
        <v>2866</v>
      </c>
      <c r="E1415" s="3" t="s">
        <v>4453</v>
      </c>
      <c r="F1415" s="3">
        <v>508</v>
      </c>
      <c r="G1415" s="4">
        <v>41244.529861111114</v>
      </c>
      <c r="H1415" s="3">
        <v>1</v>
      </c>
      <c r="I1415" s="5">
        <v>25</v>
      </c>
      <c r="J1415" t="s">
        <v>324</v>
      </c>
      <c r="K1415" t="s">
        <v>4500</v>
      </c>
      <c r="L1415">
        <v>536540</v>
      </c>
      <c r="M1415" s="2">
        <v>22493</v>
      </c>
      <c r="N1415">
        <v>1.65</v>
      </c>
      <c r="O1415" s="6">
        <v>24</v>
      </c>
      <c r="P1415" s="3">
        <v>7.0000000000000007E-2</v>
      </c>
      <c r="Q1415" t="s">
        <v>4</v>
      </c>
      <c r="R1415" s="7">
        <f t="shared" si="66"/>
        <v>39.599999999999994</v>
      </c>
      <c r="S1415" s="7">
        <f t="shared" si="67"/>
        <v>2.7719999999999998</v>
      </c>
      <c r="T1415">
        <f>Table1[[#This Row],[Total price]]-Table1[[#This Row],[Discount Amount]]</f>
        <v>36.827999999999996</v>
      </c>
      <c r="U1415">
        <f t="shared" si="68"/>
        <v>883.87199999999984</v>
      </c>
    </row>
    <row r="1416" spans="1:21">
      <c r="A1416">
        <v>1415</v>
      </c>
      <c r="B1416" s="3" t="s">
        <v>953</v>
      </c>
      <c r="C1416" s="3" t="s">
        <v>952</v>
      </c>
      <c r="D1416" s="3" t="s">
        <v>2866</v>
      </c>
      <c r="E1416" s="3" t="s">
        <v>4454</v>
      </c>
      <c r="F1416" s="3">
        <v>509</v>
      </c>
      <c r="G1416" s="4">
        <v>41244.529861111114</v>
      </c>
      <c r="H1416" s="3">
        <v>1</v>
      </c>
      <c r="I1416" s="5">
        <v>23</v>
      </c>
      <c r="J1416" t="s">
        <v>86</v>
      </c>
      <c r="K1416" t="s">
        <v>4500</v>
      </c>
      <c r="L1416">
        <v>536540</v>
      </c>
      <c r="M1416" s="2">
        <v>21833</v>
      </c>
      <c r="N1416">
        <v>1.69</v>
      </c>
      <c r="O1416" s="6">
        <v>12</v>
      </c>
      <c r="P1416" s="3">
        <v>0.2</v>
      </c>
      <c r="Q1416" t="s">
        <v>4</v>
      </c>
      <c r="R1416" s="7">
        <f t="shared" si="66"/>
        <v>20.28</v>
      </c>
      <c r="S1416" s="7">
        <f t="shared" si="67"/>
        <v>4.056</v>
      </c>
      <c r="T1416">
        <f>Table1[[#This Row],[Total price]]-Table1[[#This Row],[Discount Amount]]</f>
        <v>16.224</v>
      </c>
      <c r="U1416">
        <f t="shared" si="68"/>
        <v>194.68799999999999</v>
      </c>
    </row>
    <row r="1417" spans="1:21">
      <c r="A1417">
        <v>1416</v>
      </c>
      <c r="B1417" s="3" t="s">
        <v>951</v>
      </c>
      <c r="C1417" s="3" t="s">
        <v>950</v>
      </c>
      <c r="D1417" s="3" t="s">
        <v>2866</v>
      </c>
      <c r="E1417" s="3" t="s">
        <v>4455</v>
      </c>
      <c r="F1417" s="3">
        <v>509</v>
      </c>
      <c r="G1417" s="4">
        <v>41244.529861111114</v>
      </c>
      <c r="H1417" s="3">
        <v>2</v>
      </c>
      <c r="I1417" s="5">
        <v>4</v>
      </c>
      <c r="J1417" t="s">
        <v>369</v>
      </c>
      <c r="K1417" t="s">
        <v>4500</v>
      </c>
      <c r="L1417">
        <v>536540</v>
      </c>
      <c r="M1417" s="2" t="s">
        <v>368</v>
      </c>
      <c r="N1417">
        <v>7.95</v>
      </c>
      <c r="O1417" s="6">
        <v>2</v>
      </c>
      <c r="P1417" s="3">
        <v>0.05</v>
      </c>
      <c r="Q1417" t="s">
        <v>4</v>
      </c>
      <c r="R1417" s="7">
        <f t="shared" si="66"/>
        <v>15.9</v>
      </c>
      <c r="S1417" s="7">
        <f t="shared" si="67"/>
        <v>0.79500000000000004</v>
      </c>
      <c r="T1417">
        <f>Table1[[#This Row],[Total price]]-Table1[[#This Row],[Discount Amount]]</f>
        <v>15.105</v>
      </c>
      <c r="U1417">
        <f t="shared" si="68"/>
        <v>30.21</v>
      </c>
    </row>
    <row r="1418" spans="1:21">
      <c r="A1418">
        <v>1417</v>
      </c>
      <c r="B1418" s="3" t="s">
        <v>949</v>
      </c>
      <c r="C1418" s="3" t="s">
        <v>948</v>
      </c>
      <c r="D1418" s="3" t="s">
        <v>2866</v>
      </c>
      <c r="E1418" s="3" t="s">
        <v>4456</v>
      </c>
      <c r="F1418" s="3">
        <v>510</v>
      </c>
      <c r="G1418" s="4">
        <v>41244.529861111114</v>
      </c>
      <c r="H1418" s="3">
        <v>2</v>
      </c>
      <c r="I1418" s="5">
        <v>17</v>
      </c>
      <c r="J1418" t="s">
        <v>576</v>
      </c>
      <c r="K1418" t="s">
        <v>4500</v>
      </c>
      <c r="L1418">
        <v>536540</v>
      </c>
      <c r="M1418" s="2" t="s">
        <v>575</v>
      </c>
      <c r="N1418">
        <v>7.95</v>
      </c>
      <c r="O1418" s="6">
        <v>2</v>
      </c>
      <c r="P1418" s="3">
        <v>0.1</v>
      </c>
      <c r="Q1418" t="s">
        <v>4</v>
      </c>
      <c r="R1418" s="7">
        <f t="shared" si="66"/>
        <v>15.9</v>
      </c>
      <c r="S1418" s="7">
        <f t="shared" si="67"/>
        <v>1.59</v>
      </c>
      <c r="T1418">
        <f>Table1[[#This Row],[Total price]]-Table1[[#This Row],[Discount Amount]]</f>
        <v>14.31</v>
      </c>
      <c r="U1418">
        <f t="shared" si="68"/>
        <v>28.62</v>
      </c>
    </row>
    <row r="1419" spans="1:21">
      <c r="A1419">
        <v>1418</v>
      </c>
      <c r="B1419" s="3" t="s">
        <v>947</v>
      </c>
      <c r="C1419" s="3" t="s">
        <v>946</v>
      </c>
      <c r="D1419" s="3" t="s">
        <v>4457</v>
      </c>
      <c r="E1419" s="3" t="s">
        <v>4458</v>
      </c>
      <c r="F1419" s="3">
        <v>511</v>
      </c>
      <c r="G1419" s="4">
        <v>41244.529861111114</v>
      </c>
      <c r="H1419" s="3">
        <v>2</v>
      </c>
      <c r="I1419" s="5">
        <v>22</v>
      </c>
      <c r="J1419" t="s">
        <v>367</v>
      </c>
      <c r="K1419" t="s">
        <v>4500</v>
      </c>
      <c r="L1419">
        <v>536540</v>
      </c>
      <c r="M1419" s="2" t="s">
        <v>366</v>
      </c>
      <c r="N1419">
        <v>7.95</v>
      </c>
      <c r="O1419" s="6">
        <v>2</v>
      </c>
      <c r="P1419" s="3">
        <v>0.05</v>
      </c>
      <c r="Q1419" t="s">
        <v>4</v>
      </c>
      <c r="R1419" s="7">
        <f t="shared" si="66"/>
        <v>15.9</v>
      </c>
      <c r="S1419" s="7">
        <f t="shared" si="67"/>
        <v>0.79500000000000004</v>
      </c>
      <c r="T1419">
        <f>Table1[[#This Row],[Total price]]-Table1[[#This Row],[Discount Amount]]</f>
        <v>15.105</v>
      </c>
      <c r="U1419">
        <f t="shared" si="68"/>
        <v>30.21</v>
      </c>
    </row>
    <row r="1420" spans="1:21">
      <c r="A1420">
        <v>1419</v>
      </c>
      <c r="B1420" s="3" t="s">
        <v>945</v>
      </c>
      <c r="C1420" s="3" t="s">
        <v>944</v>
      </c>
      <c r="D1420" s="3" t="s">
        <v>2866</v>
      </c>
      <c r="E1420" s="3" t="s">
        <v>4459</v>
      </c>
      <c r="F1420" s="3">
        <v>511</v>
      </c>
      <c r="G1420" s="4">
        <v>41244.529861111114</v>
      </c>
      <c r="H1420" s="3">
        <v>1</v>
      </c>
      <c r="I1420" s="5">
        <v>13</v>
      </c>
      <c r="J1420" t="s">
        <v>578</v>
      </c>
      <c r="K1420" t="s">
        <v>4500</v>
      </c>
      <c r="L1420">
        <v>536540</v>
      </c>
      <c r="M1420" s="2">
        <v>21055</v>
      </c>
      <c r="N1420">
        <v>8.9499999999999993</v>
      </c>
      <c r="O1420" s="6">
        <v>4</v>
      </c>
      <c r="P1420" s="3">
        <v>0.1</v>
      </c>
      <c r="Q1420" t="s">
        <v>4</v>
      </c>
      <c r="R1420" s="7">
        <f t="shared" si="66"/>
        <v>35.799999999999997</v>
      </c>
      <c r="S1420" s="7">
        <f t="shared" si="67"/>
        <v>3.58</v>
      </c>
      <c r="T1420">
        <f>Table1[[#This Row],[Total price]]-Table1[[#This Row],[Discount Amount]]</f>
        <v>32.22</v>
      </c>
      <c r="U1420">
        <f t="shared" si="68"/>
        <v>128.88</v>
      </c>
    </row>
    <row r="1421" spans="1:21">
      <c r="A1421">
        <v>1420</v>
      </c>
      <c r="B1421" s="3" t="s">
        <v>943</v>
      </c>
      <c r="C1421" s="3" t="s">
        <v>942</v>
      </c>
      <c r="D1421" s="3" t="s">
        <v>2866</v>
      </c>
      <c r="E1421" s="3" t="s">
        <v>4460</v>
      </c>
      <c r="F1421" s="3">
        <v>512</v>
      </c>
      <c r="G1421" s="4">
        <v>41244.529861111114</v>
      </c>
      <c r="H1421" s="3">
        <v>2</v>
      </c>
      <c r="I1421" s="5">
        <v>21</v>
      </c>
      <c r="J1421" t="s">
        <v>331</v>
      </c>
      <c r="K1421" t="s">
        <v>4500</v>
      </c>
      <c r="L1421">
        <v>536540</v>
      </c>
      <c r="M1421" s="2">
        <v>21056</v>
      </c>
      <c r="N1421">
        <v>8.9499999999999993</v>
      </c>
      <c r="O1421" s="6">
        <v>4</v>
      </c>
      <c r="P1421" s="3">
        <v>7.0000000000000007E-2</v>
      </c>
      <c r="Q1421" t="s">
        <v>4</v>
      </c>
      <c r="R1421" s="7">
        <f t="shared" si="66"/>
        <v>35.799999999999997</v>
      </c>
      <c r="S1421" s="7">
        <f t="shared" si="67"/>
        <v>2.5060000000000002</v>
      </c>
      <c r="T1421">
        <f>Table1[[#This Row],[Total price]]-Table1[[#This Row],[Discount Amount]]</f>
        <v>33.293999999999997</v>
      </c>
      <c r="U1421">
        <f t="shared" si="68"/>
        <v>133.17599999999999</v>
      </c>
    </row>
    <row r="1422" spans="1:21">
      <c r="A1422">
        <v>1421</v>
      </c>
      <c r="B1422" s="3" t="s">
        <v>941</v>
      </c>
      <c r="C1422" s="3" t="s">
        <v>940</v>
      </c>
      <c r="D1422" s="3" t="s">
        <v>2866</v>
      </c>
      <c r="E1422" s="3" t="s">
        <v>4461</v>
      </c>
      <c r="F1422" s="3">
        <v>513</v>
      </c>
      <c r="G1422" s="4">
        <v>41244.529861111114</v>
      </c>
      <c r="H1422" s="3">
        <v>4</v>
      </c>
      <c r="I1422" s="5">
        <v>7</v>
      </c>
      <c r="J1422" t="s">
        <v>62</v>
      </c>
      <c r="K1422" t="s">
        <v>4497</v>
      </c>
      <c r="L1422">
        <v>536540</v>
      </c>
      <c r="M1422" s="2">
        <v>21889</v>
      </c>
      <c r="N1422">
        <v>1.25</v>
      </c>
      <c r="O1422" s="6">
        <v>24</v>
      </c>
      <c r="P1422" s="3">
        <v>7.0000000000000007E-2</v>
      </c>
      <c r="Q1422" t="s">
        <v>4</v>
      </c>
      <c r="R1422" s="7">
        <f t="shared" si="66"/>
        <v>30</v>
      </c>
      <c r="S1422" s="7">
        <f t="shared" si="67"/>
        <v>2.1</v>
      </c>
      <c r="T1422">
        <f>Table1[[#This Row],[Total price]]-Table1[[#This Row],[Discount Amount]]</f>
        <v>27.9</v>
      </c>
      <c r="U1422">
        <f t="shared" si="68"/>
        <v>669.59999999999991</v>
      </c>
    </row>
    <row r="1423" spans="1:21">
      <c r="A1423">
        <v>1422</v>
      </c>
      <c r="B1423" s="3" t="s">
        <v>939</v>
      </c>
      <c r="C1423" s="3" t="s">
        <v>938</v>
      </c>
      <c r="D1423" s="3" t="s">
        <v>2866</v>
      </c>
      <c r="E1423" s="3" t="s">
        <v>4462</v>
      </c>
      <c r="F1423" s="3">
        <v>513</v>
      </c>
      <c r="G1423" s="4">
        <v>41244.529861111114</v>
      </c>
      <c r="H1423" s="3">
        <v>4</v>
      </c>
      <c r="I1423" s="5">
        <v>13</v>
      </c>
      <c r="J1423" t="s">
        <v>329</v>
      </c>
      <c r="K1423" t="s">
        <v>4497</v>
      </c>
      <c r="L1423">
        <v>536540</v>
      </c>
      <c r="M1423" s="2">
        <v>21891</v>
      </c>
      <c r="N1423">
        <v>1.25</v>
      </c>
      <c r="O1423" s="6">
        <v>12</v>
      </c>
      <c r="P1423" s="3">
        <v>0.2</v>
      </c>
      <c r="Q1423" t="s">
        <v>4</v>
      </c>
      <c r="R1423" s="7">
        <f t="shared" si="66"/>
        <v>15</v>
      </c>
      <c r="S1423" s="7">
        <f t="shared" si="67"/>
        <v>3</v>
      </c>
      <c r="T1423">
        <f>Table1[[#This Row],[Total price]]-Table1[[#This Row],[Discount Amount]]</f>
        <v>12</v>
      </c>
      <c r="U1423">
        <f t="shared" si="68"/>
        <v>144</v>
      </c>
    </row>
    <row r="1424" spans="1:21">
      <c r="A1424">
        <v>1423</v>
      </c>
      <c r="B1424" s="3" t="s">
        <v>937</v>
      </c>
      <c r="C1424" s="3" t="s">
        <v>936</v>
      </c>
      <c r="D1424" s="3" t="s">
        <v>4463</v>
      </c>
      <c r="E1424" s="3" t="s">
        <v>4464</v>
      </c>
      <c r="F1424" s="3">
        <v>513</v>
      </c>
      <c r="G1424" s="4">
        <v>41244.529861111114</v>
      </c>
      <c r="H1424" s="3">
        <v>4</v>
      </c>
      <c r="I1424" s="5">
        <v>23</v>
      </c>
      <c r="J1424" t="s">
        <v>84</v>
      </c>
      <c r="K1424" t="s">
        <v>4497</v>
      </c>
      <c r="L1424">
        <v>536540</v>
      </c>
      <c r="M1424" s="2">
        <v>22622</v>
      </c>
      <c r="N1424">
        <v>9.9499999999999993</v>
      </c>
      <c r="O1424" s="6">
        <v>6</v>
      </c>
      <c r="P1424" s="3">
        <v>7.0000000000000007E-2</v>
      </c>
      <c r="Q1424" t="s">
        <v>4</v>
      </c>
      <c r="R1424" s="7">
        <f t="shared" si="66"/>
        <v>59.699999999999996</v>
      </c>
      <c r="S1424" s="7">
        <f t="shared" si="67"/>
        <v>4.1790000000000003</v>
      </c>
      <c r="T1424">
        <f>Table1[[#This Row],[Total price]]-Table1[[#This Row],[Discount Amount]]</f>
        <v>55.520999999999994</v>
      </c>
      <c r="U1424">
        <f t="shared" si="68"/>
        <v>333.12599999999998</v>
      </c>
    </row>
    <row r="1425" spans="1:21">
      <c r="A1425">
        <v>1424</v>
      </c>
      <c r="B1425" s="3" t="s">
        <v>935</v>
      </c>
      <c r="C1425" s="3" t="s">
        <v>934</v>
      </c>
      <c r="D1425" s="3" t="s">
        <v>2866</v>
      </c>
      <c r="E1425" s="3" t="s">
        <v>4465</v>
      </c>
      <c r="F1425" s="3">
        <v>514</v>
      </c>
      <c r="G1425" s="4">
        <v>41244.529861111114</v>
      </c>
      <c r="H1425" s="3">
        <v>4</v>
      </c>
      <c r="I1425" s="5">
        <v>18</v>
      </c>
      <c r="J1425" t="s">
        <v>407</v>
      </c>
      <c r="K1425" t="s">
        <v>4497</v>
      </c>
      <c r="L1425">
        <v>536540</v>
      </c>
      <c r="M1425" s="2" t="s">
        <v>406</v>
      </c>
      <c r="N1425">
        <v>50</v>
      </c>
      <c r="O1425" s="6">
        <v>1</v>
      </c>
      <c r="P1425" s="3">
        <v>0.2</v>
      </c>
      <c r="Q1425" t="s">
        <v>4</v>
      </c>
      <c r="R1425" s="7">
        <f t="shared" si="66"/>
        <v>50</v>
      </c>
      <c r="S1425" s="7">
        <f t="shared" si="67"/>
        <v>10</v>
      </c>
      <c r="T1425">
        <f>Table1[[#This Row],[Total price]]-Table1[[#This Row],[Discount Amount]]</f>
        <v>40</v>
      </c>
      <c r="U1425">
        <f t="shared" si="68"/>
        <v>40</v>
      </c>
    </row>
    <row r="1426" spans="1:21">
      <c r="A1426">
        <v>1425</v>
      </c>
      <c r="B1426" s="3" t="s">
        <v>933</v>
      </c>
      <c r="C1426" s="3" t="s">
        <v>932</v>
      </c>
      <c r="D1426" s="3" t="s">
        <v>2866</v>
      </c>
      <c r="E1426" s="3" t="s">
        <v>4466</v>
      </c>
      <c r="F1426" s="3">
        <v>514</v>
      </c>
      <c r="G1426" s="4">
        <v>41244.529861111114</v>
      </c>
      <c r="H1426" s="3">
        <v>4</v>
      </c>
      <c r="I1426" s="5">
        <v>17</v>
      </c>
      <c r="J1426" t="s">
        <v>330</v>
      </c>
      <c r="K1426" t="s">
        <v>4497</v>
      </c>
      <c r="L1426">
        <v>536541</v>
      </c>
      <c r="M1426" s="2">
        <v>21915</v>
      </c>
      <c r="N1426">
        <v>1.25</v>
      </c>
      <c r="O1426" s="6">
        <v>12</v>
      </c>
      <c r="P1426" s="3">
        <v>7.0000000000000007E-2</v>
      </c>
      <c r="Q1426" t="s">
        <v>4</v>
      </c>
      <c r="R1426" s="7">
        <f t="shared" si="66"/>
        <v>15</v>
      </c>
      <c r="S1426" s="7">
        <f t="shared" si="67"/>
        <v>1.05</v>
      </c>
      <c r="T1426">
        <f>Table1[[#This Row],[Total price]]-Table1[[#This Row],[Discount Amount]]</f>
        <v>13.95</v>
      </c>
      <c r="U1426">
        <f t="shared" si="68"/>
        <v>167.39999999999998</v>
      </c>
    </row>
    <row r="1427" spans="1:21">
      <c r="A1427">
        <v>1426</v>
      </c>
      <c r="B1427" s="3" t="s">
        <v>931</v>
      </c>
      <c r="C1427" s="3" t="s">
        <v>930</v>
      </c>
      <c r="D1427" s="3" t="s">
        <v>4467</v>
      </c>
      <c r="E1427" s="3" t="s">
        <v>4468</v>
      </c>
      <c r="F1427" s="3">
        <v>515</v>
      </c>
      <c r="G1427" s="4">
        <v>41244.529861111114</v>
      </c>
      <c r="H1427" s="3">
        <v>2</v>
      </c>
      <c r="I1427" s="5">
        <v>8</v>
      </c>
      <c r="J1427" t="s">
        <v>201</v>
      </c>
      <c r="K1427" t="s">
        <v>4500</v>
      </c>
      <c r="L1427">
        <v>536542</v>
      </c>
      <c r="M1427" s="2">
        <v>22382</v>
      </c>
      <c r="N1427">
        <v>1.65</v>
      </c>
      <c r="O1427" s="6">
        <v>10</v>
      </c>
      <c r="P1427" s="3">
        <v>7.0000000000000007E-2</v>
      </c>
      <c r="Q1427" t="s">
        <v>9</v>
      </c>
      <c r="R1427" s="7">
        <f t="shared" si="66"/>
        <v>16.5</v>
      </c>
      <c r="S1427" s="7">
        <f t="shared" si="67"/>
        <v>1.155</v>
      </c>
      <c r="T1427">
        <f>Table1[[#This Row],[Total price]]-Table1[[#This Row],[Discount Amount]]</f>
        <v>15.345000000000001</v>
      </c>
      <c r="U1427">
        <f t="shared" si="68"/>
        <v>153.45000000000002</v>
      </c>
    </row>
    <row r="1428" spans="1:21">
      <c r="A1428">
        <v>1427</v>
      </c>
      <c r="B1428" s="3" t="s">
        <v>929</v>
      </c>
      <c r="C1428" s="3" t="s">
        <v>928</v>
      </c>
      <c r="D1428" s="3" t="s">
        <v>2866</v>
      </c>
      <c r="E1428" s="3" t="s">
        <v>4469</v>
      </c>
      <c r="F1428" s="3">
        <v>515</v>
      </c>
      <c r="G1428" s="4">
        <v>41244.529861111114</v>
      </c>
      <c r="H1428" s="3">
        <v>2</v>
      </c>
      <c r="I1428" s="5">
        <v>5</v>
      </c>
      <c r="J1428" t="s">
        <v>392</v>
      </c>
      <c r="K1428" t="s">
        <v>4500</v>
      </c>
      <c r="L1428">
        <v>536542</v>
      </c>
      <c r="M1428" s="2">
        <v>20727</v>
      </c>
      <c r="N1428">
        <v>1.65</v>
      </c>
      <c r="O1428" s="6">
        <v>10</v>
      </c>
      <c r="P1428" s="3">
        <v>0.1</v>
      </c>
      <c r="Q1428" t="s">
        <v>9</v>
      </c>
      <c r="R1428" s="7">
        <f t="shared" si="66"/>
        <v>16.5</v>
      </c>
      <c r="S1428" s="7">
        <f t="shared" si="67"/>
        <v>1.6500000000000001</v>
      </c>
      <c r="T1428">
        <f>Table1[[#This Row],[Total price]]-Table1[[#This Row],[Discount Amount]]</f>
        <v>14.85</v>
      </c>
      <c r="U1428">
        <f t="shared" si="68"/>
        <v>148.5</v>
      </c>
    </row>
    <row r="1429" spans="1:21">
      <c r="A1429">
        <v>1428</v>
      </c>
      <c r="B1429" s="3" t="s">
        <v>927</v>
      </c>
      <c r="C1429" s="3" t="s">
        <v>926</v>
      </c>
      <c r="D1429" s="3" t="s">
        <v>2866</v>
      </c>
      <c r="E1429" s="3" t="s">
        <v>4470</v>
      </c>
      <c r="F1429" s="3">
        <v>515</v>
      </c>
      <c r="G1429" s="4">
        <v>41244.529861111114</v>
      </c>
      <c r="H1429" s="3">
        <v>4</v>
      </c>
      <c r="I1429" s="5">
        <v>25</v>
      </c>
      <c r="J1429" t="s">
        <v>238</v>
      </c>
      <c r="K1429" t="s">
        <v>4497</v>
      </c>
      <c r="L1429">
        <v>536542</v>
      </c>
      <c r="M1429" s="2">
        <v>22383</v>
      </c>
      <c r="N1429">
        <v>1.65</v>
      </c>
      <c r="O1429" s="6">
        <v>30</v>
      </c>
      <c r="P1429" s="3">
        <v>7.0000000000000007E-2</v>
      </c>
      <c r="Q1429" t="s">
        <v>4</v>
      </c>
      <c r="R1429" s="7">
        <f t="shared" si="66"/>
        <v>49.5</v>
      </c>
      <c r="S1429" s="7">
        <f t="shared" si="67"/>
        <v>3.4650000000000003</v>
      </c>
      <c r="T1429">
        <f>Table1[[#This Row],[Total price]]-Table1[[#This Row],[Discount Amount]]</f>
        <v>46.034999999999997</v>
      </c>
      <c r="U1429">
        <f t="shared" si="68"/>
        <v>1381.05</v>
      </c>
    </row>
    <row r="1430" spans="1:21">
      <c r="A1430">
        <v>1429</v>
      </c>
      <c r="B1430" s="3" t="s">
        <v>925</v>
      </c>
      <c r="C1430" s="3" t="s">
        <v>924</v>
      </c>
      <c r="D1430" s="3" t="s">
        <v>2866</v>
      </c>
      <c r="E1430" s="3" t="s">
        <v>4471</v>
      </c>
      <c r="F1430" s="3">
        <v>515</v>
      </c>
      <c r="G1430" s="4">
        <v>41244.529861111114</v>
      </c>
      <c r="H1430" s="3">
        <v>4</v>
      </c>
      <c r="I1430" s="5">
        <v>6</v>
      </c>
      <c r="J1430" t="s">
        <v>448</v>
      </c>
      <c r="K1430" t="s">
        <v>4497</v>
      </c>
      <c r="L1430">
        <v>536542</v>
      </c>
      <c r="M1430" s="2">
        <v>22386</v>
      </c>
      <c r="N1430">
        <v>1.95</v>
      </c>
      <c r="O1430" s="6">
        <v>30</v>
      </c>
      <c r="P1430" s="3">
        <v>0.2</v>
      </c>
      <c r="Q1430" t="s">
        <v>4</v>
      </c>
      <c r="R1430" s="7">
        <f t="shared" si="66"/>
        <v>58.5</v>
      </c>
      <c r="S1430" s="7">
        <f t="shared" si="67"/>
        <v>11.700000000000001</v>
      </c>
      <c r="T1430">
        <f>Table1[[#This Row],[Total price]]-Table1[[#This Row],[Discount Amount]]</f>
        <v>46.8</v>
      </c>
      <c r="U1430">
        <f t="shared" si="68"/>
        <v>1404</v>
      </c>
    </row>
    <row r="1431" spans="1:21">
      <c r="A1431">
        <v>1430</v>
      </c>
      <c r="B1431" s="3" t="s">
        <v>923</v>
      </c>
      <c r="C1431" s="3" t="s">
        <v>922</v>
      </c>
      <c r="D1431" s="3" t="s">
        <v>4472</v>
      </c>
      <c r="E1431" s="3" t="s">
        <v>4473</v>
      </c>
      <c r="F1431" s="3">
        <v>516</v>
      </c>
      <c r="G1431" s="4">
        <v>41244.529861111114</v>
      </c>
      <c r="H1431" s="3">
        <v>2</v>
      </c>
      <c r="I1431" s="5">
        <v>7</v>
      </c>
      <c r="J1431" t="s">
        <v>38</v>
      </c>
      <c r="K1431" t="s">
        <v>4500</v>
      </c>
      <c r="L1431">
        <v>536542</v>
      </c>
      <c r="M1431" s="2" t="s">
        <v>37</v>
      </c>
      <c r="N1431">
        <v>1.95</v>
      </c>
      <c r="O1431" s="6">
        <v>40</v>
      </c>
      <c r="P1431" s="3">
        <v>0.05</v>
      </c>
      <c r="Q1431" t="s">
        <v>9</v>
      </c>
      <c r="R1431" s="7">
        <f t="shared" si="66"/>
        <v>78</v>
      </c>
      <c r="S1431" s="7">
        <f t="shared" si="67"/>
        <v>3.9000000000000004</v>
      </c>
      <c r="T1431">
        <f>Table1[[#This Row],[Total price]]-Table1[[#This Row],[Discount Amount]]</f>
        <v>74.099999999999994</v>
      </c>
      <c r="U1431">
        <f t="shared" si="68"/>
        <v>2964</v>
      </c>
    </row>
    <row r="1432" spans="1:21">
      <c r="A1432">
        <v>1431</v>
      </c>
      <c r="B1432" s="3" t="s">
        <v>921</v>
      </c>
      <c r="C1432" s="3" t="s">
        <v>920</v>
      </c>
      <c r="D1432" s="3" t="s">
        <v>2866</v>
      </c>
      <c r="E1432" s="3" t="s">
        <v>4474</v>
      </c>
      <c r="F1432" s="3">
        <v>516</v>
      </c>
      <c r="G1432" s="4">
        <v>41244.529861111114</v>
      </c>
      <c r="H1432" s="3">
        <v>2</v>
      </c>
      <c r="I1432" s="5">
        <v>5</v>
      </c>
      <c r="J1432" t="s">
        <v>461</v>
      </c>
      <c r="K1432" t="s">
        <v>4500</v>
      </c>
      <c r="L1432">
        <v>536542</v>
      </c>
      <c r="M1432" s="2">
        <v>22379</v>
      </c>
      <c r="N1432">
        <v>2.1</v>
      </c>
      <c r="O1432" s="6">
        <v>20</v>
      </c>
      <c r="P1432" s="3">
        <v>0.1</v>
      </c>
      <c r="Q1432" t="s">
        <v>9</v>
      </c>
      <c r="R1432" s="7">
        <f t="shared" si="66"/>
        <v>42</v>
      </c>
      <c r="S1432" s="7">
        <f t="shared" si="67"/>
        <v>4.2</v>
      </c>
      <c r="T1432">
        <f>Table1[[#This Row],[Total price]]-Table1[[#This Row],[Discount Amount]]</f>
        <v>37.799999999999997</v>
      </c>
      <c r="U1432">
        <f t="shared" si="68"/>
        <v>756</v>
      </c>
    </row>
    <row r="1433" spans="1:21">
      <c r="A1433">
        <v>1432</v>
      </c>
      <c r="B1433" s="3" t="s">
        <v>919</v>
      </c>
      <c r="C1433" s="3" t="s">
        <v>918</v>
      </c>
      <c r="D1433" s="3" t="s">
        <v>2866</v>
      </c>
      <c r="E1433" s="3" t="s">
        <v>4475</v>
      </c>
      <c r="F1433" s="3">
        <v>517</v>
      </c>
      <c r="G1433" s="4">
        <v>41244.529861111114</v>
      </c>
      <c r="H1433" s="3">
        <v>4</v>
      </c>
      <c r="I1433" s="5">
        <v>21</v>
      </c>
      <c r="J1433" t="s">
        <v>355</v>
      </c>
      <c r="K1433" t="s">
        <v>4497</v>
      </c>
      <c r="L1433">
        <v>536542</v>
      </c>
      <c r="M1433" s="2">
        <v>20712</v>
      </c>
      <c r="N1433">
        <v>1.95</v>
      </c>
      <c r="O1433" s="6">
        <v>20</v>
      </c>
      <c r="P1433" s="3">
        <v>7.0000000000000007E-2</v>
      </c>
      <c r="Q1433" t="s">
        <v>4</v>
      </c>
      <c r="R1433" s="7">
        <f t="shared" si="66"/>
        <v>39</v>
      </c>
      <c r="S1433" s="7">
        <f t="shared" si="67"/>
        <v>2.7300000000000004</v>
      </c>
      <c r="T1433">
        <f>Table1[[#This Row],[Total price]]-Table1[[#This Row],[Discount Amount]]</f>
        <v>36.269999999999996</v>
      </c>
      <c r="U1433">
        <f t="shared" si="68"/>
        <v>725.39999999999986</v>
      </c>
    </row>
    <row r="1434" spans="1:21">
      <c r="A1434">
        <v>1433</v>
      </c>
      <c r="B1434" s="3" t="s">
        <v>917</v>
      </c>
      <c r="C1434" s="3" t="s">
        <v>916</v>
      </c>
      <c r="D1434" s="3" t="s">
        <v>2866</v>
      </c>
      <c r="E1434" s="3" t="s">
        <v>4476</v>
      </c>
      <c r="F1434" s="3">
        <v>518</v>
      </c>
      <c r="G1434" s="4">
        <v>41244.529861111114</v>
      </c>
      <c r="H1434" s="3">
        <v>2</v>
      </c>
      <c r="I1434" s="5">
        <v>16</v>
      </c>
      <c r="J1434" t="s">
        <v>339</v>
      </c>
      <c r="K1434" t="s">
        <v>4500</v>
      </c>
      <c r="L1434">
        <v>536542</v>
      </c>
      <c r="M1434" s="2" t="s">
        <v>338</v>
      </c>
      <c r="N1434">
        <v>1.95</v>
      </c>
      <c r="O1434" s="6">
        <v>30</v>
      </c>
      <c r="P1434" s="3">
        <v>0.2</v>
      </c>
      <c r="Q1434" t="s">
        <v>9</v>
      </c>
      <c r="R1434" s="7">
        <f t="shared" si="66"/>
        <v>58.5</v>
      </c>
      <c r="S1434" s="7">
        <f t="shared" si="67"/>
        <v>11.700000000000001</v>
      </c>
      <c r="T1434">
        <f>Table1[[#This Row],[Total price]]-Table1[[#This Row],[Discount Amount]]</f>
        <v>46.8</v>
      </c>
      <c r="U1434">
        <f t="shared" si="68"/>
        <v>1404</v>
      </c>
    </row>
    <row r="1435" spans="1:21">
      <c r="A1435">
        <v>1434</v>
      </c>
      <c r="B1435" s="3" t="s">
        <v>915</v>
      </c>
      <c r="C1435" s="3" t="s">
        <v>914</v>
      </c>
      <c r="D1435" s="3" t="s">
        <v>2866</v>
      </c>
      <c r="E1435" s="3" t="s">
        <v>4477</v>
      </c>
      <c r="F1435" s="3">
        <v>518</v>
      </c>
      <c r="G1435" s="4">
        <v>41244.529861111114</v>
      </c>
      <c r="H1435" s="3">
        <v>4</v>
      </c>
      <c r="I1435" s="5">
        <v>5</v>
      </c>
      <c r="J1435" t="s">
        <v>341</v>
      </c>
      <c r="K1435" t="s">
        <v>4497</v>
      </c>
      <c r="L1435">
        <v>536542</v>
      </c>
      <c r="M1435" s="2" t="s">
        <v>340</v>
      </c>
      <c r="N1435">
        <v>1.95</v>
      </c>
      <c r="O1435" s="6">
        <v>20</v>
      </c>
      <c r="P1435" s="3">
        <v>0.05</v>
      </c>
      <c r="Q1435" t="s">
        <v>4</v>
      </c>
      <c r="R1435" s="7">
        <f t="shared" si="66"/>
        <v>39</v>
      </c>
      <c r="S1435" s="7">
        <f t="shared" si="67"/>
        <v>1.9500000000000002</v>
      </c>
      <c r="T1435">
        <f>Table1[[#This Row],[Total price]]-Table1[[#This Row],[Discount Amount]]</f>
        <v>37.049999999999997</v>
      </c>
      <c r="U1435">
        <f t="shared" si="68"/>
        <v>741</v>
      </c>
    </row>
    <row r="1436" spans="1:21">
      <c r="A1436">
        <v>1435</v>
      </c>
      <c r="B1436" s="3" t="s">
        <v>913</v>
      </c>
      <c r="C1436" s="3" t="s">
        <v>912</v>
      </c>
      <c r="D1436" s="3" t="s">
        <v>2866</v>
      </c>
      <c r="E1436" s="3" t="s">
        <v>4478</v>
      </c>
      <c r="F1436" s="3">
        <v>518</v>
      </c>
      <c r="G1436" s="4">
        <v>41244.529861111114</v>
      </c>
      <c r="H1436" s="3">
        <v>4</v>
      </c>
      <c r="I1436" s="5">
        <v>25</v>
      </c>
      <c r="J1436" t="s">
        <v>354</v>
      </c>
      <c r="K1436" t="s">
        <v>4497</v>
      </c>
      <c r="L1436">
        <v>536542</v>
      </c>
      <c r="M1436" s="2">
        <v>21930</v>
      </c>
      <c r="N1436">
        <v>1.95</v>
      </c>
      <c r="O1436" s="6">
        <v>20</v>
      </c>
      <c r="P1436" s="3">
        <v>0.05</v>
      </c>
      <c r="Q1436" t="s">
        <v>4</v>
      </c>
      <c r="R1436" s="7">
        <f t="shared" si="66"/>
        <v>39</v>
      </c>
      <c r="S1436" s="7">
        <f t="shared" si="67"/>
        <v>1.9500000000000002</v>
      </c>
      <c r="T1436">
        <f>Table1[[#This Row],[Total price]]-Table1[[#This Row],[Discount Amount]]</f>
        <v>37.049999999999997</v>
      </c>
      <c r="U1436">
        <f t="shared" si="68"/>
        <v>741</v>
      </c>
    </row>
    <row r="1437" spans="1:21">
      <c r="A1437">
        <v>1436</v>
      </c>
      <c r="B1437" s="3" t="s">
        <v>911</v>
      </c>
      <c r="C1437" s="3" t="s">
        <v>910</v>
      </c>
      <c r="D1437" s="3" t="s">
        <v>2866</v>
      </c>
      <c r="E1437" s="3" t="s">
        <v>4479</v>
      </c>
      <c r="F1437" s="3">
        <v>518</v>
      </c>
      <c r="G1437" s="4">
        <v>41244.529861111114</v>
      </c>
      <c r="H1437" s="3">
        <v>2</v>
      </c>
      <c r="I1437" s="5">
        <v>15</v>
      </c>
      <c r="J1437" t="s">
        <v>589</v>
      </c>
      <c r="K1437" t="s">
        <v>4500</v>
      </c>
      <c r="L1437">
        <v>536542</v>
      </c>
      <c r="M1437" s="2">
        <v>21928</v>
      </c>
      <c r="N1437">
        <v>1.95</v>
      </c>
      <c r="O1437" s="6">
        <v>20</v>
      </c>
      <c r="P1437" s="3">
        <v>0.2</v>
      </c>
      <c r="Q1437" t="s">
        <v>9</v>
      </c>
      <c r="R1437" s="7">
        <f t="shared" si="66"/>
        <v>39</v>
      </c>
      <c r="S1437" s="7">
        <f t="shared" si="67"/>
        <v>7.8000000000000007</v>
      </c>
      <c r="T1437">
        <f>Table1[[#This Row],[Total price]]-Table1[[#This Row],[Discount Amount]]</f>
        <v>31.2</v>
      </c>
      <c r="U1437">
        <f t="shared" si="68"/>
        <v>624</v>
      </c>
    </row>
    <row r="1438" spans="1:21">
      <c r="A1438">
        <v>1437</v>
      </c>
      <c r="B1438" s="3" t="s">
        <v>909</v>
      </c>
      <c r="C1438" s="3" t="s">
        <v>908</v>
      </c>
      <c r="D1438" s="3" t="s">
        <v>2866</v>
      </c>
      <c r="E1438" s="3" t="s">
        <v>4480</v>
      </c>
      <c r="F1438" s="3">
        <v>518</v>
      </c>
      <c r="G1438" s="4">
        <v>41244.529861111114</v>
      </c>
      <c r="H1438" s="3">
        <v>2</v>
      </c>
      <c r="I1438" s="5">
        <v>11</v>
      </c>
      <c r="J1438" t="s">
        <v>34</v>
      </c>
      <c r="K1438" t="s">
        <v>4500</v>
      </c>
      <c r="L1438">
        <v>536542</v>
      </c>
      <c r="M1438" s="2">
        <v>22411</v>
      </c>
      <c r="N1438">
        <v>1.95</v>
      </c>
      <c r="O1438" s="6">
        <v>30</v>
      </c>
      <c r="P1438" s="3">
        <v>7.0000000000000007E-2</v>
      </c>
      <c r="Q1438" t="s">
        <v>9</v>
      </c>
      <c r="R1438" s="7">
        <f t="shared" si="66"/>
        <v>58.5</v>
      </c>
      <c r="S1438" s="7">
        <f t="shared" si="67"/>
        <v>4.0950000000000006</v>
      </c>
      <c r="T1438">
        <f>Table1[[#This Row],[Total price]]-Table1[[#This Row],[Discount Amount]]</f>
        <v>54.405000000000001</v>
      </c>
      <c r="U1438">
        <f t="shared" si="68"/>
        <v>1632.15</v>
      </c>
    </row>
    <row r="1439" spans="1:21">
      <c r="A1439">
        <v>1438</v>
      </c>
      <c r="B1439" s="3" t="s">
        <v>907</v>
      </c>
      <c r="C1439" s="3" t="s">
        <v>906</v>
      </c>
      <c r="D1439" s="3" t="s">
        <v>4481</v>
      </c>
      <c r="E1439" s="3" t="s">
        <v>4482</v>
      </c>
      <c r="F1439" s="3">
        <v>519</v>
      </c>
      <c r="G1439" s="4">
        <v>41244.529861111114</v>
      </c>
      <c r="H1439" s="3">
        <v>4</v>
      </c>
      <c r="I1439" s="5">
        <v>6</v>
      </c>
      <c r="J1439" t="s">
        <v>342</v>
      </c>
      <c r="K1439" t="s">
        <v>4499</v>
      </c>
      <c r="L1439">
        <v>536542</v>
      </c>
      <c r="M1439" s="2">
        <v>21931</v>
      </c>
      <c r="N1439">
        <v>1.95</v>
      </c>
      <c r="O1439" s="6">
        <v>40</v>
      </c>
      <c r="P1439" s="3">
        <v>7.0000000000000007E-2</v>
      </c>
      <c r="Q1439" t="s">
        <v>4</v>
      </c>
      <c r="R1439" s="7">
        <f t="shared" si="66"/>
        <v>78</v>
      </c>
      <c r="S1439" s="7">
        <f t="shared" si="67"/>
        <v>5.4600000000000009</v>
      </c>
      <c r="T1439">
        <f>Table1[[#This Row],[Total price]]-Table1[[#This Row],[Discount Amount]]</f>
        <v>72.539999999999992</v>
      </c>
      <c r="U1439">
        <f t="shared" si="68"/>
        <v>2901.5999999999995</v>
      </c>
    </row>
    <row r="1440" spans="1:21">
      <c r="A1440">
        <v>1439</v>
      </c>
      <c r="B1440" s="3" t="s">
        <v>905</v>
      </c>
      <c r="C1440" s="3" t="s">
        <v>904</v>
      </c>
      <c r="D1440" s="3" t="s">
        <v>2866</v>
      </c>
      <c r="E1440" s="3" t="s">
        <v>4483</v>
      </c>
      <c r="F1440" s="3">
        <v>519</v>
      </c>
      <c r="G1440" s="4">
        <v>41244.529861111114</v>
      </c>
      <c r="H1440" s="3">
        <v>2</v>
      </c>
      <c r="I1440" s="5">
        <v>16</v>
      </c>
      <c r="J1440" t="s">
        <v>343</v>
      </c>
      <c r="K1440" t="s">
        <v>4500</v>
      </c>
      <c r="L1440">
        <v>536542</v>
      </c>
      <c r="M1440" s="2">
        <v>20711</v>
      </c>
      <c r="N1440">
        <v>1.95</v>
      </c>
      <c r="O1440" s="6">
        <v>20</v>
      </c>
      <c r="P1440" s="3">
        <v>0.1</v>
      </c>
      <c r="Q1440" t="s">
        <v>9</v>
      </c>
      <c r="R1440" s="7">
        <f t="shared" si="66"/>
        <v>39</v>
      </c>
      <c r="S1440" s="7">
        <f t="shared" si="67"/>
        <v>3.9000000000000004</v>
      </c>
      <c r="T1440">
        <f>Table1[[#This Row],[Total price]]-Table1[[#This Row],[Discount Amount]]</f>
        <v>35.1</v>
      </c>
      <c r="U1440">
        <f t="shared" si="68"/>
        <v>702</v>
      </c>
    </row>
    <row r="1441" spans="1:21">
      <c r="A1441">
        <v>1440</v>
      </c>
      <c r="B1441" s="3" t="s">
        <v>903</v>
      </c>
      <c r="C1441" s="3" t="s">
        <v>902</v>
      </c>
      <c r="D1441" s="3" t="s">
        <v>2866</v>
      </c>
      <c r="E1441" s="3" t="s">
        <v>4484</v>
      </c>
      <c r="F1441" s="3">
        <v>519</v>
      </c>
      <c r="G1441" s="4">
        <v>41244.529861111114</v>
      </c>
      <c r="H1441" s="3">
        <v>4</v>
      </c>
      <c r="I1441" s="5">
        <v>23</v>
      </c>
      <c r="J1441" t="s">
        <v>356</v>
      </c>
      <c r="K1441" t="s">
        <v>4499</v>
      </c>
      <c r="L1441">
        <v>536542</v>
      </c>
      <c r="M1441" s="2">
        <v>20713</v>
      </c>
      <c r="N1441">
        <v>1.95</v>
      </c>
      <c r="O1441" s="6">
        <v>30</v>
      </c>
      <c r="P1441" s="3">
        <v>0.05</v>
      </c>
      <c r="Q1441" t="s">
        <v>4</v>
      </c>
      <c r="R1441" s="7">
        <f t="shared" si="66"/>
        <v>58.5</v>
      </c>
      <c r="S1441" s="7">
        <f t="shared" si="67"/>
        <v>2.9250000000000003</v>
      </c>
      <c r="T1441">
        <f>Table1[[#This Row],[Total price]]-Table1[[#This Row],[Discount Amount]]</f>
        <v>55.575000000000003</v>
      </c>
      <c r="U1441">
        <f t="shared" si="68"/>
        <v>1667.25</v>
      </c>
    </row>
    <row r="1442" spans="1:21">
      <c r="A1442">
        <v>1441</v>
      </c>
      <c r="B1442" s="3" t="s">
        <v>901</v>
      </c>
      <c r="C1442" s="3" t="s">
        <v>900</v>
      </c>
      <c r="D1442" s="3" t="s">
        <v>2866</v>
      </c>
      <c r="E1442" s="3" t="s">
        <v>4485</v>
      </c>
      <c r="F1442" s="3">
        <v>519</v>
      </c>
      <c r="G1442" s="4">
        <v>41244.529861111114</v>
      </c>
      <c r="H1442" s="3">
        <v>4</v>
      </c>
      <c r="I1442" s="5">
        <v>18</v>
      </c>
      <c r="J1442" t="s">
        <v>24</v>
      </c>
      <c r="K1442" t="s">
        <v>4499</v>
      </c>
      <c r="L1442">
        <v>536542</v>
      </c>
      <c r="M1442" s="2" t="s">
        <v>23</v>
      </c>
      <c r="N1442">
        <v>2.95</v>
      </c>
      <c r="O1442" s="6">
        <v>40</v>
      </c>
      <c r="P1442" s="3">
        <v>0.2</v>
      </c>
      <c r="Q1442" t="s">
        <v>4</v>
      </c>
      <c r="R1442" s="7">
        <f t="shared" si="66"/>
        <v>118</v>
      </c>
      <c r="S1442" s="7">
        <f t="shared" si="67"/>
        <v>23.6</v>
      </c>
      <c r="T1442">
        <f>Table1[[#This Row],[Total price]]-Table1[[#This Row],[Discount Amount]]</f>
        <v>94.4</v>
      </c>
      <c r="U1442">
        <f t="shared" si="68"/>
        <v>3776</v>
      </c>
    </row>
    <row r="1443" spans="1:21">
      <c r="A1443">
        <v>1442</v>
      </c>
      <c r="B1443" s="3" t="s">
        <v>899</v>
      </c>
      <c r="C1443" s="3" t="s">
        <v>898</v>
      </c>
      <c r="D1443" s="3" t="s">
        <v>2866</v>
      </c>
      <c r="E1443" s="3" t="s">
        <v>4486</v>
      </c>
      <c r="F1443" s="3">
        <v>519</v>
      </c>
      <c r="G1443" s="4">
        <v>41244.529861111114</v>
      </c>
      <c r="H1443" s="3">
        <v>2</v>
      </c>
      <c r="I1443" s="5">
        <v>7</v>
      </c>
      <c r="J1443" t="s">
        <v>26</v>
      </c>
      <c r="K1443" t="s">
        <v>4500</v>
      </c>
      <c r="L1443" t="s">
        <v>883</v>
      </c>
      <c r="M1443" s="2">
        <v>22632</v>
      </c>
      <c r="N1443">
        <v>2.1</v>
      </c>
      <c r="O1443" s="6">
        <v>1</v>
      </c>
      <c r="P1443" s="3">
        <v>0.05</v>
      </c>
      <c r="Q1443" t="s">
        <v>9</v>
      </c>
      <c r="R1443" s="7">
        <f t="shared" si="66"/>
        <v>2.1</v>
      </c>
      <c r="S1443" s="7">
        <f t="shared" si="67"/>
        <v>0.10500000000000001</v>
      </c>
      <c r="T1443">
        <f>Table1[[#This Row],[Total price]]-Table1[[#This Row],[Discount Amount]]</f>
        <v>1.9950000000000001</v>
      </c>
      <c r="U1443">
        <f t="shared" si="68"/>
        <v>1.9950000000000001</v>
      </c>
    </row>
    <row r="1444" spans="1:21">
      <c r="A1444">
        <v>1443</v>
      </c>
      <c r="B1444" s="3" t="s">
        <v>897</v>
      </c>
      <c r="C1444" s="3" t="s">
        <v>896</v>
      </c>
      <c r="D1444" s="3" t="s">
        <v>2866</v>
      </c>
      <c r="E1444" s="3" t="s">
        <v>4487</v>
      </c>
      <c r="F1444" s="3">
        <v>520</v>
      </c>
      <c r="G1444" s="4">
        <v>41244.529861111114</v>
      </c>
      <c r="H1444" s="3">
        <v>2</v>
      </c>
      <c r="I1444" s="5">
        <v>26</v>
      </c>
      <c r="J1444" t="s">
        <v>152</v>
      </c>
      <c r="K1444" t="s">
        <v>4500</v>
      </c>
      <c r="L1444" t="s">
        <v>883</v>
      </c>
      <c r="M1444" s="2">
        <v>22355</v>
      </c>
      <c r="N1444">
        <v>0.85</v>
      </c>
      <c r="O1444" s="6">
        <v>2</v>
      </c>
      <c r="P1444" s="3">
        <v>0.1</v>
      </c>
      <c r="Q1444" t="s">
        <v>9</v>
      </c>
      <c r="R1444" s="7">
        <f t="shared" si="66"/>
        <v>1.7</v>
      </c>
      <c r="S1444" s="7">
        <f t="shared" si="67"/>
        <v>0.17</v>
      </c>
      <c r="T1444">
        <f>Table1[[#This Row],[Total price]]-Table1[[#This Row],[Discount Amount]]</f>
        <v>1.53</v>
      </c>
      <c r="U1444">
        <f t="shared" si="68"/>
        <v>3.06</v>
      </c>
    </row>
    <row r="1445" spans="1:21">
      <c r="A1445">
        <v>1444</v>
      </c>
      <c r="B1445" s="3" t="s">
        <v>895</v>
      </c>
      <c r="C1445" s="3" t="s">
        <v>894</v>
      </c>
      <c r="D1445" s="3" t="s">
        <v>2866</v>
      </c>
      <c r="E1445" s="3" t="s">
        <v>4488</v>
      </c>
      <c r="F1445" s="3">
        <v>520</v>
      </c>
      <c r="G1445" s="4">
        <v>41244.529861111114</v>
      </c>
      <c r="H1445" s="3">
        <v>4</v>
      </c>
      <c r="I1445" s="5">
        <v>24</v>
      </c>
      <c r="J1445" t="s">
        <v>518</v>
      </c>
      <c r="K1445" t="s">
        <v>4499</v>
      </c>
      <c r="L1445">
        <v>536544</v>
      </c>
      <c r="M1445" s="2">
        <v>21773</v>
      </c>
      <c r="N1445">
        <v>2.5099999999999998</v>
      </c>
      <c r="O1445" s="6">
        <v>100</v>
      </c>
      <c r="P1445" s="3">
        <v>0.2</v>
      </c>
      <c r="Q1445" t="s">
        <v>4</v>
      </c>
      <c r="R1445" s="7">
        <f t="shared" si="66"/>
        <v>250.99999999999997</v>
      </c>
      <c r="S1445" s="7">
        <f t="shared" si="67"/>
        <v>50.199999999999996</v>
      </c>
      <c r="T1445">
        <f>Table1[[#This Row],[Total price]]-Table1[[#This Row],[Discount Amount]]</f>
        <v>200.79999999999998</v>
      </c>
      <c r="U1445">
        <f t="shared" si="68"/>
        <v>20080</v>
      </c>
    </row>
    <row r="1446" spans="1:21">
      <c r="B1446" s="3"/>
      <c r="C1446" s="3"/>
      <c r="D1446" s="3"/>
      <c r="E1446" s="3"/>
      <c r="G1446" s="3"/>
      <c r="O1446" s="2"/>
      <c r="U1446" s="3"/>
    </row>
    <row r="1447" spans="1:21">
      <c r="G1447" s="3"/>
      <c r="O1447" s="2"/>
      <c r="U1447" s="3"/>
    </row>
    <row r="1448" spans="1:21">
      <c r="G1448" s="3"/>
      <c r="O1448" s="2"/>
      <c r="U1448" s="3"/>
    </row>
    <row r="1449" spans="1:21">
      <c r="G1449" s="3"/>
      <c r="O1449" s="2"/>
      <c r="U1449" s="3"/>
    </row>
    <row r="1450" spans="1:21">
      <c r="G1450" s="3"/>
      <c r="O1450" s="2"/>
      <c r="U1450" s="3"/>
    </row>
    <row r="1451" spans="1:21">
      <c r="G1451" s="3"/>
      <c r="O1451" s="2"/>
      <c r="U1451" s="3"/>
    </row>
    <row r="1452" spans="1:21">
      <c r="G1452" s="3"/>
      <c r="O1452" s="2"/>
      <c r="U1452" s="3"/>
    </row>
    <row r="1453" spans="1:21">
      <c r="G1453" s="3"/>
      <c r="O1453" s="2"/>
      <c r="U1453" s="3"/>
    </row>
    <row r="1454" spans="1:21">
      <c r="G1454" s="3"/>
      <c r="O1454" s="2"/>
      <c r="U1454" s="3"/>
    </row>
    <row r="1455" spans="1:21">
      <c r="G1455" s="3"/>
      <c r="O1455" s="2"/>
      <c r="U1455" s="3"/>
    </row>
    <row r="1456" spans="1:21">
      <c r="G1456" s="3"/>
      <c r="O1456" s="2"/>
      <c r="U1456" s="3"/>
    </row>
    <row r="1457" spans="7:21">
      <c r="G1457" s="3"/>
      <c r="O1457" s="2"/>
      <c r="U1457" s="3"/>
    </row>
    <row r="1458" spans="7:21">
      <c r="G1458" s="3"/>
      <c r="O1458" s="2"/>
      <c r="U1458" s="3"/>
    </row>
    <row r="1459" spans="7:21">
      <c r="G1459" s="3"/>
      <c r="O1459" s="2"/>
      <c r="U1459" s="3"/>
    </row>
    <row r="1460" spans="7:21">
      <c r="G1460" s="3"/>
      <c r="O1460" s="2"/>
      <c r="U1460" s="3"/>
    </row>
    <row r="1461" spans="7:21">
      <c r="G1461" s="3"/>
      <c r="O1461" s="2"/>
      <c r="U1461" s="3"/>
    </row>
    <row r="1462" spans="7:21">
      <c r="G1462" s="3"/>
      <c r="O1462" s="2"/>
      <c r="U1462" s="3"/>
    </row>
    <row r="1463" spans="7:21">
      <c r="G1463" s="3"/>
      <c r="O1463" s="2"/>
      <c r="U1463" s="3"/>
    </row>
    <row r="1464" spans="7:21">
      <c r="G1464" s="3"/>
      <c r="O1464" s="2"/>
      <c r="U1464" s="3"/>
    </row>
    <row r="1465" spans="7:21">
      <c r="G1465" s="3"/>
      <c r="O1465" s="2"/>
      <c r="U1465" s="3"/>
    </row>
    <row r="1466" spans="7:21">
      <c r="G1466" s="3"/>
      <c r="O1466" s="2"/>
      <c r="U1466" s="3"/>
    </row>
    <row r="1467" spans="7:21">
      <c r="G1467" s="3"/>
      <c r="O1467" s="2"/>
      <c r="U1467" s="3"/>
    </row>
    <row r="1468" spans="7:21">
      <c r="G1468" s="3"/>
      <c r="O1468" s="2"/>
      <c r="U1468" s="3"/>
    </row>
    <row r="1469" spans="7:21">
      <c r="G1469" s="3"/>
      <c r="O1469" s="2"/>
      <c r="U1469" s="3"/>
    </row>
    <row r="1470" spans="7:21">
      <c r="G1470" s="3"/>
      <c r="O1470" s="2"/>
      <c r="U1470" s="3"/>
    </row>
    <row r="1471" spans="7:21">
      <c r="G1471" s="3"/>
      <c r="O1471" s="2"/>
      <c r="U1471" s="3"/>
    </row>
    <row r="1472" spans="7:21">
      <c r="G1472" s="3"/>
      <c r="O1472" s="2"/>
      <c r="U1472" s="3"/>
    </row>
    <row r="1473" spans="7:21">
      <c r="G1473" s="3"/>
      <c r="O1473" s="2"/>
      <c r="U1473" s="3"/>
    </row>
    <row r="1474" spans="7:21">
      <c r="G1474" s="3"/>
      <c r="O1474" s="2"/>
      <c r="U1474" s="3"/>
    </row>
    <row r="1475" spans="7:21">
      <c r="G1475" s="3"/>
      <c r="O1475" s="2"/>
      <c r="U1475" s="3"/>
    </row>
    <row r="1476" spans="7:21">
      <c r="G1476" s="3"/>
      <c r="O1476" s="2"/>
      <c r="U1476" s="3"/>
    </row>
    <row r="1477" spans="7:21">
      <c r="G1477" s="3"/>
      <c r="O1477" s="2"/>
      <c r="U1477" s="3"/>
    </row>
    <row r="1478" spans="7:21">
      <c r="G1478" s="3"/>
      <c r="O1478" s="2"/>
      <c r="U1478" s="3"/>
    </row>
    <row r="1479" spans="7:21">
      <c r="G1479" s="3"/>
      <c r="O1479" s="2"/>
      <c r="U1479" s="3"/>
    </row>
    <row r="1480" spans="7:21">
      <c r="G1480" s="3"/>
      <c r="O1480" s="2"/>
      <c r="U1480" s="3"/>
    </row>
    <row r="1481" spans="7:21">
      <c r="G1481" s="3"/>
      <c r="O1481" s="2"/>
      <c r="U1481" s="3"/>
    </row>
    <row r="1482" spans="7:21">
      <c r="G1482" s="3"/>
      <c r="O1482" s="2"/>
      <c r="U1482" s="3"/>
    </row>
    <row r="1483" spans="7:21">
      <c r="G1483" s="3"/>
      <c r="O1483" s="2"/>
      <c r="U1483" s="3"/>
    </row>
    <row r="1484" spans="7:21">
      <c r="G1484" s="3"/>
      <c r="O1484" s="2"/>
      <c r="U1484" s="3"/>
    </row>
    <row r="1485" spans="7:21">
      <c r="G1485" s="3"/>
      <c r="O1485" s="2"/>
      <c r="U1485" s="3"/>
    </row>
    <row r="1486" spans="7:21">
      <c r="G1486" s="3"/>
      <c r="O1486" s="2"/>
      <c r="U1486" s="3"/>
    </row>
    <row r="1487" spans="7:21">
      <c r="G1487" s="3"/>
      <c r="O1487" s="2"/>
      <c r="U1487" s="3"/>
    </row>
    <row r="1488" spans="7:21">
      <c r="G1488" s="3"/>
      <c r="O1488" s="2"/>
      <c r="U1488" s="3"/>
    </row>
    <row r="1489" spans="7:21">
      <c r="G1489" s="3"/>
      <c r="O1489" s="2"/>
      <c r="U1489" s="3"/>
    </row>
    <row r="1490" spans="7:21">
      <c r="G1490" s="3"/>
      <c r="O1490" s="2"/>
      <c r="U1490" s="3"/>
    </row>
    <row r="1491" spans="7:21">
      <c r="G1491" s="3"/>
      <c r="O1491" s="2"/>
      <c r="U1491" s="3"/>
    </row>
    <row r="1492" spans="7:21">
      <c r="G1492" s="3"/>
      <c r="O1492" s="2"/>
      <c r="U1492" s="3"/>
    </row>
    <row r="1493" spans="7:21">
      <c r="G1493" s="3"/>
      <c r="O1493" s="2"/>
      <c r="U1493" s="3"/>
    </row>
    <row r="1494" spans="7:21">
      <c r="G1494" s="3"/>
      <c r="O1494" s="2"/>
      <c r="U1494" s="3"/>
    </row>
    <row r="1495" spans="7:21">
      <c r="G1495" s="3"/>
      <c r="O1495" s="2"/>
      <c r="U1495" s="3"/>
    </row>
    <row r="1496" spans="7:21">
      <c r="G1496" s="3"/>
      <c r="O1496" s="2"/>
      <c r="U1496" s="3"/>
    </row>
    <row r="1497" spans="7:21">
      <c r="G1497" s="3"/>
      <c r="O1497" s="2"/>
      <c r="U1497" s="3"/>
    </row>
    <row r="1498" spans="7:21">
      <c r="G1498" s="3"/>
      <c r="O1498" s="2"/>
      <c r="U1498" s="3"/>
    </row>
    <row r="1499" spans="7:21">
      <c r="G1499" s="3"/>
      <c r="O1499" s="2"/>
      <c r="U1499" s="3"/>
    </row>
    <row r="1500" spans="7:21">
      <c r="G1500" s="3"/>
      <c r="O1500" s="2"/>
      <c r="U1500" s="3"/>
    </row>
    <row r="1501" spans="7:21">
      <c r="G1501" s="3"/>
    </row>
    <row r="1502" spans="7:21">
      <c r="G1502" s="3"/>
    </row>
    <row r="1503" spans="7:21">
      <c r="G1503" s="3"/>
    </row>
    <row r="1504" spans="7:21">
      <c r="G1504" s="3"/>
    </row>
    <row r="1505" spans="7:7">
      <c r="G1505" s="3"/>
    </row>
    <row r="1506" spans="7:7">
      <c r="G1506" s="3"/>
    </row>
    <row r="1507" spans="7:7">
      <c r="G1507" s="3"/>
    </row>
    <row r="1508" spans="7:7">
      <c r="G1508" s="3"/>
    </row>
    <row r="1509" spans="7:7">
      <c r="G1509" s="3"/>
    </row>
    <row r="1510" spans="7:7">
      <c r="G1510" s="3"/>
    </row>
    <row r="1511" spans="7:7">
      <c r="G1511" s="3"/>
    </row>
    <row r="1512" spans="7:7">
      <c r="G1512" s="3"/>
    </row>
    <row r="1513" spans="7:7">
      <c r="G1513" s="3"/>
    </row>
    <row r="1514" spans="7:7">
      <c r="G1514" s="3"/>
    </row>
    <row r="1515" spans="7:7">
      <c r="G1515" s="3"/>
    </row>
    <row r="1516" spans="7:7">
      <c r="G1516" s="3"/>
    </row>
    <row r="1517" spans="7:7">
      <c r="G1517" s="3"/>
    </row>
    <row r="1518" spans="7:7">
      <c r="G1518" s="3"/>
    </row>
    <row r="1519" spans="7:7">
      <c r="G1519" s="3"/>
    </row>
    <row r="1520" spans="7:7">
      <c r="G1520" s="3"/>
    </row>
    <row r="1521" spans="7:7">
      <c r="G1521" s="3"/>
    </row>
    <row r="1522" spans="7:7">
      <c r="G1522" s="3"/>
    </row>
    <row r="1523" spans="7:7">
      <c r="G1523" s="3"/>
    </row>
    <row r="1524" spans="7:7">
      <c r="G1524" s="3"/>
    </row>
    <row r="1525" spans="7:7">
      <c r="G1525" s="3"/>
    </row>
    <row r="1526" spans="7:7">
      <c r="G1526" s="3"/>
    </row>
    <row r="1527" spans="7:7">
      <c r="G1527" s="3"/>
    </row>
    <row r="1528" spans="7:7">
      <c r="G1528" s="3"/>
    </row>
    <row r="1529" spans="7:7">
      <c r="G1529" s="3"/>
    </row>
    <row r="1530" spans="7:7">
      <c r="G1530" s="3"/>
    </row>
    <row r="1531" spans="7:7">
      <c r="G1531" s="3"/>
    </row>
    <row r="1532" spans="7:7">
      <c r="G1532" s="3"/>
    </row>
    <row r="1533" spans="7:7">
      <c r="G1533" s="3"/>
    </row>
    <row r="1534" spans="7:7">
      <c r="G1534" s="3"/>
    </row>
    <row r="1535" spans="7:7">
      <c r="G1535" s="3"/>
    </row>
    <row r="1536" spans="7:7">
      <c r="G1536" s="3"/>
    </row>
    <row r="1537" spans="7:7">
      <c r="G1537" s="3"/>
    </row>
    <row r="1538" spans="7:7">
      <c r="G1538" s="3"/>
    </row>
    <row r="1539" spans="7:7">
      <c r="G1539" s="3"/>
    </row>
  </sheetData>
  <sortState ref="A2:H541911">
    <sortCondition ref="E2:E541911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Year 2010-2011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dcterms:created xsi:type="dcterms:W3CDTF">2019-06-29T05:39:31Z</dcterms:created>
  <dcterms:modified xsi:type="dcterms:W3CDTF">2025-11-11T08:06:01Z</dcterms:modified>
</cp:coreProperties>
</file>